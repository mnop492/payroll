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SS-NAS01\Public\New Public\Promotion Team\Century Field(Philips WA)\"/>
    </mc:Choice>
  </mc:AlternateContent>
  <xr:revisionPtr revIDLastSave="0" documentId="13_ncr:1_{42268727-71C6-41DC-8871-011D0B355A37}" xr6:coauthVersionLast="47" xr6:coauthVersionMax="47" xr10:uidLastSave="{00000000-0000-0000-0000-000000000000}"/>
  <bookViews>
    <workbookView xWindow="-120" yWindow="-120" windowWidth="29040" windowHeight="15990" tabRatio="816" firstSheet="1" activeTab="4" xr2:uid="{6D89E862-A77D-4A96-A5F9-BDD8B3334A61}"/>
  </bookViews>
  <sheets>
    <sheet name="1-10" sheetId="6" r:id="rId1"/>
    <sheet name="11-20" sheetId="7" r:id="rId2"/>
    <sheet name="Roster" sheetId="1" r:id="rId3"/>
    <sheet name="工作表1" sheetId="8" r:id="rId4"/>
    <sheet name="Total" sheetId="5" r:id="rId5"/>
    <sheet name="店鋪" sheetId="12" r:id="rId6"/>
    <sheet name="Name List" sheetId="10" r:id="rId7"/>
    <sheet name="editable-sales-form" sheetId="2" r:id="rId8"/>
    <sheet name="Ref-List" sheetId="3" r:id="rId9"/>
    <sheet name="202601~Now" sheetId="11" r:id="rId10"/>
    <sheet name="Holiady Allowance" sheetId="13" r:id="rId11"/>
    <sheet name="工作表3" sheetId="14" r:id="rId12"/>
  </sheets>
  <externalReferences>
    <externalReference r:id="rId13"/>
  </externalReferences>
  <definedNames>
    <definedName name="_xlnm._FilterDatabase" localSheetId="7" hidden="1">'editable-sales-form'!$B$2:$K$29</definedName>
    <definedName name="_xlnm._FilterDatabase" localSheetId="4" hidden="1">Total!$A$7:$W$31</definedName>
    <definedName name="_xlcn.WorksheetConnection_202603CenturyFieldPayrollPhilipsWA.xlsx表格4683Total" hidden="1">[1]!表格468[[3]:[Total]]</definedName>
    <definedName name="_xlnm.Print_Area" localSheetId="0">'1-10'!$A$1:$I$370</definedName>
    <definedName name="_xlnm.Print_Area" localSheetId="1">'11-20'!$A$1:$I$370</definedName>
    <definedName name="_xlnm.Print_Area" localSheetId="4">Total!#REF!</definedName>
  </definedNames>
  <calcPr calcId="191029"/>
  <pivotCaches>
    <pivotCache cacheId="126" r:id="rId14"/>
    <pivotCache cacheId="127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表格468  3   Total-4b1e494b-ea43-4e5e-bcfa-dacfb0d214e5" name="表格468  3   Total" connection="WorksheetConnection_202603 Century Field Payroll (Philips WA).xlsx!表格468[[3]:[Total]]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0" l="1"/>
  <c r="D24" i="10"/>
  <c r="K393" i="2" l="1"/>
  <c r="K226" i="2" l="1"/>
  <c r="Q11" i="5"/>
  <c r="G19" i="5" a="1"/>
  <c r="G19" i="5" s="1"/>
  <c r="G20" i="5" a="1"/>
  <c r="G20" i="5" s="1"/>
  <c r="G21" i="5" a="1"/>
  <c r="G21" i="5" s="1"/>
  <c r="H18" i="5" a="1"/>
  <c r="H18" i="5" s="1"/>
  <c r="R18" i="5" s="1"/>
  <c r="H19" i="5" a="1"/>
  <c r="H19" i="5" s="1"/>
  <c r="R19" i="5" s="1"/>
  <c r="H20" i="5" a="1"/>
  <c r="H20" i="5" s="1"/>
  <c r="R20" i="5" s="1"/>
  <c r="H21" i="5" a="1"/>
  <c r="H21" i="5" s="1"/>
  <c r="R21" i="5" s="1"/>
  <c r="H22" i="5" a="1"/>
  <c r="H22" i="5" s="1"/>
  <c r="R22" i="5" s="1"/>
  <c r="H23" i="5" a="1"/>
  <c r="H23" i="5" s="1"/>
  <c r="R23" i="5" s="1"/>
  <c r="H24" i="5" a="1"/>
  <c r="H24" i="5" s="1"/>
  <c r="R24" i="5" s="1"/>
  <c r="H25" i="5" a="1"/>
  <c r="H25" i="5" s="1"/>
  <c r="R25" i="5" s="1"/>
  <c r="H26" i="5" a="1"/>
  <c r="H26" i="5" s="1"/>
  <c r="R26" i="5" s="1"/>
  <c r="H27" i="5" a="1"/>
  <c r="H27" i="5" s="1"/>
  <c r="R27" i="5" s="1"/>
  <c r="H28" i="5" a="1"/>
  <c r="H28" i="5" s="1"/>
  <c r="R28" i="5" s="1"/>
  <c r="I18" i="5"/>
  <c r="I19" i="5"/>
  <c r="I20" i="5"/>
  <c r="I21" i="5"/>
  <c r="I22" i="5"/>
  <c r="I23" i="5"/>
  <c r="I24" i="5"/>
  <c r="I25" i="5"/>
  <c r="I26" i="5"/>
  <c r="I27" i="5"/>
  <c r="I28" i="5"/>
  <c r="P18" i="5"/>
  <c r="P19" i="5"/>
  <c r="P20" i="5"/>
  <c r="P21" i="5"/>
  <c r="P22" i="5"/>
  <c r="P23" i="5"/>
  <c r="P24" i="5"/>
  <c r="P25" i="5"/>
  <c r="P26" i="5"/>
  <c r="P27" i="5"/>
  <c r="P28" i="5"/>
  <c r="S4" i="13"/>
  <c r="S5" i="13"/>
  <c r="S6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3" i="13"/>
  <c r="G3" i="13"/>
  <c r="O14" i="13" l="1"/>
  <c r="I15" i="13" l="1"/>
  <c r="I14" i="13"/>
  <c r="I13" i="13" l="1"/>
  <c r="I12" i="13" l="1"/>
  <c r="I11" i="13" l="1"/>
  <c r="I10" i="13" l="1"/>
  <c r="I9" i="13" l="1"/>
  <c r="I8" i="13" l="1"/>
  <c r="C8" i="13"/>
  <c r="I7" i="13" l="1"/>
  <c r="I6" i="13"/>
  <c r="I5" i="13" l="1"/>
  <c r="C5" i="13"/>
  <c r="R5" i="2" l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4" i="2"/>
  <c r="R3" i="2"/>
  <c r="J1" i="2" l="1"/>
  <c r="P8" i="5"/>
  <c r="P9" i="5"/>
  <c r="P10" i="5"/>
  <c r="P11" i="5"/>
  <c r="P12" i="5"/>
  <c r="P13" i="5"/>
  <c r="P14" i="5"/>
  <c r="P15" i="5"/>
  <c r="P16" i="5"/>
  <c r="P17" i="5"/>
  <c r="H9" i="5" l="1" a="1"/>
  <c r="H9" i="5" s="1"/>
  <c r="R9" i="5" s="1"/>
  <c r="I9" i="5"/>
  <c r="H10" i="5" a="1"/>
  <c r="H10" i="5" s="1"/>
  <c r="R10" i="5" s="1"/>
  <c r="I10" i="5"/>
  <c r="H11" i="5" a="1"/>
  <c r="H11" i="5" s="1"/>
  <c r="R11" i="5" s="1"/>
  <c r="I11" i="5"/>
  <c r="H12" i="5" a="1"/>
  <c r="H12" i="5" s="1"/>
  <c r="R12" i="5" s="1"/>
  <c r="I12" i="5"/>
  <c r="H13" i="5" a="1"/>
  <c r="H13" i="5" s="1"/>
  <c r="R13" i="5" s="1"/>
  <c r="I13" i="5"/>
  <c r="H14" i="5" a="1"/>
  <c r="H14" i="5" s="1"/>
  <c r="R14" i="5" s="1"/>
  <c r="I14" i="5"/>
  <c r="H15" i="5" a="1"/>
  <c r="H15" i="5" s="1"/>
  <c r="R15" i="5" s="1"/>
  <c r="I15" i="5"/>
  <c r="H16" i="5" a="1"/>
  <c r="H16" i="5" s="1"/>
  <c r="R16" i="5" s="1"/>
  <c r="I16" i="5"/>
  <c r="H17" i="5" a="1"/>
  <c r="H17" i="5" s="1"/>
  <c r="R17" i="5" s="1"/>
  <c r="I17" i="5"/>
  <c r="E3" i="2" l="1"/>
  <c r="G3" i="2"/>
  <c r="H3" i="2" s="1"/>
  <c r="L3" i="2"/>
  <c r="N3" i="2" s="1"/>
  <c r="E4" i="2"/>
  <c r="G4" i="2"/>
  <c r="H4" i="2" s="1"/>
  <c r="L4" i="2"/>
  <c r="M4" i="2" s="1"/>
  <c r="E5" i="2"/>
  <c r="G5" i="2"/>
  <c r="H5" i="2" s="1"/>
  <c r="L5" i="2"/>
  <c r="M5" i="2" s="1"/>
  <c r="E6" i="2"/>
  <c r="G6" i="2"/>
  <c r="H6" i="2" s="1"/>
  <c r="L6" i="2"/>
  <c r="O6" i="2" s="1"/>
  <c r="E7" i="2"/>
  <c r="G7" i="2"/>
  <c r="H7" i="2" s="1"/>
  <c r="L7" i="2"/>
  <c r="M7" i="2" s="1"/>
  <c r="E8" i="2"/>
  <c r="G8" i="2"/>
  <c r="H8" i="2" s="1"/>
  <c r="L8" i="2"/>
  <c r="M8" i="2" s="1"/>
  <c r="E9" i="2"/>
  <c r="G9" i="2"/>
  <c r="H9" i="2" s="1"/>
  <c r="L9" i="2"/>
  <c r="M9" i="2" s="1"/>
  <c r="E10" i="2"/>
  <c r="G10" i="2"/>
  <c r="H10" i="2" s="1"/>
  <c r="L10" i="2"/>
  <c r="M10" i="2" s="1"/>
  <c r="E11" i="2"/>
  <c r="G11" i="2"/>
  <c r="H11" i="2" s="1"/>
  <c r="L11" i="2"/>
  <c r="M11" i="2" s="1"/>
  <c r="E12" i="2"/>
  <c r="G12" i="2"/>
  <c r="H12" i="2" s="1"/>
  <c r="L12" i="2"/>
  <c r="N12" i="2" s="1"/>
  <c r="E13" i="2"/>
  <c r="G13" i="2"/>
  <c r="H13" i="2" s="1"/>
  <c r="L13" i="2"/>
  <c r="M13" i="2" s="1"/>
  <c r="E14" i="2"/>
  <c r="G14" i="2"/>
  <c r="H14" i="2" s="1"/>
  <c r="L14" i="2"/>
  <c r="M14" i="2" s="1"/>
  <c r="E15" i="2"/>
  <c r="G15" i="2"/>
  <c r="H15" i="2" s="1"/>
  <c r="L15" i="2"/>
  <c r="M15" i="2" s="1"/>
  <c r="E16" i="2"/>
  <c r="G16" i="2"/>
  <c r="H16" i="2" s="1"/>
  <c r="L16" i="2"/>
  <c r="M16" i="2" s="1"/>
  <c r="E17" i="2"/>
  <c r="G17" i="2"/>
  <c r="H17" i="2" s="1"/>
  <c r="L17" i="2"/>
  <c r="M17" i="2" s="1"/>
  <c r="E18" i="2"/>
  <c r="G18" i="2"/>
  <c r="H18" i="2" s="1"/>
  <c r="L18" i="2"/>
  <c r="O18" i="2" s="1"/>
  <c r="E19" i="2"/>
  <c r="G19" i="2"/>
  <c r="H19" i="2" s="1"/>
  <c r="L19" i="2"/>
  <c r="M19" i="2" s="1"/>
  <c r="E20" i="2"/>
  <c r="G20" i="2"/>
  <c r="H20" i="2" s="1"/>
  <c r="L20" i="2"/>
  <c r="N20" i="2" s="1"/>
  <c r="E21" i="2"/>
  <c r="G21" i="2"/>
  <c r="H21" i="2" s="1"/>
  <c r="L21" i="2"/>
  <c r="M21" i="2" s="1"/>
  <c r="E22" i="2"/>
  <c r="G22" i="2"/>
  <c r="H22" i="2" s="1"/>
  <c r="L22" i="2"/>
  <c r="M22" i="2" s="1"/>
  <c r="E23" i="2"/>
  <c r="G23" i="2"/>
  <c r="H23" i="2" s="1"/>
  <c r="L23" i="2"/>
  <c r="M23" i="2" s="1"/>
  <c r="E24" i="2"/>
  <c r="G24" i="2"/>
  <c r="H24" i="2" s="1"/>
  <c r="L24" i="2"/>
  <c r="M24" i="2" s="1"/>
  <c r="E25" i="2"/>
  <c r="G25" i="2"/>
  <c r="H25" i="2" s="1"/>
  <c r="L25" i="2"/>
  <c r="M25" i="2" s="1"/>
  <c r="E26" i="2"/>
  <c r="G26" i="2"/>
  <c r="H26" i="2" s="1"/>
  <c r="L26" i="2"/>
  <c r="M26" i="2" s="1"/>
  <c r="E27" i="2"/>
  <c r="G27" i="2"/>
  <c r="H27" i="2" s="1"/>
  <c r="L27" i="2"/>
  <c r="M27" i="2" s="1"/>
  <c r="E28" i="2"/>
  <c r="G28" i="2"/>
  <c r="H28" i="2" s="1"/>
  <c r="L28" i="2"/>
  <c r="O28" i="2" s="1"/>
  <c r="E29" i="2"/>
  <c r="G29" i="2"/>
  <c r="H29" i="2" s="1"/>
  <c r="L29" i="2"/>
  <c r="M29" i="2" s="1"/>
  <c r="E30" i="2"/>
  <c r="G30" i="2"/>
  <c r="H30" i="2" s="1"/>
  <c r="L30" i="2"/>
  <c r="M30" i="2" s="1"/>
  <c r="E31" i="2"/>
  <c r="G31" i="2"/>
  <c r="H31" i="2" s="1"/>
  <c r="L31" i="2"/>
  <c r="M31" i="2" s="1"/>
  <c r="E32" i="2"/>
  <c r="G32" i="2"/>
  <c r="H32" i="2" s="1"/>
  <c r="L32" i="2"/>
  <c r="M32" i="2" s="1"/>
  <c r="E33" i="2"/>
  <c r="G33" i="2"/>
  <c r="H33" i="2" s="1"/>
  <c r="L33" i="2"/>
  <c r="M33" i="2" s="1"/>
  <c r="E34" i="2"/>
  <c r="G34" i="2"/>
  <c r="H34" i="2" s="1"/>
  <c r="L34" i="2"/>
  <c r="M34" i="2" s="1"/>
  <c r="E35" i="2"/>
  <c r="G35" i="2"/>
  <c r="H35" i="2" s="1"/>
  <c r="L35" i="2"/>
  <c r="M35" i="2" s="1"/>
  <c r="E36" i="2"/>
  <c r="G36" i="2"/>
  <c r="H36" i="2" s="1"/>
  <c r="L36" i="2"/>
  <c r="M36" i="2" s="1"/>
  <c r="E37" i="2"/>
  <c r="G37" i="2"/>
  <c r="H37" i="2" s="1"/>
  <c r="L37" i="2"/>
  <c r="M37" i="2" s="1"/>
  <c r="E38" i="2"/>
  <c r="G38" i="2"/>
  <c r="H38" i="2" s="1"/>
  <c r="L38" i="2"/>
  <c r="N38" i="2" s="1"/>
  <c r="E39" i="2"/>
  <c r="G39" i="2"/>
  <c r="H39" i="2" s="1"/>
  <c r="L39" i="2"/>
  <c r="M39" i="2" s="1"/>
  <c r="E40" i="2"/>
  <c r="G40" i="2"/>
  <c r="H40" i="2" s="1"/>
  <c r="L40" i="2"/>
  <c r="M40" i="2" s="1"/>
  <c r="E41" i="2"/>
  <c r="G41" i="2"/>
  <c r="H41" i="2" s="1"/>
  <c r="L41" i="2"/>
  <c r="M41" i="2" s="1"/>
  <c r="E42" i="2"/>
  <c r="G42" i="2"/>
  <c r="H42" i="2" s="1"/>
  <c r="L42" i="2"/>
  <c r="M42" i="2" s="1"/>
  <c r="E43" i="2"/>
  <c r="G43" i="2"/>
  <c r="H43" i="2" s="1"/>
  <c r="L43" i="2"/>
  <c r="M43" i="2" s="1"/>
  <c r="E44" i="2"/>
  <c r="G44" i="2"/>
  <c r="H44" i="2" s="1"/>
  <c r="L44" i="2"/>
  <c r="M44" i="2" s="1"/>
  <c r="E45" i="2"/>
  <c r="G45" i="2"/>
  <c r="H45" i="2" s="1"/>
  <c r="L45" i="2"/>
  <c r="M45" i="2" s="1"/>
  <c r="E46" i="2"/>
  <c r="G46" i="2"/>
  <c r="H46" i="2" s="1"/>
  <c r="L46" i="2"/>
  <c r="M46" i="2" s="1"/>
  <c r="E47" i="2"/>
  <c r="G47" i="2"/>
  <c r="H47" i="2" s="1"/>
  <c r="L47" i="2"/>
  <c r="M47" i="2" s="1"/>
  <c r="E48" i="2"/>
  <c r="G48" i="2"/>
  <c r="H48" i="2" s="1"/>
  <c r="L48" i="2"/>
  <c r="M48" i="2" s="1"/>
  <c r="E49" i="2"/>
  <c r="G49" i="2"/>
  <c r="H49" i="2" s="1"/>
  <c r="L49" i="2"/>
  <c r="M49" i="2" s="1"/>
  <c r="E50" i="2"/>
  <c r="G50" i="2"/>
  <c r="H50" i="2" s="1"/>
  <c r="L50" i="2"/>
  <c r="M50" i="2" s="1"/>
  <c r="E51" i="2"/>
  <c r="G51" i="2"/>
  <c r="H51" i="2" s="1"/>
  <c r="L51" i="2"/>
  <c r="M51" i="2" s="1"/>
  <c r="E52" i="2"/>
  <c r="G52" i="2"/>
  <c r="H52" i="2" s="1"/>
  <c r="L52" i="2"/>
  <c r="M52" i="2" s="1"/>
  <c r="E53" i="2"/>
  <c r="G53" i="2"/>
  <c r="H53" i="2" s="1"/>
  <c r="L53" i="2"/>
  <c r="M53" i="2" s="1"/>
  <c r="E54" i="2"/>
  <c r="G54" i="2"/>
  <c r="H54" i="2" s="1"/>
  <c r="L54" i="2"/>
  <c r="M54" i="2" s="1"/>
  <c r="E55" i="2"/>
  <c r="G55" i="2"/>
  <c r="H55" i="2" s="1"/>
  <c r="L55" i="2"/>
  <c r="M55" i="2" s="1"/>
  <c r="E56" i="2"/>
  <c r="G56" i="2"/>
  <c r="H56" i="2" s="1"/>
  <c r="L56" i="2"/>
  <c r="M56" i="2" s="1"/>
  <c r="E57" i="2"/>
  <c r="G57" i="2"/>
  <c r="H57" i="2" s="1"/>
  <c r="L57" i="2"/>
  <c r="M57" i="2" s="1"/>
  <c r="E58" i="2"/>
  <c r="G58" i="2"/>
  <c r="H58" i="2" s="1"/>
  <c r="L58" i="2"/>
  <c r="M58" i="2" s="1"/>
  <c r="E59" i="2"/>
  <c r="G59" i="2"/>
  <c r="H59" i="2" s="1"/>
  <c r="L59" i="2"/>
  <c r="M59" i="2" s="1"/>
  <c r="E60" i="2"/>
  <c r="G60" i="2"/>
  <c r="H60" i="2" s="1"/>
  <c r="L60" i="2"/>
  <c r="M60" i="2" s="1"/>
  <c r="E61" i="2"/>
  <c r="G61" i="2"/>
  <c r="H61" i="2" s="1"/>
  <c r="L61" i="2"/>
  <c r="M61" i="2" s="1"/>
  <c r="E62" i="2"/>
  <c r="G62" i="2"/>
  <c r="H62" i="2" s="1"/>
  <c r="L62" i="2"/>
  <c r="M62" i="2" s="1"/>
  <c r="E63" i="2"/>
  <c r="G63" i="2"/>
  <c r="H63" i="2" s="1"/>
  <c r="L63" i="2"/>
  <c r="M63" i="2" s="1"/>
  <c r="E64" i="2"/>
  <c r="G64" i="2"/>
  <c r="H64" i="2" s="1"/>
  <c r="L64" i="2"/>
  <c r="M64" i="2" s="1"/>
  <c r="E65" i="2"/>
  <c r="G65" i="2"/>
  <c r="H65" i="2" s="1"/>
  <c r="L65" i="2"/>
  <c r="M65" i="2" s="1"/>
  <c r="E66" i="2"/>
  <c r="G66" i="2"/>
  <c r="H66" i="2" s="1"/>
  <c r="L66" i="2"/>
  <c r="M66" i="2" s="1"/>
  <c r="E67" i="2"/>
  <c r="G67" i="2"/>
  <c r="H67" i="2" s="1"/>
  <c r="L67" i="2"/>
  <c r="M67" i="2" s="1"/>
  <c r="E68" i="2"/>
  <c r="G68" i="2"/>
  <c r="H68" i="2" s="1"/>
  <c r="L68" i="2"/>
  <c r="N68" i="2" s="1"/>
  <c r="E69" i="2"/>
  <c r="G69" i="2"/>
  <c r="H69" i="2" s="1"/>
  <c r="L69" i="2"/>
  <c r="M69" i="2" s="1"/>
  <c r="E70" i="2"/>
  <c r="G70" i="2"/>
  <c r="H70" i="2" s="1"/>
  <c r="L70" i="2"/>
  <c r="O70" i="2" s="1"/>
  <c r="E71" i="2"/>
  <c r="G71" i="2"/>
  <c r="H71" i="2" s="1"/>
  <c r="L71" i="2"/>
  <c r="M71" i="2" s="1"/>
  <c r="E72" i="2"/>
  <c r="G72" i="2"/>
  <c r="H72" i="2" s="1"/>
  <c r="L72" i="2"/>
  <c r="N72" i="2" s="1"/>
  <c r="E73" i="2"/>
  <c r="G73" i="2"/>
  <c r="H73" i="2" s="1"/>
  <c r="L73" i="2"/>
  <c r="M73" i="2" s="1"/>
  <c r="E74" i="2"/>
  <c r="G74" i="2"/>
  <c r="H74" i="2" s="1"/>
  <c r="L74" i="2"/>
  <c r="M74" i="2" s="1"/>
  <c r="E75" i="2"/>
  <c r="G75" i="2"/>
  <c r="H75" i="2" s="1"/>
  <c r="L75" i="2"/>
  <c r="M75" i="2" s="1"/>
  <c r="E76" i="2"/>
  <c r="G76" i="2"/>
  <c r="H76" i="2" s="1"/>
  <c r="L76" i="2"/>
  <c r="M76" i="2" s="1"/>
  <c r="E77" i="2"/>
  <c r="G77" i="2"/>
  <c r="H77" i="2" s="1"/>
  <c r="L77" i="2"/>
  <c r="M77" i="2" s="1"/>
  <c r="E78" i="2"/>
  <c r="G78" i="2"/>
  <c r="H78" i="2" s="1"/>
  <c r="L78" i="2"/>
  <c r="O78" i="2" s="1"/>
  <c r="E79" i="2"/>
  <c r="G79" i="2"/>
  <c r="H79" i="2" s="1"/>
  <c r="L79" i="2"/>
  <c r="O79" i="2" s="1"/>
  <c r="E80" i="2"/>
  <c r="G80" i="2"/>
  <c r="H80" i="2" s="1"/>
  <c r="L80" i="2"/>
  <c r="N80" i="2" s="1"/>
  <c r="E81" i="2"/>
  <c r="G81" i="2"/>
  <c r="H81" i="2" s="1"/>
  <c r="L81" i="2"/>
  <c r="O81" i="2" s="1"/>
  <c r="E82" i="2"/>
  <c r="G82" i="2"/>
  <c r="H82" i="2" s="1"/>
  <c r="L82" i="2"/>
  <c r="M82" i="2" s="1"/>
  <c r="E83" i="2"/>
  <c r="G83" i="2"/>
  <c r="H83" i="2" s="1"/>
  <c r="L83" i="2"/>
  <c r="O83" i="2" s="1"/>
  <c r="E84" i="2"/>
  <c r="G84" i="2"/>
  <c r="H84" i="2" s="1"/>
  <c r="L84" i="2"/>
  <c r="M84" i="2" s="1"/>
  <c r="E85" i="2"/>
  <c r="G85" i="2"/>
  <c r="H85" i="2" s="1"/>
  <c r="L85" i="2"/>
  <c r="O85" i="2" s="1"/>
  <c r="E86" i="2"/>
  <c r="G86" i="2"/>
  <c r="H86" i="2" s="1"/>
  <c r="L86" i="2"/>
  <c r="O86" i="2" s="1"/>
  <c r="E87" i="2"/>
  <c r="G87" i="2"/>
  <c r="H87" i="2" s="1"/>
  <c r="L87" i="2"/>
  <c r="O87" i="2" s="1"/>
  <c r="E88" i="2"/>
  <c r="G88" i="2"/>
  <c r="H88" i="2" s="1"/>
  <c r="L88" i="2"/>
  <c r="N88" i="2" s="1"/>
  <c r="E89" i="2"/>
  <c r="G89" i="2"/>
  <c r="H89" i="2" s="1"/>
  <c r="L89" i="2"/>
  <c r="O89" i="2" s="1"/>
  <c r="E90" i="2"/>
  <c r="G90" i="2"/>
  <c r="H90" i="2" s="1"/>
  <c r="L90" i="2"/>
  <c r="M90" i="2" s="1"/>
  <c r="E91" i="2"/>
  <c r="G91" i="2"/>
  <c r="H91" i="2" s="1"/>
  <c r="L91" i="2"/>
  <c r="O91" i="2" s="1"/>
  <c r="E92" i="2"/>
  <c r="G92" i="2"/>
  <c r="H92" i="2" s="1"/>
  <c r="L92" i="2"/>
  <c r="M92" i="2" s="1"/>
  <c r="E93" i="2"/>
  <c r="G93" i="2"/>
  <c r="H93" i="2" s="1"/>
  <c r="L93" i="2"/>
  <c r="O93" i="2" s="1"/>
  <c r="E94" i="2"/>
  <c r="G94" i="2"/>
  <c r="H94" i="2" s="1"/>
  <c r="L94" i="2"/>
  <c r="O94" i="2" s="1"/>
  <c r="E95" i="2"/>
  <c r="G95" i="2"/>
  <c r="H95" i="2" s="1"/>
  <c r="L95" i="2"/>
  <c r="O95" i="2" s="1"/>
  <c r="E96" i="2"/>
  <c r="G96" i="2"/>
  <c r="H96" i="2" s="1"/>
  <c r="L96" i="2"/>
  <c r="N96" i="2" s="1"/>
  <c r="E97" i="2"/>
  <c r="G97" i="2"/>
  <c r="H97" i="2" s="1"/>
  <c r="L97" i="2"/>
  <c r="O97" i="2" s="1"/>
  <c r="E98" i="2"/>
  <c r="G98" i="2"/>
  <c r="H98" i="2" s="1"/>
  <c r="L98" i="2"/>
  <c r="M98" i="2" s="1"/>
  <c r="E99" i="2"/>
  <c r="G99" i="2"/>
  <c r="H99" i="2" s="1"/>
  <c r="L99" i="2"/>
  <c r="O99" i="2" s="1"/>
  <c r="E100" i="2"/>
  <c r="G100" i="2"/>
  <c r="H100" i="2" s="1"/>
  <c r="L100" i="2"/>
  <c r="M100" i="2" s="1"/>
  <c r="E101" i="2"/>
  <c r="G101" i="2"/>
  <c r="H101" i="2" s="1"/>
  <c r="L101" i="2"/>
  <c r="O101" i="2" s="1"/>
  <c r="E102" i="2"/>
  <c r="G102" i="2"/>
  <c r="H102" i="2" s="1"/>
  <c r="L102" i="2"/>
  <c r="N102" i="2" s="1"/>
  <c r="E103" i="2"/>
  <c r="G103" i="2"/>
  <c r="H103" i="2" s="1"/>
  <c r="L103" i="2"/>
  <c r="O103" i="2" s="1"/>
  <c r="E104" i="2"/>
  <c r="G104" i="2"/>
  <c r="H104" i="2" s="1"/>
  <c r="L104" i="2"/>
  <c r="O104" i="2" s="1"/>
  <c r="E105" i="2"/>
  <c r="G105" i="2"/>
  <c r="H105" i="2" s="1"/>
  <c r="L105" i="2"/>
  <c r="M105" i="2" s="1"/>
  <c r="E106" i="2"/>
  <c r="G106" i="2"/>
  <c r="H106" i="2" s="1"/>
  <c r="L106" i="2"/>
  <c r="O106" i="2" s="1"/>
  <c r="E107" i="2"/>
  <c r="G107" i="2"/>
  <c r="H107" i="2" s="1"/>
  <c r="L107" i="2"/>
  <c r="M107" i="2" s="1"/>
  <c r="E108" i="2"/>
  <c r="G108" i="2"/>
  <c r="H108" i="2" s="1"/>
  <c r="L108" i="2"/>
  <c r="N108" i="2" s="1"/>
  <c r="E109" i="2"/>
  <c r="G109" i="2"/>
  <c r="H109" i="2" s="1"/>
  <c r="L109" i="2"/>
  <c r="M109" i="2" s="1"/>
  <c r="E110" i="2"/>
  <c r="G110" i="2"/>
  <c r="H110" i="2" s="1"/>
  <c r="L110" i="2"/>
  <c r="N110" i="2" s="1"/>
  <c r="E111" i="2"/>
  <c r="G111" i="2"/>
  <c r="H111" i="2" s="1"/>
  <c r="L111" i="2"/>
  <c r="E112" i="2"/>
  <c r="G112" i="2"/>
  <c r="H112" i="2" s="1"/>
  <c r="L112" i="2"/>
  <c r="M112" i="2" s="1"/>
  <c r="E113" i="2"/>
  <c r="G113" i="2"/>
  <c r="H113" i="2" s="1"/>
  <c r="L113" i="2"/>
  <c r="O113" i="2" s="1"/>
  <c r="E114" i="2"/>
  <c r="G114" i="2"/>
  <c r="H114" i="2" s="1"/>
  <c r="L114" i="2"/>
  <c r="M114" i="2" s="1"/>
  <c r="E115" i="2"/>
  <c r="G115" i="2"/>
  <c r="H115" i="2" s="1"/>
  <c r="L115" i="2"/>
  <c r="M115" i="2" s="1"/>
  <c r="E116" i="2"/>
  <c r="G116" i="2"/>
  <c r="H116" i="2" s="1"/>
  <c r="L116" i="2"/>
  <c r="M116" i="2" s="1"/>
  <c r="E117" i="2"/>
  <c r="G117" i="2"/>
  <c r="H117" i="2" s="1"/>
  <c r="L117" i="2"/>
  <c r="M117" i="2" s="1"/>
  <c r="E118" i="2"/>
  <c r="G118" i="2"/>
  <c r="H118" i="2" s="1"/>
  <c r="L118" i="2"/>
  <c r="O118" i="2" s="1"/>
  <c r="E119" i="2"/>
  <c r="G119" i="2"/>
  <c r="H119" i="2" s="1"/>
  <c r="L119" i="2"/>
  <c r="E120" i="2"/>
  <c r="G120" i="2"/>
  <c r="H120" i="2" s="1"/>
  <c r="L120" i="2"/>
  <c r="N120" i="2" s="1"/>
  <c r="E121" i="2"/>
  <c r="G121" i="2"/>
  <c r="H121" i="2" s="1"/>
  <c r="L121" i="2"/>
  <c r="N121" i="2" s="1"/>
  <c r="E122" i="2"/>
  <c r="G122" i="2"/>
  <c r="H122" i="2" s="1"/>
  <c r="L122" i="2"/>
  <c r="M122" i="2" s="1"/>
  <c r="E123" i="2"/>
  <c r="G123" i="2"/>
  <c r="H123" i="2" s="1"/>
  <c r="L123" i="2"/>
  <c r="O123" i="2" s="1"/>
  <c r="E124" i="2"/>
  <c r="G124" i="2"/>
  <c r="H124" i="2" s="1"/>
  <c r="L124" i="2"/>
  <c r="N124" i="2" s="1"/>
  <c r="E125" i="2"/>
  <c r="G125" i="2"/>
  <c r="H125" i="2" s="1"/>
  <c r="L125" i="2"/>
  <c r="M125" i="2" s="1"/>
  <c r="E126" i="2"/>
  <c r="G126" i="2"/>
  <c r="H126" i="2" s="1"/>
  <c r="L126" i="2"/>
  <c r="M126" i="2" s="1"/>
  <c r="E127" i="2"/>
  <c r="G127" i="2"/>
  <c r="H127" i="2" s="1"/>
  <c r="L127" i="2"/>
  <c r="M127" i="2" s="1"/>
  <c r="E128" i="2"/>
  <c r="G128" i="2"/>
  <c r="H128" i="2" s="1"/>
  <c r="L128" i="2"/>
  <c r="E129" i="2"/>
  <c r="G129" i="2"/>
  <c r="H129" i="2" s="1"/>
  <c r="L129" i="2"/>
  <c r="M129" i="2" s="1"/>
  <c r="E130" i="2"/>
  <c r="G130" i="2"/>
  <c r="H130" i="2" s="1"/>
  <c r="L130" i="2"/>
  <c r="O130" i="2" s="1"/>
  <c r="E131" i="2"/>
  <c r="G131" i="2"/>
  <c r="H131" i="2" s="1"/>
  <c r="L131" i="2"/>
  <c r="M131" i="2" s="1"/>
  <c r="E132" i="2"/>
  <c r="G132" i="2"/>
  <c r="H132" i="2" s="1"/>
  <c r="L132" i="2"/>
  <c r="N132" i="2" s="1"/>
  <c r="E133" i="2"/>
  <c r="G133" i="2"/>
  <c r="H133" i="2" s="1"/>
  <c r="L133" i="2"/>
  <c r="O133" i="2" s="1"/>
  <c r="E134" i="2"/>
  <c r="G134" i="2"/>
  <c r="H134" i="2" s="1"/>
  <c r="L134" i="2"/>
  <c r="M134" i="2" s="1"/>
  <c r="E135" i="2"/>
  <c r="G135" i="2"/>
  <c r="H135" i="2" s="1"/>
  <c r="L135" i="2"/>
  <c r="M135" i="2" s="1"/>
  <c r="E136" i="2"/>
  <c r="G136" i="2"/>
  <c r="H136" i="2" s="1"/>
  <c r="L136" i="2"/>
  <c r="E137" i="2"/>
  <c r="G137" i="2"/>
  <c r="H137" i="2" s="1"/>
  <c r="L137" i="2"/>
  <c r="M137" i="2" s="1"/>
  <c r="E138" i="2"/>
  <c r="G138" i="2"/>
  <c r="H138" i="2" s="1"/>
  <c r="L138" i="2"/>
  <c r="N138" i="2" s="1"/>
  <c r="E139" i="2"/>
  <c r="G139" i="2"/>
  <c r="H139" i="2" s="1"/>
  <c r="L139" i="2"/>
  <c r="N139" i="2" s="1"/>
  <c r="E140" i="2"/>
  <c r="G140" i="2"/>
  <c r="H140" i="2" s="1"/>
  <c r="L140" i="2"/>
  <c r="O140" i="2" s="1"/>
  <c r="E141" i="2"/>
  <c r="G141" i="2"/>
  <c r="H141" i="2" s="1"/>
  <c r="L141" i="2"/>
  <c r="E142" i="2"/>
  <c r="G142" i="2"/>
  <c r="H142" i="2" s="1"/>
  <c r="L142" i="2"/>
  <c r="M142" i="2" s="1"/>
  <c r="E143" i="2"/>
  <c r="G143" i="2"/>
  <c r="H143" i="2" s="1"/>
  <c r="L143" i="2"/>
  <c r="M143" i="2" s="1"/>
  <c r="E144" i="2"/>
  <c r="G144" i="2"/>
  <c r="H144" i="2" s="1"/>
  <c r="L144" i="2"/>
  <c r="M144" i="2" s="1"/>
  <c r="E145" i="2"/>
  <c r="G145" i="2"/>
  <c r="H145" i="2" s="1"/>
  <c r="L145" i="2"/>
  <c r="O145" i="2" s="1"/>
  <c r="E146" i="2"/>
  <c r="G146" i="2"/>
  <c r="H146" i="2" s="1"/>
  <c r="L146" i="2"/>
  <c r="M146" i="2" s="1"/>
  <c r="E147" i="2"/>
  <c r="G147" i="2"/>
  <c r="H147" i="2" s="1"/>
  <c r="L147" i="2"/>
  <c r="M147" i="2" s="1"/>
  <c r="E148" i="2"/>
  <c r="G148" i="2"/>
  <c r="H148" i="2" s="1"/>
  <c r="L148" i="2"/>
  <c r="M148" i="2" s="1"/>
  <c r="E149" i="2"/>
  <c r="G149" i="2"/>
  <c r="H149" i="2" s="1"/>
  <c r="L149" i="2"/>
  <c r="M149" i="2" s="1"/>
  <c r="E150" i="2"/>
  <c r="G150" i="2"/>
  <c r="H150" i="2" s="1"/>
  <c r="L150" i="2"/>
  <c r="O150" i="2" s="1"/>
  <c r="E151" i="2"/>
  <c r="G151" i="2"/>
  <c r="H151" i="2" s="1"/>
  <c r="L151" i="2"/>
  <c r="O151" i="2" s="1"/>
  <c r="E152" i="2"/>
  <c r="G152" i="2"/>
  <c r="H152" i="2" s="1"/>
  <c r="L152" i="2"/>
  <c r="M152" i="2" s="1"/>
  <c r="E153" i="2"/>
  <c r="G153" i="2"/>
  <c r="H153" i="2" s="1"/>
  <c r="L153" i="2"/>
  <c r="N153" i="2" s="1"/>
  <c r="E154" i="2"/>
  <c r="G154" i="2"/>
  <c r="H154" i="2" s="1"/>
  <c r="L154" i="2"/>
  <c r="E155" i="2"/>
  <c r="G155" i="2"/>
  <c r="H155" i="2" s="1"/>
  <c r="L155" i="2"/>
  <c r="O155" i="2" s="1"/>
  <c r="E156" i="2"/>
  <c r="G156" i="2"/>
  <c r="H156" i="2" s="1"/>
  <c r="L156" i="2"/>
  <c r="N156" i="2" s="1"/>
  <c r="E157" i="2"/>
  <c r="G157" i="2"/>
  <c r="H157" i="2" s="1"/>
  <c r="L157" i="2"/>
  <c r="M157" i="2" s="1"/>
  <c r="E158" i="2"/>
  <c r="G158" i="2"/>
  <c r="H158" i="2" s="1"/>
  <c r="L158" i="2"/>
  <c r="N158" i="2" s="1"/>
  <c r="E159" i="2"/>
  <c r="G159" i="2"/>
  <c r="H159" i="2" s="1"/>
  <c r="L159" i="2"/>
  <c r="M159" i="2" s="1"/>
  <c r="E160" i="2"/>
  <c r="G160" i="2"/>
  <c r="H160" i="2" s="1"/>
  <c r="L160" i="2"/>
  <c r="N160" i="2" s="1"/>
  <c r="E161" i="2"/>
  <c r="G161" i="2"/>
  <c r="H161" i="2" s="1"/>
  <c r="L161" i="2"/>
  <c r="M161" i="2" s="1"/>
  <c r="E162" i="2"/>
  <c r="G162" i="2"/>
  <c r="H162" i="2" s="1"/>
  <c r="L162" i="2"/>
  <c r="O162" i="2" s="1"/>
  <c r="E163" i="2"/>
  <c r="G163" i="2"/>
  <c r="H163" i="2" s="1"/>
  <c r="L163" i="2"/>
  <c r="E164" i="2"/>
  <c r="G164" i="2"/>
  <c r="H164" i="2" s="1"/>
  <c r="L164" i="2"/>
  <c r="O164" i="2" s="1"/>
  <c r="E165" i="2"/>
  <c r="G165" i="2"/>
  <c r="H165" i="2" s="1"/>
  <c r="L165" i="2"/>
  <c r="O165" i="2" s="1"/>
  <c r="E166" i="2"/>
  <c r="G166" i="2"/>
  <c r="H166" i="2" s="1"/>
  <c r="L166" i="2"/>
  <c r="M166" i="2" s="1"/>
  <c r="E167" i="2"/>
  <c r="G167" i="2"/>
  <c r="H167" i="2" s="1"/>
  <c r="L167" i="2"/>
  <c r="M167" i="2" s="1"/>
  <c r="E168" i="2"/>
  <c r="G168" i="2"/>
  <c r="H168" i="2" s="1"/>
  <c r="L168" i="2"/>
  <c r="M168" i="2" s="1"/>
  <c r="E169" i="2"/>
  <c r="G169" i="2"/>
  <c r="H169" i="2" s="1"/>
  <c r="L169" i="2"/>
  <c r="O169" i="2" s="1"/>
  <c r="E170" i="2"/>
  <c r="G170" i="2"/>
  <c r="H170" i="2" s="1"/>
  <c r="L170" i="2"/>
  <c r="N170" i="2" s="1"/>
  <c r="E171" i="2"/>
  <c r="G171" i="2"/>
  <c r="H171" i="2" s="1"/>
  <c r="L171" i="2"/>
  <c r="M171" i="2" s="1"/>
  <c r="E172" i="2"/>
  <c r="G172" i="2"/>
  <c r="H172" i="2" s="1"/>
  <c r="L172" i="2"/>
  <c r="O172" i="2" s="1"/>
  <c r="E173" i="2"/>
  <c r="G173" i="2"/>
  <c r="H173" i="2" s="1"/>
  <c r="L173" i="2"/>
  <c r="N173" i="2" s="1"/>
  <c r="E174" i="2"/>
  <c r="G174" i="2"/>
  <c r="H174" i="2" s="1"/>
  <c r="L174" i="2"/>
  <c r="O174" i="2" s="1"/>
  <c r="E175" i="2"/>
  <c r="G175" i="2"/>
  <c r="H175" i="2" s="1"/>
  <c r="L175" i="2"/>
  <c r="N175" i="2" s="1"/>
  <c r="E176" i="2"/>
  <c r="G176" i="2"/>
  <c r="H176" i="2" s="1"/>
  <c r="L176" i="2"/>
  <c r="E177" i="2"/>
  <c r="G177" i="2"/>
  <c r="H177" i="2" s="1"/>
  <c r="L177" i="2"/>
  <c r="M177" i="2" s="1"/>
  <c r="E178" i="2"/>
  <c r="G178" i="2"/>
  <c r="H178" i="2" s="1"/>
  <c r="L178" i="2"/>
  <c r="O178" i="2" s="1"/>
  <c r="E179" i="2"/>
  <c r="G179" i="2"/>
  <c r="H179" i="2" s="1"/>
  <c r="L179" i="2"/>
  <c r="N179" i="2" s="1"/>
  <c r="E180" i="2"/>
  <c r="G180" i="2"/>
  <c r="H180" i="2" s="1"/>
  <c r="L180" i="2"/>
  <c r="O180" i="2" s="1"/>
  <c r="E181" i="2"/>
  <c r="G181" i="2"/>
  <c r="H181" i="2" s="1"/>
  <c r="L181" i="2"/>
  <c r="N181" i="2" s="1"/>
  <c r="E182" i="2"/>
  <c r="G182" i="2"/>
  <c r="H182" i="2" s="1"/>
  <c r="L182" i="2"/>
  <c r="O182" i="2" s="1"/>
  <c r="E183" i="2"/>
  <c r="G183" i="2"/>
  <c r="H183" i="2" s="1"/>
  <c r="L183" i="2"/>
  <c r="O183" i="2" s="1"/>
  <c r="E184" i="2"/>
  <c r="G184" i="2"/>
  <c r="H184" i="2" s="1"/>
  <c r="L184" i="2"/>
  <c r="O184" i="2" s="1"/>
  <c r="E185" i="2"/>
  <c r="G185" i="2"/>
  <c r="H185" i="2" s="1"/>
  <c r="L185" i="2"/>
  <c r="M185" i="2" s="1"/>
  <c r="E186" i="2"/>
  <c r="G186" i="2"/>
  <c r="H186" i="2" s="1"/>
  <c r="L186" i="2"/>
  <c r="O186" i="2" s="1"/>
  <c r="E187" i="2"/>
  <c r="G187" i="2"/>
  <c r="H187" i="2" s="1"/>
  <c r="L187" i="2"/>
  <c r="M187" i="2" s="1"/>
  <c r="E188" i="2"/>
  <c r="G188" i="2"/>
  <c r="H188" i="2" s="1"/>
  <c r="L188" i="2"/>
  <c r="O188" i="2" s="1"/>
  <c r="E189" i="2"/>
  <c r="G189" i="2"/>
  <c r="H189" i="2" s="1"/>
  <c r="L189" i="2"/>
  <c r="M189" i="2" s="1"/>
  <c r="E190" i="2"/>
  <c r="G190" i="2"/>
  <c r="H190" i="2" s="1"/>
  <c r="L190" i="2"/>
  <c r="O190" i="2" s="1"/>
  <c r="E191" i="2"/>
  <c r="G191" i="2"/>
  <c r="H191" i="2" s="1"/>
  <c r="L191" i="2"/>
  <c r="M191" i="2" s="1"/>
  <c r="E192" i="2"/>
  <c r="G192" i="2"/>
  <c r="H192" i="2" s="1"/>
  <c r="L192" i="2"/>
  <c r="E193" i="2"/>
  <c r="G193" i="2"/>
  <c r="H193" i="2" s="1"/>
  <c r="L193" i="2"/>
  <c r="M193" i="2" s="1"/>
  <c r="E194" i="2"/>
  <c r="G194" i="2"/>
  <c r="H194" i="2" s="1"/>
  <c r="L194" i="2"/>
  <c r="O194" i="2" s="1"/>
  <c r="E195" i="2"/>
  <c r="G195" i="2"/>
  <c r="H195" i="2" s="1"/>
  <c r="L195" i="2"/>
  <c r="M195" i="2" s="1"/>
  <c r="E196" i="2"/>
  <c r="G196" i="2"/>
  <c r="H196" i="2" s="1"/>
  <c r="L196" i="2"/>
  <c r="O196" i="2" s="1"/>
  <c r="E197" i="2"/>
  <c r="G197" i="2"/>
  <c r="H197" i="2" s="1"/>
  <c r="L197" i="2"/>
  <c r="N197" i="2" s="1"/>
  <c r="E198" i="2"/>
  <c r="G198" i="2"/>
  <c r="H198" i="2" s="1"/>
  <c r="L198" i="2"/>
  <c r="O198" i="2" s="1"/>
  <c r="E199" i="2"/>
  <c r="G199" i="2"/>
  <c r="H199" i="2" s="1"/>
  <c r="L199" i="2"/>
  <c r="M199" i="2" s="1"/>
  <c r="E200" i="2"/>
  <c r="G200" i="2"/>
  <c r="H200" i="2" s="1"/>
  <c r="L200" i="2"/>
  <c r="O200" i="2" s="1"/>
  <c r="E201" i="2"/>
  <c r="G201" i="2"/>
  <c r="H201" i="2" s="1"/>
  <c r="L201" i="2"/>
  <c r="N201" i="2" s="1"/>
  <c r="E202" i="2"/>
  <c r="G202" i="2"/>
  <c r="H202" i="2" s="1"/>
  <c r="L202" i="2"/>
  <c r="O202" i="2" s="1"/>
  <c r="E203" i="2"/>
  <c r="G203" i="2"/>
  <c r="H203" i="2" s="1"/>
  <c r="L203" i="2"/>
  <c r="N203" i="2" s="1"/>
  <c r="E204" i="2"/>
  <c r="G204" i="2"/>
  <c r="H204" i="2" s="1"/>
  <c r="L204" i="2"/>
  <c r="O204" i="2" s="1"/>
  <c r="E205" i="2"/>
  <c r="G205" i="2"/>
  <c r="H205" i="2" s="1"/>
  <c r="L205" i="2"/>
  <c r="N205" i="2" s="1"/>
  <c r="E206" i="2"/>
  <c r="G206" i="2"/>
  <c r="H206" i="2" s="1"/>
  <c r="L206" i="2"/>
  <c r="O206" i="2" s="1"/>
  <c r="E207" i="2"/>
  <c r="G207" i="2"/>
  <c r="H207" i="2" s="1"/>
  <c r="L207" i="2"/>
  <c r="N207" i="2" s="1"/>
  <c r="E208" i="2"/>
  <c r="G208" i="2"/>
  <c r="H208" i="2" s="1"/>
  <c r="L208" i="2"/>
  <c r="O208" i="2" s="1"/>
  <c r="E209" i="2"/>
  <c r="G209" i="2"/>
  <c r="H209" i="2" s="1"/>
  <c r="L209" i="2"/>
  <c r="N209" i="2" s="1"/>
  <c r="E210" i="2"/>
  <c r="G210" i="2"/>
  <c r="H210" i="2" s="1"/>
  <c r="L210" i="2"/>
  <c r="O210" i="2" s="1"/>
  <c r="E211" i="2"/>
  <c r="G211" i="2"/>
  <c r="H211" i="2" s="1"/>
  <c r="L211" i="2"/>
  <c r="N211" i="2" s="1"/>
  <c r="E212" i="2"/>
  <c r="G212" i="2"/>
  <c r="H212" i="2" s="1"/>
  <c r="L212" i="2"/>
  <c r="O212" i="2" s="1"/>
  <c r="E213" i="2"/>
  <c r="G213" i="2"/>
  <c r="H213" i="2" s="1"/>
  <c r="L213" i="2"/>
  <c r="N213" i="2" s="1"/>
  <c r="E214" i="2"/>
  <c r="G214" i="2"/>
  <c r="H214" i="2" s="1"/>
  <c r="L214" i="2"/>
  <c r="O214" i="2" s="1"/>
  <c r="E215" i="2"/>
  <c r="G215" i="2"/>
  <c r="H215" i="2" s="1"/>
  <c r="L215" i="2"/>
  <c r="N215" i="2" s="1"/>
  <c r="E216" i="2"/>
  <c r="G216" i="2"/>
  <c r="H216" i="2" s="1"/>
  <c r="L216" i="2"/>
  <c r="O216" i="2" s="1"/>
  <c r="E217" i="2"/>
  <c r="G217" i="2"/>
  <c r="H217" i="2" s="1"/>
  <c r="L217" i="2"/>
  <c r="N217" i="2" s="1"/>
  <c r="E218" i="2"/>
  <c r="G218" i="2"/>
  <c r="H218" i="2" s="1"/>
  <c r="L218" i="2"/>
  <c r="O218" i="2" s="1"/>
  <c r="E219" i="2"/>
  <c r="G219" i="2"/>
  <c r="H219" i="2" s="1"/>
  <c r="L219" i="2"/>
  <c r="N219" i="2" s="1"/>
  <c r="E220" i="2"/>
  <c r="G220" i="2"/>
  <c r="H220" i="2" s="1"/>
  <c r="L220" i="2"/>
  <c r="M220" i="2" s="1"/>
  <c r="E221" i="2"/>
  <c r="G221" i="2"/>
  <c r="H221" i="2" s="1"/>
  <c r="L221" i="2"/>
  <c r="N221" i="2" s="1"/>
  <c r="O221" i="2"/>
  <c r="E222" i="2"/>
  <c r="G222" i="2"/>
  <c r="H222" i="2" s="1"/>
  <c r="L222" i="2"/>
  <c r="O222" i="2" s="1"/>
  <c r="E223" i="2"/>
  <c r="G223" i="2"/>
  <c r="H223" i="2" s="1"/>
  <c r="L223" i="2"/>
  <c r="N223" i="2" s="1"/>
  <c r="E224" i="2"/>
  <c r="G224" i="2"/>
  <c r="H224" i="2" s="1"/>
  <c r="L224" i="2"/>
  <c r="O224" i="2" s="1"/>
  <c r="E225" i="2"/>
  <c r="G225" i="2"/>
  <c r="H225" i="2" s="1"/>
  <c r="L225" i="2"/>
  <c r="N225" i="2" s="1"/>
  <c r="E226" i="2"/>
  <c r="G226" i="2"/>
  <c r="H226" i="2" s="1"/>
  <c r="L226" i="2"/>
  <c r="O226" i="2" s="1"/>
  <c r="E227" i="2"/>
  <c r="G227" i="2"/>
  <c r="H227" i="2" s="1"/>
  <c r="L227" i="2"/>
  <c r="N227" i="2" s="1"/>
  <c r="E228" i="2"/>
  <c r="G228" i="2"/>
  <c r="H228" i="2" s="1"/>
  <c r="L228" i="2"/>
  <c r="O228" i="2" s="1"/>
  <c r="E229" i="2"/>
  <c r="G229" i="2"/>
  <c r="H229" i="2" s="1"/>
  <c r="L229" i="2"/>
  <c r="N229" i="2" s="1"/>
  <c r="E230" i="2"/>
  <c r="G230" i="2"/>
  <c r="H230" i="2" s="1"/>
  <c r="L230" i="2"/>
  <c r="O230" i="2" s="1"/>
  <c r="E231" i="2"/>
  <c r="G231" i="2"/>
  <c r="H231" i="2" s="1"/>
  <c r="L231" i="2"/>
  <c r="N231" i="2" s="1"/>
  <c r="E232" i="2"/>
  <c r="G232" i="2"/>
  <c r="H232" i="2" s="1"/>
  <c r="L232" i="2"/>
  <c r="O232" i="2" s="1"/>
  <c r="E233" i="2"/>
  <c r="G233" i="2"/>
  <c r="H233" i="2" s="1"/>
  <c r="L233" i="2"/>
  <c r="N233" i="2" s="1"/>
  <c r="E234" i="2"/>
  <c r="G234" i="2"/>
  <c r="H234" i="2" s="1"/>
  <c r="L234" i="2"/>
  <c r="E235" i="2"/>
  <c r="G235" i="2"/>
  <c r="H235" i="2" s="1"/>
  <c r="L235" i="2"/>
  <c r="N235" i="2" s="1"/>
  <c r="E236" i="2"/>
  <c r="G236" i="2"/>
  <c r="H236" i="2" s="1"/>
  <c r="L236" i="2"/>
  <c r="O236" i="2" s="1"/>
  <c r="E237" i="2"/>
  <c r="G237" i="2"/>
  <c r="H237" i="2" s="1"/>
  <c r="L237" i="2"/>
  <c r="N237" i="2" s="1"/>
  <c r="E238" i="2"/>
  <c r="G238" i="2"/>
  <c r="H238" i="2" s="1"/>
  <c r="L238" i="2"/>
  <c r="O238" i="2" s="1"/>
  <c r="E239" i="2"/>
  <c r="G239" i="2"/>
  <c r="H239" i="2" s="1"/>
  <c r="L239" i="2"/>
  <c r="N239" i="2" s="1"/>
  <c r="E240" i="2"/>
  <c r="G240" i="2"/>
  <c r="H240" i="2" s="1"/>
  <c r="L240" i="2"/>
  <c r="E241" i="2"/>
  <c r="G241" i="2"/>
  <c r="H241" i="2" s="1"/>
  <c r="L241" i="2"/>
  <c r="O241" i="2" s="1"/>
  <c r="E242" i="2"/>
  <c r="G242" i="2"/>
  <c r="H242" i="2" s="1"/>
  <c r="L242" i="2"/>
  <c r="O242" i="2" s="1"/>
  <c r="E243" i="2"/>
  <c r="G243" i="2"/>
  <c r="H243" i="2" s="1"/>
  <c r="L243" i="2"/>
  <c r="E244" i="2"/>
  <c r="G244" i="2"/>
  <c r="H244" i="2" s="1"/>
  <c r="L244" i="2"/>
  <c r="O244" i="2" s="1"/>
  <c r="E245" i="2"/>
  <c r="G245" i="2"/>
  <c r="H245" i="2" s="1"/>
  <c r="L245" i="2"/>
  <c r="M245" i="2" s="1"/>
  <c r="E246" i="2"/>
  <c r="G246" i="2"/>
  <c r="H246" i="2" s="1"/>
  <c r="L246" i="2"/>
  <c r="O246" i="2" s="1"/>
  <c r="E247" i="2"/>
  <c r="G247" i="2"/>
  <c r="H247" i="2" s="1"/>
  <c r="L247" i="2"/>
  <c r="O247" i="2" s="1"/>
  <c r="E248" i="2"/>
  <c r="G248" i="2"/>
  <c r="H248" i="2" s="1"/>
  <c r="L248" i="2"/>
  <c r="E249" i="2"/>
  <c r="G249" i="2"/>
  <c r="H249" i="2" s="1"/>
  <c r="L249" i="2"/>
  <c r="O249" i="2" s="1"/>
  <c r="E250" i="2"/>
  <c r="G250" i="2"/>
  <c r="H250" i="2" s="1"/>
  <c r="L250" i="2"/>
  <c r="O250" i="2" s="1"/>
  <c r="E251" i="2"/>
  <c r="G251" i="2"/>
  <c r="H251" i="2" s="1"/>
  <c r="L251" i="2"/>
  <c r="M251" i="2" s="1"/>
  <c r="E252" i="2"/>
  <c r="G252" i="2"/>
  <c r="H252" i="2" s="1"/>
  <c r="L252" i="2"/>
  <c r="O252" i="2" s="1"/>
  <c r="E253" i="2"/>
  <c r="G253" i="2"/>
  <c r="H253" i="2" s="1"/>
  <c r="L253" i="2"/>
  <c r="O253" i="2" s="1"/>
  <c r="E254" i="2"/>
  <c r="G254" i="2"/>
  <c r="H254" i="2" s="1"/>
  <c r="L254" i="2"/>
  <c r="O254" i="2" s="1"/>
  <c r="E255" i="2"/>
  <c r="G255" i="2"/>
  <c r="H255" i="2" s="1"/>
  <c r="L255" i="2"/>
  <c r="M255" i="2" s="1"/>
  <c r="E256" i="2"/>
  <c r="G256" i="2"/>
  <c r="H256" i="2" s="1"/>
  <c r="L256" i="2"/>
  <c r="E257" i="2"/>
  <c r="G257" i="2"/>
  <c r="H257" i="2" s="1"/>
  <c r="L257" i="2"/>
  <c r="N257" i="2" s="1"/>
  <c r="E258" i="2"/>
  <c r="G258" i="2"/>
  <c r="H258" i="2" s="1"/>
  <c r="L258" i="2"/>
  <c r="O258" i="2" s="1"/>
  <c r="E259" i="2"/>
  <c r="G259" i="2"/>
  <c r="H259" i="2" s="1"/>
  <c r="L259" i="2"/>
  <c r="M259" i="2" s="1"/>
  <c r="E260" i="2"/>
  <c r="G260" i="2"/>
  <c r="H260" i="2" s="1"/>
  <c r="L260" i="2"/>
  <c r="N260" i="2" s="1"/>
  <c r="E261" i="2"/>
  <c r="G261" i="2"/>
  <c r="H261" i="2" s="1"/>
  <c r="L261" i="2"/>
  <c r="M261" i="2" s="1"/>
  <c r="E262" i="2"/>
  <c r="G262" i="2"/>
  <c r="H262" i="2" s="1"/>
  <c r="L262" i="2"/>
  <c r="M262" i="2" s="1"/>
  <c r="E263" i="2"/>
  <c r="G263" i="2"/>
  <c r="H263" i="2" s="1"/>
  <c r="L263" i="2"/>
  <c r="N263" i="2" s="1"/>
  <c r="E264" i="2"/>
  <c r="G264" i="2"/>
  <c r="H264" i="2" s="1"/>
  <c r="L264" i="2"/>
  <c r="O264" i="2" s="1"/>
  <c r="E265" i="2"/>
  <c r="G265" i="2"/>
  <c r="H265" i="2" s="1"/>
  <c r="L265" i="2"/>
  <c r="N265" i="2" s="1"/>
  <c r="E266" i="2"/>
  <c r="G266" i="2"/>
  <c r="H266" i="2" s="1"/>
  <c r="L266" i="2"/>
  <c r="O266" i="2" s="1"/>
  <c r="E267" i="2"/>
  <c r="G267" i="2"/>
  <c r="H267" i="2" s="1"/>
  <c r="L267" i="2"/>
  <c r="N267" i="2" s="1"/>
  <c r="E268" i="2"/>
  <c r="G268" i="2"/>
  <c r="H268" i="2" s="1"/>
  <c r="L268" i="2"/>
  <c r="O268" i="2" s="1"/>
  <c r="E269" i="2"/>
  <c r="G269" i="2"/>
  <c r="H269" i="2" s="1"/>
  <c r="L269" i="2"/>
  <c r="M269" i="2" s="1"/>
  <c r="E270" i="2"/>
  <c r="G270" i="2"/>
  <c r="H270" i="2" s="1"/>
  <c r="L270" i="2"/>
  <c r="O270" i="2" s="1"/>
  <c r="E271" i="2"/>
  <c r="G271" i="2"/>
  <c r="H271" i="2" s="1"/>
  <c r="L271" i="2"/>
  <c r="N271" i="2" s="1"/>
  <c r="E272" i="2"/>
  <c r="G272" i="2"/>
  <c r="H272" i="2" s="1"/>
  <c r="L272" i="2"/>
  <c r="O272" i="2" s="1"/>
  <c r="E273" i="2"/>
  <c r="G273" i="2"/>
  <c r="H273" i="2" s="1"/>
  <c r="L273" i="2"/>
  <c r="M273" i="2" s="1"/>
  <c r="E274" i="2"/>
  <c r="G274" i="2"/>
  <c r="H274" i="2" s="1"/>
  <c r="L274" i="2"/>
  <c r="O274" i="2" s="1"/>
  <c r="E275" i="2"/>
  <c r="G275" i="2"/>
  <c r="H275" i="2" s="1"/>
  <c r="L275" i="2"/>
  <c r="N275" i="2" s="1"/>
  <c r="E276" i="2"/>
  <c r="G276" i="2"/>
  <c r="H276" i="2" s="1"/>
  <c r="L276" i="2"/>
  <c r="N276" i="2" s="1"/>
  <c r="E277" i="2"/>
  <c r="G277" i="2"/>
  <c r="H277" i="2" s="1"/>
  <c r="L277" i="2"/>
  <c r="N277" i="2" s="1"/>
  <c r="E278" i="2"/>
  <c r="G278" i="2"/>
  <c r="H278" i="2" s="1"/>
  <c r="L278" i="2"/>
  <c r="O278" i="2" s="1"/>
  <c r="E279" i="2"/>
  <c r="G279" i="2"/>
  <c r="H279" i="2" s="1"/>
  <c r="L279" i="2"/>
  <c r="O279" i="2" s="1"/>
  <c r="E280" i="2"/>
  <c r="G280" i="2"/>
  <c r="H280" i="2" s="1"/>
  <c r="L280" i="2"/>
  <c r="N280" i="2" s="1"/>
  <c r="E281" i="2"/>
  <c r="G281" i="2"/>
  <c r="H281" i="2" s="1"/>
  <c r="L281" i="2"/>
  <c r="O281" i="2" s="1"/>
  <c r="E282" i="2"/>
  <c r="G282" i="2"/>
  <c r="H282" i="2" s="1"/>
  <c r="L282" i="2"/>
  <c r="O282" i="2" s="1"/>
  <c r="E283" i="2"/>
  <c r="G283" i="2"/>
  <c r="H283" i="2" s="1"/>
  <c r="L283" i="2"/>
  <c r="M283" i="2" s="1"/>
  <c r="E284" i="2"/>
  <c r="G284" i="2"/>
  <c r="H284" i="2" s="1"/>
  <c r="L284" i="2"/>
  <c r="N284" i="2" s="1"/>
  <c r="E285" i="2"/>
  <c r="G285" i="2"/>
  <c r="H285" i="2" s="1"/>
  <c r="L285" i="2"/>
  <c r="N285" i="2" s="1"/>
  <c r="E286" i="2"/>
  <c r="G286" i="2"/>
  <c r="H286" i="2" s="1"/>
  <c r="L286" i="2"/>
  <c r="O286" i="2" s="1"/>
  <c r="E287" i="2"/>
  <c r="G287" i="2"/>
  <c r="H287" i="2" s="1"/>
  <c r="L287" i="2"/>
  <c r="N287" i="2" s="1"/>
  <c r="E288" i="2"/>
  <c r="G288" i="2"/>
  <c r="H288" i="2" s="1"/>
  <c r="L288" i="2"/>
  <c r="N288" i="2" s="1"/>
  <c r="E289" i="2"/>
  <c r="G289" i="2"/>
  <c r="H289" i="2" s="1"/>
  <c r="L289" i="2"/>
  <c r="M289" i="2" s="1"/>
  <c r="E290" i="2"/>
  <c r="G290" i="2"/>
  <c r="H290" i="2" s="1"/>
  <c r="L290" i="2"/>
  <c r="O290" i="2" s="1"/>
  <c r="E291" i="2"/>
  <c r="G291" i="2"/>
  <c r="H291" i="2" s="1"/>
  <c r="L291" i="2"/>
  <c r="M291" i="2" s="1"/>
  <c r="E292" i="2"/>
  <c r="G292" i="2"/>
  <c r="H292" i="2" s="1"/>
  <c r="L292" i="2"/>
  <c r="N292" i="2" s="1"/>
  <c r="E293" i="2"/>
  <c r="G293" i="2"/>
  <c r="H293" i="2" s="1"/>
  <c r="L293" i="2"/>
  <c r="M293" i="2" s="1"/>
  <c r="E294" i="2"/>
  <c r="G294" i="2"/>
  <c r="H294" i="2" s="1"/>
  <c r="L294" i="2"/>
  <c r="M294" i="2" s="1"/>
  <c r="E295" i="2"/>
  <c r="G295" i="2"/>
  <c r="H295" i="2" s="1"/>
  <c r="L295" i="2"/>
  <c r="N295" i="2" s="1"/>
  <c r="E296" i="2"/>
  <c r="G296" i="2"/>
  <c r="H296" i="2" s="1"/>
  <c r="L296" i="2"/>
  <c r="O296" i="2" s="1"/>
  <c r="E297" i="2"/>
  <c r="G297" i="2"/>
  <c r="H297" i="2" s="1"/>
  <c r="L297" i="2"/>
  <c r="N297" i="2" s="1"/>
  <c r="E298" i="2"/>
  <c r="G298" i="2"/>
  <c r="H298" i="2" s="1"/>
  <c r="L298" i="2"/>
  <c r="E299" i="2"/>
  <c r="G299" i="2"/>
  <c r="H299" i="2" s="1"/>
  <c r="L299" i="2"/>
  <c r="O299" i="2" s="1"/>
  <c r="E300" i="2"/>
  <c r="G300" i="2"/>
  <c r="H300" i="2" s="1"/>
  <c r="L300" i="2"/>
  <c r="O300" i="2" s="1"/>
  <c r="E301" i="2"/>
  <c r="G301" i="2"/>
  <c r="H301" i="2" s="1"/>
  <c r="L301" i="2"/>
  <c r="M301" i="2" s="1"/>
  <c r="E302" i="2"/>
  <c r="G302" i="2"/>
  <c r="H302" i="2" s="1"/>
  <c r="L302" i="2"/>
  <c r="O302" i="2" s="1"/>
  <c r="E303" i="2"/>
  <c r="G303" i="2"/>
  <c r="H303" i="2" s="1"/>
  <c r="L303" i="2"/>
  <c r="M303" i="2" s="1"/>
  <c r="E304" i="2"/>
  <c r="G304" i="2"/>
  <c r="H304" i="2" s="1"/>
  <c r="L304" i="2"/>
  <c r="M304" i="2" s="1"/>
  <c r="E305" i="2"/>
  <c r="G305" i="2"/>
  <c r="H305" i="2" s="1"/>
  <c r="L305" i="2"/>
  <c r="E306" i="2"/>
  <c r="G306" i="2"/>
  <c r="H306" i="2" s="1"/>
  <c r="L306" i="2"/>
  <c r="M306" i="2" s="1"/>
  <c r="E307" i="2"/>
  <c r="G307" i="2"/>
  <c r="H307" i="2" s="1"/>
  <c r="L307" i="2"/>
  <c r="M307" i="2" s="1"/>
  <c r="E308" i="2"/>
  <c r="G308" i="2"/>
  <c r="H308" i="2" s="1"/>
  <c r="L308" i="2"/>
  <c r="M308" i="2" s="1"/>
  <c r="E309" i="2"/>
  <c r="G309" i="2"/>
  <c r="H309" i="2" s="1"/>
  <c r="L309" i="2"/>
  <c r="M309" i="2" s="1"/>
  <c r="E310" i="2"/>
  <c r="G310" i="2"/>
  <c r="H310" i="2" s="1"/>
  <c r="L310" i="2"/>
  <c r="M310" i="2" s="1"/>
  <c r="E311" i="2"/>
  <c r="G311" i="2"/>
  <c r="H311" i="2" s="1"/>
  <c r="L311" i="2"/>
  <c r="M311" i="2" s="1"/>
  <c r="E312" i="2"/>
  <c r="G312" i="2"/>
  <c r="H312" i="2" s="1"/>
  <c r="L312" i="2"/>
  <c r="M312" i="2" s="1"/>
  <c r="E313" i="2"/>
  <c r="G313" i="2"/>
  <c r="H313" i="2" s="1"/>
  <c r="L313" i="2"/>
  <c r="M313" i="2" s="1"/>
  <c r="E314" i="2"/>
  <c r="G314" i="2"/>
  <c r="H314" i="2" s="1"/>
  <c r="L314" i="2"/>
  <c r="O314" i="2" s="1"/>
  <c r="E315" i="2"/>
  <c r="G315" i="2"/>
  <c r="H315" i="2" s="1"/>
  <c r="L315" i="2"/>
  <c r="M315" i="2" s="1"/>
  <c r="E316" i="2"/>
  <c r="G316" i="2"/>
  <c r="H316" i="2" s="1"/>
  <c r="L316" i="2"/>
  <c r="M316" i="2" s="1"/>
  <c r="E317" i="2"/>
  <c r="G317" i="2"/>
  <c r="H317" i="2" s="1"/>
  <c r="L317" i="2"/>
  <c r="M317" i="2" s="1"/>
  <c r="E318" i="2"/>
  <c r="G318" i="2"/>
  <c r="H318" i="2" s="1"/>
  <c r="L318" i="2"/>
  <c r="M318" i="2" s="1"/>
  <c r="E319" i="2"/>
  <c r="G319" i="2"/>
  <c r="H319" i="2" s="1"/>
  <c r="L319" i="2"/>
  <c r="M319" i="2" s="1"/>
  <c r="E320" i="2"/>
  <c r="G320" i="2"/>
  <c r="H320" i="2" s="1"/>
  <c r="L320" i="2"/>
  <c r="M320" i="2" s="1"/>
  <c r="E321" i="2"/>
  <c r="G321" i="2"/>
  <c r="H321" i="2" s="1"/>
  <c r="L321" i="2"/>
  <c r="E322" i="2"/>
  <c r="G322" i="2"/>
  <c r="H322" i="2" s="1"/>
  <c r="L322" i="2"/>
  <c r="O322" i="2" s="1"/>
  <c r="E323" i="2"/>
  <c r="G323" i="2"/>
  <c r="H323" i="2" s="1"/>
  <c r="L323" i="2"/>
  <c r="O323" i="2" s="1"/>
  <c r="E324" i="2"/>
  <c r="G324" i="2"/>
  <c r="H324" i="2" s="1"/>
  <c r="L324" i="2"/>
  <c r="M324" i="2" s="1"/>
  <c r="E325" i="2"/>
  <c r="G325" i="2"/>
  <c r="H325" i="2" s="1"/>
  <c r="L325" i="2"/>
  <c r="O325" i="2" s="1"/>
  <c r="E326" i="2"/>
  <c r="G326" i="2"/>
  <c r="H326" i="2" s="1"/>
  <c r="L326" i="2"/>
  <c r="N326" i="2" s="1"/>
  <c r="E327" i="2"/>
  <c r="G327" i="2"/>
  <c r="H327" i="2" s="1"/>
  <c r="L327" i="2"/>
  <c r="N327" i="2" s="1"/>
  <c r="E328" i="2"/>
  <c r="G328" i="2"/>
  <c r="H328" i="2" s="1"/>
  <c r="L328" i="2"/>
  <c r="M328" i="2" s="1"/>
  <c r="E329" i="2"/>
  <c r="G329" i="2"/>
  <c r="H329" i="2" s="1"/>
  <c r="L329" i="2"/>
  <c r="M329" i="2" s="1"/>
  <c r="E330" i="2"/>
  <c r="G330" i="2"/>
  <c r="H330" i="2" s="1"/>
  <c r="L330" i="2"/>
  <c r="N330" i="2" s="1"/>
  <c r="E331" i="2"/>
  <c r="G331" i="2"/>
  <c r="H331" i="2" s="1"/>
  <c r="L331" i="2"/>
  <c r="M331" i="2" s="1"/>
  <c r="E332" i="2"/>
  <c r="G332" i="2"/>
  <c r="H332" i="2" s="1"/>
  <c r="L332" i="2"/>
  <c r="M332" i="2" s="1"/>
  <c r="E333" i="2"/>
  <c r="G333" i="2"/>
  <c r="H333" i="2" s="1"/>
  <c r="L333" i="2"/>
  <c r="N333" i="2" s="1"/>
  <c r="E334" i="2"/>
  <c r="G334" i="2"/>
  <c r="H334" i="2" s="1"/>
  <c r="L334" i="2"/>
  <c r="M334" i="2" s="1"/>
  <c r="E335" i="2"/>
  <c r="G335" i="2"/>
  <c r="H335" i="2" s="1"/>
  <c r="L335" i="2"/>
  <c r="E336" i="2"/>
  <c r="G336" i="2"/>
  <c r="H336" i="2" s="1"/>
  <c r="L336" i="2"/>
  <c r="M336" i="2" s="1"/>
  <c r="E337" i="2"/>
  <c r="G337" i="2"/>
  <c r="H337" i="2" s="1"/>
  <c r="L337" i="2"/>
  <c r="M337" i="2" s="1"/>
  <c r="E338" i="2"/>
  <c r="G338" i="2"/>
  <c r="H338" i="2" s="1"/>
  <c r="L338" i="2"/>
  <c r="E339" i="2"/>
  <c r="G339" i="2"/>
  <c r="H339" i="2" s="1"/>
  <c r="L339" i="2"/>
  <c r="M339" i="2" s="1"/>
  <c r="E340" i="2"/>
  <c r="G340" i="2"/>
  <c r="H340" i="2" s="1"/>
  <c r="L340" i="2"/>
  <c r="O340" i="2" s="1"/>
  <c r="E341" i="2"/>
  <c r="G341" i="2"/>
  <c r="H341" i="2" s="1"/>
  <c r="L341" i="2"/>
  <c r="N341" i="2" s="1"/>
  <c r="E342" i="2"/>
  <c r="G342" i="2"/>
  <c r="H342" i="2" s="1"/>
  <c r="L342" i="2"/>
  <c r="O342" i="2" s="1"/>
  <c r="E343" i="2"/>
  <c r="G343" i="2"/>
  <c r="H343" i="2" s="1"/>
  <c r="L343" i="2"/>
  <c r="M343" i="2" s="1"/>
  <c r="E344" i="2"/>
  <c r="G344" i="2"/>
  <c r="H344" i="2" s="1"/>
  <c r="L344" i="2"/>
  <c r="M344" i="2" s="1"/>
  <c r="E345" i="2"/>
  <c r="G345" i="2"/>
  <c r="H345" i="2" s="1"/>
  <c r="L345" i="2"/>
  <c r="N345" i="2" s="1"/>
  <c r="E346" i="2"/>
  <c r="G346" i="2"/>
  <c r="H346" i="2" s="1"/>
  <c r="L346" i="2"/>
  <c r="M346" i="2" s="1"/>
  <c r="E347" i="2"/>
  <c r="G347" i="2"/>
  <c r="H347" i="2" s="1"/>
  <c r="L347" i="2"/>
  <c r="M347" i="2" s="1"/>
  <c r="E348" i="2"/>
  <c r="G348" i="2"/>
  <c r="H348" i="2" s="1"/>
  <c r="L348" i="2"/>
  <c r="M348" i="2" s="1"/>
  <c r="E349" i="2"/>
  <c r="G349" i="2"/>
  <c r="H349" i="2" s="1"/>
  <c r="L349" i="2"/>
  <c r="M349" i="2" s="1"/>
  <c r="E350" i="2"/>
  <c r="G350" i="2"/>
  <c r="H350" i="2" s="1"/>
  <c r="L350" i="2"/>
  <c r="N350" i="2" s="1"/>
  <c r="E351" i="2"/>
  <c r="G351" i="2"/>
  <c r="H351" i="2" s="1"/>
  <c r="L351" i="2"/>
  <c r="M351" i="2" s="1"/>
  <c r="E352" i="2"/>
  <c r="G352" i="2"/>
  <c r="H352" i="2" s="1"/>
  <c r="L352" i="2"/>
  <c r="E353" i="2"/>
  <c r="G353" i="2"/>
  <c r="H353" i="2" s="1"/>
  <c r="L353" i="2"/>
  <c r="E354" i="2"/>
  <c r="G354" i="2"/>
  <c r="H354" i="2" s="1"/>
  <c r="L354" i="2"/>
  <c r="O354" i="2" s="1"/>
  <c r="E355" i="2"/>
  <c r="G355" i="2"/>
  <c r="H355" i="2" s="1"/>
  <c r="L355" i="2"/>
  <c r="M355" i="2" s="1"/>
  <c r="E356" i="2"/>
  <c r="G356" i="2"/>
  <c r="H356" i="2" s="1"/>
  <c r="L356" i="2"/>
  <c r="M356" i="2" s="1"/>
  <c r="E357" i="2"/>
  <c r="G357" i="2"/>
  <c r="H357" i="2" s="1"/>
  <c r="L357" i="2"/>
  <c r="O357" i="2" s="1"/>
  <c r="E358" i="2"/>
  <c r="G358" i="2"/>
  <c r="H358" i="2" s="1"/>
  <c r="L358" i="2"/>
  <c r="N358" i="2" s="1"/>
  <c r="E359" i="2"/>
  <c r="G359" i="2"/>
  <c r="H359" i="2" s="1"/>
  <c r="L359" i="2"/>
  <c r="N359" i="2" s="1"/>
  <c r="E360" i="2"/>
  <c r="G360" i="2"/>
  <c r="H360" i="2" s="1"/>
  <c r="L360" i="2"/>
  <c r="M360" i="2" s="1"/>
  <c r="E361" i="2"/>
  <c r="G361" i="2"/>
  <c r="H361" i="2" s="1"/>
  <c r="L361" i="2"/>
  <c r="N361" i="2" s="1"/>
  <c r="E362" i="2"/>
  <c r="G362" i="2"/>
  <c r="H362" i="2" s="1"/>
  <c r="L362" i="2"/>
  <c r="N362" i="2" s="1"/>
  <c r="E363" i="2"/>
  <c r="G363" i="2"/>
  <c r="H363" i="2" s="1"/>
  <c r="L363" i="2"/>
  <c r="M363" i="2" s="1"/>
  <c r="E364" i="2"/>
  <c r="G364" i="2"/>
  <c r="H364" i="2" s="1"/>
  <c r="L364" i="2"/>
  <c r="M364" i="2" s="1"/>
  <c r="E365" i="2"/>
  <c r="G365" i="2"/>
  <c r="H365" i="2" s="1"/>
  <c r="L365" i="2"/>
  <c r="N365" i="2" s="1"/>
  <c r="E366" i="2"/>
  <c r="G366" i="2"/>
  <c r="H366" i="2" s="1"/>
  <c r="L366" i="2"/>
  <c r="M366" i="2" s="1"/>
  <c r="E367" i="2"/>
  <c r="G367" i="2"/>
  <c r="H367" i="2" s="1"/>
  <c r="L367" i="2"/>
  <c r="E368" i="2"/>
  <c r="G368" i="2"/>
  <c r="H368" i="2" s="1"/>
  <c r="L368" i="2"/>
  <c r="M368" i="2" s="1"/>
  <c r="E369" i="2"/>
  <c r="G369" i="2"/>
  <c r="H369" i="2" s="1"/>
  <c r="L369" i="2"/>
  <c r="M369" i="2" s="1"/>
  <c r="E370" i="2"/>
  <c r="G370" i="2"/>
  <c r="H370" i="2" s="1"/>
  <c r="L370" i="2"/>
  <c r="E371" i="2"/>
  <c r="G371" i="2"/>
  <c r="H371" i="2" s="1"/>
  <c r="L371" i="2"/>
  <c r="M371" i="2" s="1"/>
  <c r="E372" i="2"/>
  <c r="G372" i="2"/>
  <c r="H372" i="2" s="1"/>
  <c r="L372" i="2"/>
  <c r="M372" i="2" s="1"/>
  <c r="E373" i="2"/>
  <c r="G373" i="2"/>
  <c r="H373" i="2" s="1"/>
  <c r="L373" i="2"/>
  <c r="N373" i="2" s="1"/>
  <c r="E374" i="2"/>
  <c r="G374" i="2"/>
  <c r="H374" i="2" s="1"/>
  <c r="L374" i="2"/>
  <c r="O374" i="2" s="1"/>
  <c r="E375" i="2"/>
  <c r="G375" i="2"/>
  <c r="H375" i="2" s="1"/>
  <c r="L375" i="2"/>
  <c r="M375" i="2" s="1"/>
  <c r="E376" i="2"/>
  <c r="G376" i="2"/>
  <c r="H376" i="2" s="1"/>
  <c r="L376" i="2"/>
  <c r="N376" i="2" s="1"/>
  <c r="E377" i="2"/>
  <c r="G377" i="2"/>
  <c r="H377" i="2" s="1"/>
  <c r="L377" i="2"/>
  <c r="N377" i="2" s="1"/>
  <c r="E378" i="2"/>
  <c r="G378" i="2"/>
  <c r="H378" i="2" s="1"/>
  <c r="L378" i="2"/>
  <c r="M378" i="2" s="1"/>
  <c r="E379" i="2"/>
  <c r="G379" i="2"/>
  <c r="H379" i="2" s="1"/>
  <c r="L379" i="2"/>
  <c r="E380" i="2"/>
  <c r="G380" i="2"/>
  <c r="H380" i="2" s="1"/>
  <c r="L380" i="2"/>
  <c r="M380" i="2" s="1"/>
  <c r="E381" i="2"/>
  <c r="G381" i="2"/>
  <c r="H381" i="2" s="1"/>
  <c r="L381" i="2"/>
  <c r="M381" i="2" s="1"/>
  <c r="E382" i="2"/>
  <c r="G382" i="2"/>
  <c r="H382" i="2" s="1"/>
  <c r="L382" i="2"/>
  <c r="N382" i="2" s="1"/>
  <c r="E383" i="2"/>
  <c r="G383" i="2"/>
  <c r="H383" i="2" s="1"/>
  <c r="L383" i="2"/>
  <c r="O383" i="2" s="1"/>
  <c r="E384" i="2"/>
  <c r="G384" i="2"/>
  <c r="H384" i="2" s="1"/>
  <c r="L384" i="2"/>
  <c r="E385" i="2"/>
  <c r="G385" i="2"/>
  <c r="H385" i="2" s="1"/>
  <c r="L385" i="2"/>
  <c r="M385" i="2" s="1"/>
  <c r="E386" i="2"/>
  <c r="G386" i="2"/>
  <c r="H386" i="2" s="1"/>
  <c r="L386" i="2"/>
  <c r="M386" i="2" s="1"/>
  <c r="E387" i="2"/>
  <c r="G387" i="2"/>
  <c r="H387" i="2" s="1"/>
  <c r="L387" i="2"/>
  <c r="N387" i="2" s="1"/>
  <c r="E388" i="2"/>
  <c r="G388" i="2"/>
  <c r="H388" i="2" s="1"/>
  <c r="L388" i="2"/>
  <c r="M388" i="2" s="1"/>
  <c r="E389" i="2"/>
  <c r="G389" i="2"/>
  <c r="H389" i="2" s="1"/>
  <c r="L389" i="2"/>
  <c r="O389" i="2" s="1"/>
  <c r="E390" i="2"/>
  <c r="G390" i="2"/>
  <c r="H390" i="2" s="1"/>
  <c r="L390" i="2"/>
  <c r="N390" i="2" s="1"/>
  <c r="E391" i="2"/>
  <c r="G391" i="2"/>
  <c r="H391" i="2" s="1"/>
  <c r="L391" i="2"/>
  <c r="M391" i="2" s="1"/>
  <c r="E392" i="2"/>
  <c r="G392" i="2"/>
  <c r="H392" i="2" s="1"/>
  <c r="L392" i="2"/>
  <c r="M392" i="2" s="1"/>
  <c r="E393" i="2"/>
  <c r="G393" i="2"/>
  <c r="H393" i="2" s="1"/>
  <c r="L393" i="2"/>
  <c r="O393" i="2" s="1"/>
  <c r="E394" i="2"/>
  <c r="G394" i="2"/>
  <c r="H394" i="2" s="1"/>
  <c r="L394" i="2"/>
  <c r="N394" i="2" s="1"/>
  <c r="E395" i="2"/>
  <c r="G395" i="2"/>
  <c r="H395" i="2" s="1"/>
  <c r="L395" i="2"/>
  <c r="O395" i="2" s="1"/>
  <c r="E396" i="2"/>
  <c r="G396" i="2"/>
  <c r="H396" i="2" s="1"/>
  <c r="L396" i="2"/>
  <c r="E397" i="2"/>
  <c r="G397" i="2"/>
  <c r="H397" i="2" s="1"/>
  <c r="L397" i="2"/>
  <c r="M397" i="2" s="1"/>
  <c r="E398" i="2"/>
  <c r="G398" i="2"/>
  <c r="H398" i="2" s="1"/>
  <c r="L398" i="2"/>
  <c r="M398" i="2" s="1"/>
  <c r="E399" i="2"/>
  <c r="G399" i="2"/>
  <c r="H399" i="2" s="1"/>
  <c r="L399" i="2"/>
  <c r="O399" i="2" s="1"/>
  <c r="E400" i="2"/>
  <c r="G400" i="2"/>
  <c r="H400" i="2" s="1"/>
  <c r="L400" i="2"/>
  <c r="O400" i="2" s="1"/>
  <c r="E401" i="2"/>
  <c r="G401" i="2"/>
  <c r="H401" i="2" s="1"/>
  <c r="L401" i="2"/>
  <c r="N401" i="2" s="1"/>
  <c r="E402" i="2"/>
  <c r="G402" i="2"/>
  <c r="H402" i="2" s="1"/>
  <c r="L402" i="2"/>
  <c r="O402" i="2" s="1"/>
  <c r="E403" i="2"/>
  <c r="G403" i="2"/>
  <c r="H403" i="2" s="1"/>
  <c r="L403" i="2"/>
  <c r="M403" i="2" s="1"/>
  <c r="E404" i="2"/>
  <c r="G404" i="2"/>
  <c r="H404" i="2" s="1"/>
  <c r="L404" i="2"/>
  <c r="M404" i="2" s="1"/>
  <c r="E405" i="2"/>
  <c r="G405" i="2"/>
  <c r="H405" i="2" s="1"/>
  <c r="L405" i="2"/>
  <c r="N405" i="2" s="1"/>
  <c r="E406" i="2"/>
  <c r="G406" i="2"/>
  <c r="H406" i="2" s="1"/>
  <c r="L406" i="2"/>
  <c r="N406" i="2" s="1"/>
  <c r="E407" i="2"/>
  <c r="G407" i="2"/>
  <c r="H407" i="2" s="1"/>
  <c r="L407" i="2"/>
  <c r="N407" i="2" s="1"/>
  <c r="E408" i="2"/>
  <c r="G408" i="2"/>
  <c r="H408" i="2" s="1"/>
  <c r="L408" i="2"/>
  <c r="M408" i="2" s="1"/>
  <c r="E409" i="2"/>
  <c r="G409" i="2"/>
  <c r="H409" i="2" s="1"/>
  <c r="L409" i="2"/>
  <c r="N409" i="2" s="1"/>
  <c r="E410" i="2"/>
  <c r="G410" i="2"/>
  <c r="H410" i="2" s="1"/>
  <c r="L410" i="2"/>
  <c r="O410" i="2" s="1"/>
  <c r="E411" i="2"/>
  <c r="G411" i="2"/>
  <c r="H411" i="2" s="1"/>
  <c r="L411" i="2"/>
  <c r="N411" i="2" s="1"/>
  <c r="E412" i="2"/>
  <c r="G412" i="2"/>
  <c r="H412" i="2" s="1"/>
  <c r="L412" i="2"/>
  <c r="M412" i="2" s="1"/>
  <c r="E413" i="2"/>
  <c r="G413" i="2"/>
  <c r="H413" i="2" s="1"/>
  <c r="L413" i="2"/>
  <c r="N413" i="2" s="1"/>
  <c r="E414" i="2"/>
  <c r="G414" i="2"/>
  <c r="H414" i="2" s="1"/>
  <c r="L414" i="2"/>
  <c r="N414" i="2" s="1"/>
  <c r="E415" i="2"/>
  <c r="G415" i="2"/>
  <c r="H415" i="2" s="1"/>
  <c r="L415" i="2"/>
  <c r="N415" i="2" s="1"/>
  <c r="E416" i="2"/>
  <c r="G416" i="2"/>
  <c r="H416" i="2" s="1"/>
  <c r="L416" i="2"/>
  <c r="O416" i="2" s="1"/>
  <c r="E417" i="2"/>
  <c r="G417" i="2"/>
  <c r="H417" i="2" s="1"/>
  <c r="L417" i="2"/>
  <c r="M417" i="2" s="1"/>
  <c r="E418" i="2"/>
  <c r="G418" i="2"/>
  <c r="H418" i="2" s="1"/>
  <c r="L418" i="2"/>
  <c r="O418" i="2" s="1"/>
  <c r="E419" i="2"/>
  <c r="G419" i="2"/>
  <c r="H419" i="2" s="1"/>
  <c r="L419" i="2"/>
  <c r="M419" i="2" s="1"/>
  <c r="E420" i="2"/>
  <c r="G420" i="2"/>
  <c r="H420" i="2" s="1"/>
  <c r="L420" i="2"/>
  <c r="M420" i="2" s="1"/>
  <c r="E421" i="2"/>
  <c r="G421" i="2"/>
  <c r="H421" i="2" s="1"/>
  <c r="L421" i="2"/>
  <c r="M421" i="2" s="1"/>
  <c r="E422" i="2"/>
  <c r="G422" i="2"/>
  <c r="H422" i="2" s="1"/>
  <c r="L422" i="2"/>
  <c r="N422" i="2" s="1"/>
  <c r="E423" i="2"/>
  <c r="G423" i="2"/>
  <c r="H423" i="2" s="1"/>
  <c r="L423" i="2"/>
  <c r="M423" i="2" s="1"/>
  <c r="E424" i="2"/>
  <c r="G424" i="2"/>
  <c r="H424" i="2" s="1"/>
  <c r="L424" i="2"/>
  <c r="N424" i="2" s="1"/>
  <c r="E425" i="2"/>
  <c r="G425" i="2"/>
  <c r="H425" i="2" s="1"/>
  <c r="L425" i="2"/>
  <c r="M425" i="2" s="1"/>
  <c r="E426" i="2"/>
  <c r="G426" i="2"/>
  <c r="H426" i="2" s="1"/>
  <c r="L426" i="2"/>
  <c r="N426" i="2" s="1"/>
  <c r="E427" i="2"/>
  <c r="G427" i="2"/>
  <c r="H427" i="2" s="1"/>
  <c r="L427" i="2"/>
  <c r="M427" i="2" s="1"/>
  <c r="E428" i="2"/>
  <c r="G428" i="2"/>
  <c r="H428" i="2" s="1"/>
  <c r="L428" i="2"/>
  <c r="N428" i="2" s="1"/>
  <c r="E429" i="2"/>
  <c r="G429" i="2"/>
  <c r="H429" i="2" s="1"/>
  <c r="L429" i="2"/>
  <c r="M429" i="2" s="1"/>
  <c r="E430" i="2"/>
  <c r="G430" i="2"/>
  <c r="H430" i="2" s="1"/>
  <c r="L430" i="2"/>
  <c r="N430" i="2" s="1"/>
  <c r="E431" i="2"/>
  <c r="G431" i="2"/>
  <c r="H431" i="2" s="1"/>
  <c r="L431" i="2"/>
  <c r="M431" i="2" s="1"/>
  <c r="E432" i="2"/>
  <c r="G432" i="2"/>
  <c r="H432" i="2" s="1"/>
  <c r="L432" i="2"/>
  <c r="N432" i="2" s="1"/>
  <c r="E433" i="2"/>
  <c r="G433" i="2"/>
  <c r="H433" i="2" s="1"/>
  <c r="L433" i="2"/>
  <c r="N433" i="2" s="1"/>
  <c r="E434" i="2"/>
  <c r="G434" i="2"/>
  <c r="H434" i="2" s="1"/>
  <c r="L434" i="2"/>
  <c r="N434" i="2" s="1"/>
  <c r="E435" i="2"/>
  <c r="G435" i="2"/>
  <c r="H435" i="2" s="1"/>
  <c r="L435" i="2"/>
  <c r="M435" i="2" s="1"/>
  <c r="E436" i="2"/>
  <c r="G436" i="2"/>
  <c r="H436" i="2" s="1"/>
  <c r="L436" i="2"/>
  <c r="N436" i="2" s="1"/>
  <c r="E437" i="2"/>
  <c r="G437" i="2"/>
  <c r="H437" i="2" s="1"/>
  <c r="L437" i="2"/>
  <c r="M437" i="2" s="1"/>
  <c r="E438" i="2"/>
  <c r="G438" i="2"/>
  <c r="H438" i="2" s="1"/>
  <c r="L438" i="2"/>
  <c r="N438" i="2" s="1"/>
  <c r="E439" i="2"/>
  <c r="G439" i="2"/>
  <c r="H439" i="2" s="1"/>
  <c r="L439" i="2"/>
  <c r="O439" i="2" s="1"/>
  <c r="E440" i="2"/>
  <c r="G440" i="2"/>
  <c r="H440" i="2" s="1"/>
  <c r="L440" i="2"/>
  <c r="N440" i="2" s="1"/>
  <c r="E441" i="2"/>
  <c r="G441" i="2"/>
  <c r="H441" i="2" s="1"/>
  <c r="L441" i="2"/>
  <c r="M441" i="2" s="1"/>
  <c r="E442" i="2"/>
  <c r="G442" i="2"/>
  <c r="H442" i="2" s="1"/>
  <c r="L442" i="2"/>
  <c r="N442" i="2" s="1"/>
  <c r="E443" i="2"/>
  <c r="G443" i="2"/>
  <c r="H443" i="2" s="1"/>
  <c r="L443" i="2"/>
  <c r="M443" i="2" s="1"/>
  <c r="E444" i="2"/>
  <c r="G444" i="2"/>
  <c r="H444" i="2" s="1"/>
  <c r="L444" i="2"/>
  <c r="N444" i="2" s="1"/>
  <c r="E445" i="2"/>
  <c r="G445" i="2"/>
  <c r="H445" i="2" s="1"/>
  <c r="L445" i="2"/>
  <c r="M445" i="2" s="1"/>
  <c r="E446" i="2"/>
  <c r="G446" i="2"/>
  <c r="H446" i="2" s="1"/>
  <c r="L446" i="2"/>
  <c r="N446" i="2" s="1"/>
  <c r="E447" i="2"/>
  <c r="G447" i="2"/>
  <c r="H447" i="2" s="1"/>
  <c r="L447" i="2"/>
  <c r="M447" i="2" s="1"/>
  <c r="E448" i="2"/>
  <c r="G448" i="2"/>
  <c r="H448" i="2" s="1"/>
  <c r="L448" i="2"/>
  <c r="N448" i="2" s="1"/>
  <c r="E449" i="2"/>
  <c r="G449" i="2"/>
  <c r="H449" i="2" s="1"/>
  <c r="L449" i="2"/>
  <c r="N449" i="2" s="1"/>
  <c r="E450" i="2"/>
  <c r="G450" i="2"/>
  <c r="H450" i="2" s="1"/>
  <c r="L450" i="2"/>
  <c r="N450" i="2" s="1"/>
  <c r="E451" i="2"/>
  <c r="G451" i="2"/>
  <c r="H451" i="2" s="1"/>
  <c r="L451" i="2"/>
  <c r="O451" i="2" s="1"/>
  <c r="E452" i="2"/>
  <c r="G452" i="2"/>
  <c r="H452" i="2" s="1"/>
  <c r="L452" i="2"/>
  <c r="N452" i="2" s="1"/>
  <c r="E453" i="2"/>
  <c r="G453" i="2"/>
  <c r="H453" i="2" s="1"/>
  <c r="L453" i="2"/>
  <c r="M453" i="2" s="1"/>
  <c r="E454" i="2"/>
  <c r="G454" i="2"/>
  <c r="H454" i="2" s="1"/>
  <c r="L454" i="2"/>
  <c r="N454" i="2" s="1"/>
  <c r="E455" i="2"/>
  <c r="G455" i="2"/>
  <c r="H455" i="2" s="1"/>
  <c r="L455" i="2"/>
  <c r="N455" i="2" s="1"/>
  <c r="E456" i="2"/>
  <c r="G456" i="2"/>
  <c r="H456" i="2" s="1"/>
  <c r="L456" i="2"/>
  <c r="N456" i="2" s="1"/>
  <c r="E457" i="2"/>
  <c r="G457" i="2"/>
  <c r="H457" i="2" s="1"/>
  <c r="L457" i="2"/>
  <c r="M457" i="2" s="1"/>
  <c r="E458" i="2"/>
  <c r="G458" i="2"/>
  <c r="H458" i="2" s="1"/>
  <c r="L458" i="2"/>
  <c r="N458" i="2" s="1"/>
  <c r="E459" i="2"/>
  <c r="G459" i="2"/>
  <c r="H459" i="2" s="1"/>
  <c r="L459" i="2"/>
  <c r="M459" i="2" s="1"/>
  <c r="E460" i="2"/>
  <c r="G460" i="2"/>
  <c r="H460" i="2" s="1"/>
  <c r="L460" i="2"/>
  <c r="N460" i="2" s="1"/>
  <c r="E461" i="2"/>
  <c r="G461" i="2"/>
  <c r="H461" i="2" s="1"/>
  <c r="L461" i="2"/>
  <c r="M461" i="2" s="1"/>
  <c r="E462" i="2"/>
  <c r="G462" i="2"/>
  <c r="H462" i="2" s="1"/>
  <c r="L462" i="2"/>
  <c r="N462" i="2" s="1"/>
  <c r="E463" i="2"/>
  <c r="G463" i="2"/>
  <c r="H463" i="2" s="1"/>
  <c r="L463" i="2"/>
  <c r="M463" i="2" s="1"/>
  <c r="E464" i="2"/>
  <c r="G464" i="2"/>
  <c r="H464" i="2" s="1"/>
  <c r="L464" i="2"/>
  <c r="N464" i="2" s="1"/>
  <c r="E465" i="2"/>
  <c r="G465" i="2"/>
  <c r="H465" i="2" s="1"/>
  <c r="L465" i="2"/>
  <c r="N465" i="2" s="1"/>
  <c r="E466" i="2"/>
  <c r="G466" i="2"/>
  <c r="H466" i="2" s="1"/>
  <c r="L466" i="2"/>
  <c r="N466" i="2" s="1"/>
  <c r="E467" i="2"/>
  <c r="G467" i="2"/>
  <c r="H467" i="2" s="1"/>
  <c r="L467" i="2"/>
  <c r="M467" i="2" s="1"/>
  <c r="E468" i="2"/>
  <c r="G468" i="2"/>
  <c r="H468" i="2" s="1"/>
  <c r="L468" i="2"/>
  <c r="N468" i="2" s="1"/>
  <c r="E469" i="2"/>
  <c r="G469" i="2"/>
  <c r="H469" i="2" s="1"/>
  <c r="L469" i="2"/>
  <c r="M469" i="2" s="1"/>
  <c r="E470" i="2"/>
  <c r="G470" i="2"/>
  <c r="H470" i="2" s="1"/>
  <c r="L470" i="2"/>
  <c r="N470" i="2" s="1"/>
  <c r="E471" i="2"/>
  <c r="G471" i="2"/>
  <c r="H471" i="2" s="1"/>
  <c r="L471" i="2"/>
  <c r="O471" i="2" s="1"/>
  <c r="E472" i="2"/>
  <c r="G472" i="2"/>
  <c r="H472" i="2" s="1"/>
  <c r="L472" i="2"/>
  <c r="N472" i="2" s="1"/>
  <c r="E473" i="2"/>
  <c r="G473" i="2"/>
  <c r="H473" i="2" s="1"/>
  <c r="L473" i="2"/>
  <c r="M473" i="2" s="1"/>
  <c r="E474" i="2"/>
  <c r="G474" i="2"/>
  <c r="H474" i="2" s="1"/>
  <c r="L474" i="2"/>
  <c r="N474" i="2" s="1"/>
  <c r="E475" i="2"/>
  <c r="G475" i="2"/>
  <c r="H475" i="2" s="1"/>
  <c r="L475" i="2"/>
  <c r="M475" i="2" s="1"/>
  <c r="E476" i="2"/>
  <c r="G476" i="2"/>
  <c r="H476" i="2" s="1"/>
  <c r="L476" i="2"/>
  <c r="N476" i="2" s="1"/>
  <c r="E477" i="2"/>
  <c r="G477" i="2"/>
  <c r="H477" i="2" s="1"/>
  <c r="L477" i="2"/>
  <c r="M477" i="2" s="1"/>
  <c r="E478" i="2"/>
  <c r="G478" i="2"/>
  <c r="H478" i="2" s="1"/>
  <c r="L478" i="2"/>
  <c r="N478" i="2" s="1"/>
  <c r="E479" i="2"/>
  <c r="G479" i="2"/>
  <c r="H479" i="2" s="1"/>
  <c r="L479" i="2"/>
  <c r="M479" i="2" s="1"/>
  <c r="E480" i="2"/>
  <c r="G480" i="2"/>
  <c r="H480" i="2" s="1"/>
  <c r="L480" i="2"/>
  <c r="N480" i="2" s="1"/>
  <c r="E481" i="2"/>
  <c r="G481" i="2"/>
  <c r="H481" i="2" s="1"/>
  <c r="L481" i="2"/>
  <c r="N481" i="2" s="1"/>
  <c r="E482" i="2"/>
  <c r="G482" i="2"/>
  <c r="H482" i="2" s="1"/>
  <c r="L482" i="2"/>
  <c r="N482" i="2" s="1"/>
  <c r="E483" i="2"/>
  <c r="G483" i="2"/>
  <c r="H483" i="2" s="1"/>
  <c r="L483" i="2"/>
  <c r="O483" i="2" s="1"/>
  <c r="E484" i="2"/>
  <c r="G484" i="2"/>
  <c r="H484" i="2" s="1"/>
  <c r="L484" i="2"/>
  <c r="N484" i="2" s="1"/>
  <c r="E485" i="2"/>
  <c r="G485" i="2"/>
  <c r="H485" i="2" s="1"/>
  <c r="L485" i="2"/>
  <c r="N485" i="2" s="1"/>
  <c r="E486" i="2"/>
  <c r="G486" i="2"/>
  <c r="H486" i="2" s="1"/>
  <c r="L486" i="2"/>
  <c r="N486" i="2" s="1"/>
  <c r="E487" i="2"/>
  <c r="G487" i="2"/>
  <c r="H487" i="2" s="1"/>
  <c r="L487" i="2"/>
  <c r="M487" i="2" s="1"/>
  <c r="E488" i="2"/>
  <c r="G488" i="2"/>
  <c r="H488" i="2" s="1"/>
  <c r="L488" i="2"/>
  <c r="N488" i="2" s="1"/>
  <c r="E489" i="2"/>
  <c r="G489" i="2"/>
  <c r="H489" i="2" s="1"/>
  <c r="L489" i="2"/>
  <c r="M489" i="2" s="1"/>
  <c r="E490" i="2"/>
  <c r="G490" i="2"/>
  <c r="H490" i="2" s="1"/>
  <c r="L490" i="2"/>
  <c r="N490" i="2" s="1"/>
  <c r="E491" i="2"/>
  <c r="G491" i="2"/>
  <c r="H491" i="2" s="1"/>
  <c r="L491" i="2"/>
  <c r="M491" i="2" s="1"/>
  <c r="E492" i="2"/>
  <c r="G492" i="2"/>
  <c r="H492" i="2" s="1"/>
  <c r="L492" i="2"/>
  <c r="N492" i="2" s="1"/>
  <c r="E493" i="2"/>
  <c r="G493" i="2"/>
  <c r="H493" i="2" s="1"/>
  <c r="L493" i="2"/>
  <c r="N493" i="2" s="1"/>
  <c r="E494" i="2"/>
  <c r="G494" i="2"/>
  <c r="H494" i="2" s="1"/>
  <c r="L494" i="2"/>
  <c r="N494" i="2" s="1"/>
  <c r="E495" i="2"/>
  <c r="G495" i="2"/>
  <c r="H495" i="2" s="1"/>
  <c r="L495" i="2"/>
  <c r="M495" i="2" s="1"/>
  <c r="E496" i="2"/>
  <c r="G496" i="2"/>
  <c r="H496" i="2" s="1"/>
  <c r="L496" i="2"/>
  <c r="N496" i="2" s="1"/>
  <c r="E497" i="2"/>
  <c r="G497" i="2"/>
  <c r="H497" i="2" s="1"/>
  <c r="L497" i="2"/>
  <c r="N497" i="2" s="1"/>
  <c r="E498" i="2"/>
  <c r="G498" i="2"/>
  <c r="H498" i="2" s="1"/>
  <c r="L498" i="2"/>
  <c r="N498" i="2" s="1"/>
  <c r="E499" i="2"/>
  <c r="G499" i="2"/>
  <c r="H499" i="2" s="1"/>
  <c r="L499" i="2"/>
  <c r="M499" i="2" s="1"/>
  <c r="E500" i="2"/>
  <c r="G500" i="2"/>
  <c r="H500" i="2" s="1"/>
  <c r="L500" i="2"/>
  <c r="N500" i="2" s="1"/>
  <c r="E501" i="2"/>
  <c r="G501" i="2"/>
  <c r="H501" i="2" s="1"/>
  <c r="L501" i="2"/>
  <c r="M501" i="2" s="1"/>
  <c r="E502" i="2"/>
  <c r="G502" i="2"/>
  <c r="H502" i="2" s="1"/>
  <c r="L502" i="2"/>
  <c r="N502" i="2" s="1"/>
  <c r="E503" i="2"/>
  <c r="G503" i="2"/>
  <c r="H503" i="2" s="1"/>
  <c r="L503" i="2"/>
  <c r="O503" i="2" s="1"/>
  <c r="E504" i="2"/>
  <c r="G504" i="2"/>
  <c r="H504" i="2" s="1"/>
  <c r="L504" i="2"/>
  <c r="N504" i="2" s="1"/>
  <c r="E505" i="2"/>
  <c r="G505" i="2"/>
  <c r="H505" i="2" s="1"/>
  <c r="L505" i="2"/>
  <c r="M505" i="2" s="1"/>
  <c r="E506" i="2"/>
  <c r="G506" i="2"/>
  <c r="H506" i="2" s="1"/>
  <c r="L506" i="2"/>
  <c r="N506" i="2" s="1"/>
  <c r="E507" i="2"/>
  <c r="G507" i="2"/>
  <c r="H507" i="2" s="1"/>
  <c r="L507" i="2"/>
  <c r="N507" i="2" s="1"/>
  <c r="E508" i="2"/>
  <c r="G508" i="2"/>
  <c r="H508" i="2" s="1"/>
  <c r="L508" i="2"/>
  <c r="N508" i="2" s="1"/>
  <c r="E509" i="2"/>
  <c r="G509" i="2"/>
  <c r="H509" i="2" s="1"/>
  <c r="L509" i="2"/>
  <c r="M509" i="2" s="1"/>
  <c r="E510" i="2"/>
  <c r="G510" i="2"/>
  <c r="H510" i="2" s="1"/>
  <c r="L510" i="2"/>
  <c r="N510" i="2" s="1"/>
  <c r="E511" i="2"/>
  <c r="G511" i="2"/>
  <c r="H511" i="2" s="1"/>
  <c r="L511" i="2"/>
  <c r="M511" i="2" s="1"/>
  <c r="E512" i="2"/>
  <c r="G512" i="2"/>
  <c r="H512" i="2" s="1"/>
  <c r="L512" i="2"/>
  <c r="N512" i="2" s="1"/>
  <c r="E513" i="2"/>
  <c r="G513" i="2"/>
  <c r="H513" i="2" s="1"/>
  <c r="L513" i="2"/>
  <c r="N513" i="2" s="1"/>
  <c r="E514" i="2"/>
  <c r="G514" i="2"/>
  <c r="H514" i="2" s="1"/>
  <c r="L514" i="2"/>
  <c r="N514" i="2" s="1"/>
  <c r="E515" i="2"/>
  <c r="G515" i="2"/>
  <c r="H515" i="2" s="1"/>
  <c r="L515" i="2"/>
  <c r="O515" i="2" s="1"/>
  <c r="E516" i="2"/>
  <c r="G516" i="2"/>
  <c r="H516" i="2" s="1"/>
  <c r="L516" i="2"/>
  <c r="N516" i="2" s="1"/>
  <c r="E517" i="2"/>
  <c r="G517" i="2"/>
  <c r="H517" i="2" s="1"/>
  <c r="L517" i="2"/>
  <c r="N517" i="2" s="1"/>
  <c r="E518" i="2"/>
  <c r="G518" i="2"/>
  <c r="H518" i="2" s="1"/>
  <c r="L518" i="2"/>
  <c r="N518" i="2" s="1"/>
  <c r="E519" i="2"/>
  <c r="G519" i="2"/>
  <c r="H519" i="2" s="1"/>
  <c r="L519" i="2"/>
  <c r="O519" i="2" s="1"/>
  <c r="E520" i="2"/>
  <c r="G520" i="2"/>
  <c r="H520" i="2" s="1"/>
  <c r="L520" i="2"/>
  <c r="N520" i="2" s="1"/>
  <c r="E521" i="2"/>
  <c r="G521" i="2"/>
  <c r="H521" i="2" s="1"/>
  <c r="L521" i="2"/>
  <c r="M521" i="2" s="1"/>
  <c r="E522" i="2"/>
  <c r="G522" i="2"/>
  <c r="H522" i="2" s="1"/>
  <c r="L522" i="2"/>
  <c r="N522" i="2" s="1"/>
  <c r="E523" i="2"/>
  <c r="G523" i="2"/>
  <c r="H523" i="2" s="1"/>
  <c r="L523" i="2"/>
  <c r="N523" i="2" s="1"/>
  <c r="E524" i="2"/>
  <c r="G524" i="2"/>
  <c r="H524" i="2" s="1"/>
  <c r="L524" i="2"/>
  <c r="M524" i="2" s="1"/>
  <c r="E525" i="2"/>
  <c r="G525" i="2"/>
  <c r="H525" i="2" s="1"/>
  <c r="L525" i="2"/>
  <c r="N525" i="2" s="1"/>
  <c r="E526" i="2"/>
  <c r="G526" i="2"/>
  <c r="H526" i="2" s="1"/>
  <c r="L526" i="2"/>
  <c r="N526" i="2" s="1"/>
  <c r="E527" i="2"/>
  <c r="G527" i="2"/>
  <c r="H527" i="2" s="1"/>
  <c r="L527" i="2"/>
  <c r="N527" i="2" s="1"/>
  <c r="E528" i="2"/>
  <c r="G528" i="2"/>
  <c r="H528" i="2" s="1"/>
  <c r="L528" i="2"/>
  <c r="M528" i="2" s="1"/>
  <c r="E529" i="2"/>
  <c r="G529" i="2"/>
  <c r="H529" i="2" s="1"/>
  <c r="L529" i="2"/>
  <c r="N529" i="2" s="1"/>
  <c r="E530" i="2"/>
  <c r="G530" i="2"/>
  <c r="H530" i="2" s="1"/>
  <c r="L530" i="2"/>
  <c r="M530" i="2" s="1"/>
  <c r="E531" i="2"/>
  <c r="G531" i="2"/>
  <c r="H531" i="2" s="1"/>
  <c r="L531" i="2"/>
  <c r="N531" i="2" s="1"/>
  <c r="E532" i="2"/>
  <c r="G532" i="2"/>
  <c r="H532" i="2" s="1"/>
  <c r="L532" i="2"/>
  <c r="N532" i="2" s="1"/>
  <c r="E533" i="2"/>
  <c r="G533" i="2"/>
  <c r="H533" i="2" s="1"/>
  <c r="L533" i="2"/>
  <c r="N533" i="2" s="1"/>
  <c r="E534" i="2"/>
  <c r="G534" i="2"/>
  <c r="H534" i="2" s="1"/>
  <c r="L534" i="2"/>
  <c r="O534" i="2" s="1"/>
  <c r="E535" i="2"/>
  <c r="G535" i="2"/>
  <c r="H535" i="2" s="1"/>
  <c r="L535" i="2"/>
  <c r="N535" i="2" s="1"/>
  <c r="E536" i="2"/>
  <c r="G536" i="2"/>
  <c r="H536" i="2" s="1"/>
  <c r="L536" i="2"/>
  <c r="O536" i="2" s="1"/>
  <c r="E537" i="2"/>
  <c r="G537" i="2"/>
  <c r="H537" i="2" s="1"/>
  <c r="L537" i="2"/>
  <c r="N537" i="2" s="1"/>
  <c r="E538" i="2"/>
  <c r="G538" i="2"/>
  <c r="H538" i="2" s="1"/>
  <c r="L538" i="2"/>
  <c r="M538" i="2" s="1"/>
  <c r="E539" i="2"/>
  <c r="G539" i="2"/>
  <c r="H539" i="2" s="1"/>
  <c r="L539" i="2"/>
  <c r="N539" i="2" s="1"/>
  <c r="E540" i="2"/>
  <c r="G540" i="2"/>
  <c r="H540" i="2" s="1"/>
  <c r="L540" i="2"/>
  <c r="M540" i="2" s="1"/>
  <c r="M529" i="2" l="1"/>
  <c r="O524" i="2"/>
  <c r="M474" i="2"/>
  <c r="O475" i="2"/>
  <c r="M377" i="2"/>
  <c r="O468" i="2"/>
  <c r="M471" i="2"/>
  <c r="M399" i="2"/>
  <c r="O394" i="2"/>
  <c r="O434" i="2"/>
  <c r="N429" i="2"/>
  <c r="M517" i="2"/>
  <c r="M539" i="2"/>
  <c r="O425" i="2"/>
  <c r="N420" i="2"/>
  <c r="N399" i="2"/>
  <c r="M175" i="2"/>
  <c r="O8" i="2"/>
  <c r="N509" i="2"/>
  <c r="M468" i="2"/>
  <c r="M520" i="2"/>
  <c r="M464" i="2"/>
  <c r="O139" i="2"/>
  <c r="N5" i="2"/>
  <c r="M532" i="2"/>
  <c r="M446" i="2"/>
  <c r="O380" i="2"/>
  <c r="N536" i="2"/>
  <c r="M536" i="2"/>
  <c r="M450" i="2"/>
  <c r="O540" i="2"/>
  <c r="M460" i="2"/>
  <c r="M409" i="2"/>
  <c r="N404" i="2"/>
  <c r="M458" i="2"/>
  <c r="M393" i="2"/>
  <c r="N475" i="2"/>
  <c r="M466" i="2"/>
  <c r="M534" i="2"/>
  <c r="M482" i="2"/>
  <c r="N477" i="2"/>
  <c r="O98" i="2"/>
  <c r="M433" i="2"/>
  <c r="O378" i="2"/>
  <c r="M359" i="2"/>
  <c r="O334" i="2"/>
  <c r="M300" i="2"/>
  <c r="O307" i="2"/>
  <c r="N301" i="2"/>
  <c r="M270" i="2"/>
  <c r="M272" i="2"/>
  <c r="M239" i="2"/>
  <c r="M242" i="2"/>
  <c r="M246" i="2"/>
  <c r="M233" i="2"/>
  <c r="M227" i="2"/>
  <c r="M507" i="2"/>
  <c r="M472" i="2"/>
  <c r="M405" i="2"/>
  <c r="N343" i="2"/>
  <c r="N328" i="2"/>
  <c r="N303" i="2"/>
  <c r="N467" i="2"/>
  <c r="M438" i="2"/>
  <c r="N385" i="2"/>
  <c r="O366" i="2"/>
  <c r="N142" i="2"/>
  <c r="N31" i="2"/>
  <c r="O538" i="2"/>
  <c r="N534" i="2"/>
  <c r="M515" i="2"/>
  <c r="M442" i="2"/>
  <c r="M418" i="2"/>
  <c r="M389" i="2"/>
  <c r="N375" i="2"/>
  <c r="N351" i="2"/>
  <c r="N346" i="2"/>
  <c r="N336" i="2"/>
  <c r="O316" i="2"/>
  <c r="O306" i="2"/>
  <c r="M281" i="2"/>
  <c r="O359" i="2"/>
  <c r="M537" i="2"/>
  <c r="O504" i="2"/>
  <c r="M436" i="2"/>
  <c r="M383" i="2"/>
  <c r="N325" i="2"/>
  <c r="M249" i="2"/>
  <c r="N445" i="2"/>
  <c r="M406" i="2"/>
  <c r="N368" i="2"/>
  <c r="N354" i="2"/>
  <c r="M221" i="2"/>
  <c r="M215" i="2"/>
  <c r="N214" i="2"/>
  <c r="N206" i="2"/>
  <c r="N188" i="2"/>
  <c r="M188" i="2"/>
  <c r="M181" i="2"/>
  <c r="M179" i="2"/>
  <c r="N177" i="2"/>
  <c r="O173" i="2"/>
  <c r="M173" i="2"/>
  <c r="O167" i="2"/>
  <c r="N167" i="2"/>
  <c r="N159" i="2"/>
  <c r="N157" i="2"/>
  <c r="M156" i="2"/>
  <c r="O153" i="2"/>
  <c r="O146" i="2"/>
  <c r="N145" i="2"/>
  <c r="M140" i="2"/>
  <c r="M535" i="2"/>
  <c r="O517" i="2"/>
  <c r="M478" i="2"/>
  <c r="O461" i="2"/>
  <c r="O433" i="2"/>
  <c r="O377" i="2"/>
  <c r="O327" i="2"/>
  <c r="N308" i="2"/>
  <c r="N199" i="2"/>
  <c r="N172" i="2"/>
  <c r="M132" i="2"/>
  <c r="N127" i="2"/>
  <c r="M327" i="2"/>
  <c r="O261" i="2"/>
  <c r="N252" i="2"/>
  <c r="M172" i="2"/>
  <c r="N149" i="2"/>
  <c r="M362" i="2"/>
  <c r="M358" i="2"/>
  <c r="N312" i="2"/>
  <c r="O303" i="2"/>
  <c r="O289" i="2"/>
  <c r="O227" i="2"/>
  <c r="M203" i="2"/>
  <c r="N184" i="2"/>
  <c r="O175" i="2"/>
  <c r="O157" i="2"/>
  <c r="M153" i="2"/>
  <c r="N140" i="2"/>
  <c r="N21" i="2"/>
  <c r="O16" i="2"/>
  <c r="N417" i="2"/>
  <c r="N366" i="2"/>
  <c r="O348" i="2"/>
  <c r="N316" i="2"/>
  <c r="M357" i="2"/>
  <c r="N339" i="2"/>
  <c r="O273" i="2"/>
  <c r="N183" i="2"/>
  <c r="N519" i="2"/>
  <c r="O147" i="2"/>
  <c r="M519" i="2"/>
  <c r="O485" i="2"/>
  <c r="O444" i="2"/>
  <c r="N388" i="2"/>
  <c r="N334" i="2"/>
  <c r="M325" i="2"/>
  <c r="N306" i="2"/>
  <c r="M282" i="2"/>
  <c r="N268" i="2"/>
  <c r="N259" i="2"/>
  <c r="N254" i="2"/>
  <c r="N230" i="2"/>
  <c r="M206" i="2"/>
  <c r="N187" i="2"/>
  <c r="M165" i="2"/>
  <c r="N147" i="2"/>
  <c r="M139" i="2"/>
  <c r="M523" i="2"/>
  <c r="M500" i="2"/>
  <c r="M444" i="2"/>
  <c r="M268" i="2"/>
  <c r="M254" i="2"/>
  <c r="M196" i="2"/>
  <c r="O34" i="2"/>
  <c r="N410" i="2"/>
  <c r="N342" i="2"/>
  <c r="M504" i="2"/>
  <c r="O494" i="2"/>
  <c r="M410" i="2"/>
  <c r="M387" i="2"/>
  <c r="O346" i="2"/>
  <c r="M342" i="2"/>
  <c r="N281" i="2"/>
  <c r="M190" i="2"/>
  <c r="N150" i="2"/>
  <c r="O138" i="2"/>
  <c r="M38" i="2"/>
  <c r="M480" i="2"/>
  <c r="M456" i="2"/>
  <c r="M440" i="2"/>
  <c r="M432" i="2"/>
  <c r="M402" i="2"/>
  <c r="M314" i="2"/>
  <c r="N270" i="2"/>
  <c r="M258" i="2"/>
  <c r="M223" i="2"/>
  <c r="M219" i="2"/>
  <c r="M194" i="2"/>
  <c r="N109" i="2"/>
  <c r="O67" i="2"/>
  <c r="O443" i="2"/>
  <c r="O209" i="2"/>
  <c r="O201" i="2"/>
  <c r="N178" i="2"/>
  <c r="N133" i="2"/>
  <c r="N16" i="2"/>
  <c r="N273" i="2"/>
  <c r="O532" i="2"/>
  <c r="N528" i="2"/>
  <c r="M483" i="2"/>
  <c r="N443" i="2"/>
  <c r="N371" i="2"/>
  <c r="O330" i="2"/>
  <c r="M322" i="2"/>
  <c r="N286" i="2"/>
  <c r="M209" i="2"/>
  <c r="M205" i="2"/>
  <c r="M201" i="2"/>
  <c r="M197" i="2"/>
  <c r="O181" i="2"/>
  <c r="M178" i="2"/>
  <c r="O166" i="2"/>
  <c r="M162" i="2"/>
  <c r="M133" i="2"/>
  <c r="M113" i="2"/>
  <c r="O502" i="2"/>
  <c r="O487" i="2"/>
  <c r="O450" i="2"/>
  <c r="O446" i="2"/>
  <c r="M439" i="2"/>
  <c r="O422" i="2"/>
  <c r="M401" i="2"/>
  <c r="O362" i="2"/>
  <c r="N317" i="2"/>
  <c r="O313" i="2"/>
  <c r="O265" i="2"/>
  <c r="M257" i="2"/>
  <c r="O239" i="2"/>
  <c r="N222" i="2"/>
  <c r="O193" i="2"/>
  <c r="N39" i="2"/>
  <c r="O510" i="2"/>
  <c r="O482" i="2"/>
  <c r="O478" i="2"/>
  <c r="M434" i="2"/>
  <c r="M413" i="2"/>
  <c r="M354" i="2"/>
  <c r="N329" i="2"/>
  <c r="N272" i="2"/>
  <c r="O217" i="2"/>
  <c r="N196" i="2"/>
  <c r="M184" i="2"/>
  <c r="O177" i="2"/>
  <c r="N165" i="2"/>
  <c r="O132" i="2"/>
  <c r="N34" i="2"/>
  <c r="O24" i="2"/>
  <c r="O337" i="2"/>
  <c r="O522" i="2"/>
  <c r="N421" i="2"/>
  <c r="O391" i="2"/>
  <c r="N349" i="2"/>
  <c r="N337" i="2"/>
  <c r="O229" i="2"/>
  <c r="N180" i="2"/>
  <c r="O421" i="2"/>
  <c r="O349" i="2"/>
  <c r="M526" i="2"/>
  <c r="M522" i="2"/>
  <c r="M518" i="2"/>
  <c r="M514" i="2"/>
  <c r="O474" i="2"/>
  <c r="O453" i="2"/>
  <c r="O429" i="2"/>
  <c r="N391" i="2"/>
  <c r="N369" i="2"/>
  <c r="N357" i="2"/>
  <c r="M341" i="2"/>
  <c r="O259" i="2"/>
  <c r="O251" i="2"/>
  <c r="O233" i="2"/>
  <c r="M229" i="2"/>
  <c r="M207" i="2"/>
  <c r="O203" i="2"/>
  <c r="O199" i="2"/>
  <c r="O187" i="2"/>
  <c r="M180" i="2"/>
  <c r="O160" i="2"/>
  <c r="O156" i="2"/>
  <c r="N152" i="2"/>
  <c r="N144" i="2"/>
  <c r="M485" i="2"/>
  <c r="O477" i="2"/>
  <c r="N461" i="2"/>
  <c r="O448" i="2"/>
  <c r="O424" i="2"/>
  <c r="M373" i="2"/>
  <c r="N360" i="2"/>
  <c r="N241" i="2"/>
  <c r="O237" i="2"/>
  <c r="N195" i="2"/>
  <c r="M183" i="2"/>
  <c r="N164" i="2"/>
  <c r="M465" i="2"/>
  <c r="M448" i="2"/>
  <c r="M424" i="2"/>
  <c r="N416" i="2"/>
  <c r="O386" i="2"/>
  <c r="N319" i="2"/>
  <c r="N302" i="2"/>
  <c r="N279" i="2"/>
  <c r="M241" i="2"/>
  <c r="M237" i="2"/>
  <c r="O480" i="2"/>
  <c r="O456" i="2"/>
  <c r="O440" i="2"/>
  <c r="N258" i="2"/>
  <c r="O223" i="2"/>
  <c r="M123" i="2"/>
  <c r="M121" i="2"/>
  <c r="M130" i="2"/>
  <c r="O125" i="2"/>
  <c r="N125" i="2"/>
  <c r="M120" i="2"/>
  <c r="O115" i="2"/>
  <c r="O110" i="2"/>
  <c r="M110" i="2"/>
  <c r="M108" i="2"/>
  <c r="N107" i="2"/>
  <c r="O107" i="2"/>
  <c r="N115" i="2"/>
  <c r="M106" i="2"/>
  <c r="O112" i="2"/>
  <c r="N112" i="2"/>
  <c r="O108" i="2"/>
  <c r="M104" i="2"/>
  <c r="M102" i="2"/>
  <c r="O100" i="2"/>
  <c r="N100" i="2"/>
  <c r="N98" i="2"/>
  <c r="O102" i="2"/>
  <c r="M96" i="2"/>
  <c r="N94" i="2"/>
  <c r="M94" i="2"/>
  <c r="O90" i="2"/>
  <c r="N86" i="2"/>
  <c r="M86" i="2"/>
  <c r="O84" i="2"/>
  <c r="O82" i="2"/>
  <c r="M78" i="2"/>
  <c r="O75" i="2"/>
  <c r="O74" i="2"/>
  <c r="M72" i="2"/>
  <c r="N70" i="2"/>
  <c r="O69" i="2"/>
  <c r="N78" i="2"/>
  <c r="M70" i="2"/>
  <c r="O77" i="2"/>
  <c r="O73" i="2"/>
  <c r="M80" i="2"/>
  <c r="O76" i="2"/>
  <c r="O72" i="2"/>
  <c r="N66" i="2"/>
  <c r="O65" i="2"/>
  <c r="O63" i="2"/>
  <c r="N62" i="2"/>
  <c r="O61" i="2"/>
  <c r="O59" i="2"/>
  <c r="N58" i="2"/>
  <c r="O57" i="2"/>
  <c r="N57" i="2"/>
  <c r="N54" i="2"/>
  <c r="N53" i="2"/>
  <c r="N50" i="2"/>
  <c r="N45" i="2"/>
  <c r="N43" i="2"/>
  <c r="N41" i="2"/>
  <c r="N51" i="2"/>
  <c r="O50" i="2"/>
  <c r="N37" i="2"/>
  <c r="N47" i="2"/>
  <c r="O40" i="2"/>
  <c r="N40" i="2"/>
  <c r="N44" i="2"/>
  <c r="N32" i="2"/>
  <c r="N26" i="2"/>
  <c r="O30" i="2"/>
  <c r="N30" i="2"/>
  <c r="M28" i="2"/>
  <c r="N27" i="2"/>
  <c r="O26" i="2"/>
  <c r="N25" i="2"/>
  <c r="N24" i="2"/>
  <c r="N23" i="2"/>
  <c r="O22" i="2"/>
  <c r="N22" i="2"/>
  <c r="M20" i="2"/>
  <c r="N18" i="2"/>
  <c r="M18" i="2"/>
  <c r="N17" i="2"/>
  <c r="O14" i="2"/>
  <c r="N14" i="2"/>
  <c r="N13" i="2"/>
  <c r="N11" i="2"/>
  <c r="O10" i="2"/>
  <c r="N10" i="2"/>
  <c r="N9" i="2"/>
  <c r="N8" i="2"/>
  <c r="N6" i="2"/>
  <c r="M6" i="2"/>
  <c r="N4" i="2"/>
  <c r="N19" i="2"/>
  <c r="N7" i="2"/>
  <c r="O20" i="2"/>
  <c r="O526" i="2"/>
  <c r="O516" i="2"/>
  <c r="M508" i="2"/>
  <c r="M497" i="2"/>
  <c r="M493" i="2"/>
  <c r="M486" i="2"/>
  <c r="O472" i="2"/>
  <c r="O465" i="2"/>
  <c r="O458" i="2"/>
  <c r="M455" i="2"/>
  <c r="M452" i="2"/>
  <c r="O438" i="2"/>
  <c r="N431" i="2"/>
  <c r="M428" i="2"/>
  <c r="N418" i="2"/>
  <c r="M415" i="2"/>
  <c r="O404" i="2"/>
  <c r="N393" i="2"/>
  <c r="M390" i="2"/>
  <c r="N383" i="2"/>
  <c r="M376" i="2"/>
  <c r="M361" i="2"/>
  <c r="M350" i="2"/>
  <c r="M340" i="2"/>
  <c r="N322" i="2"/>
  <c r="O318" i="2"/>
  <c r="M299" i="2"/>
  <c r="O291" i="2"/>
  <c r="M285" i="2"/>
  <c r="N249" i="2"/>
  <c r="N226" i="2"/>
  <c r="M211" i="2"/>
  <c r="O207" i="2"/>
  <c r="O144" i="2"/>
  <c r="N130" i="2"/>
  <c r="N123" i="2"/>
  <c r="N106" i="2"/>
  <c r="O71" i="2"/>
  <c r="N48" i="2"/>
  <c r="O44" i="2"/>
  <c r="N28" i="2"/>
  <c r="N15" i="2"/>
  <c r="M12" i="2"/>
  <c r="O507" i="2"/>
  <c r="O492" i="2"/>
  <c r="O488" i="2"/>
  <c r="O454" i="2"/>
  <c r="N451" i="2"/>
  <c r="O430" i="2"/>
  <c r="O414" i="2"/>
  <c r="N386" i="2"/>
  <c r="N378" i="2"/>
  <c r="N290" i="2"/>
  <c r="O287" i="2"/>
  <c r="N244" i="2"/>
  <c r="O225" i="2"/>
  <c r="N210" i="2"/>
  <c r="N193" i="2"/>
  <c r="M150" i="2"/>
  <c r="N538" i="2"/>
  <c r="O528" i="2"/>
  <c r="M525" i="2"/>
  <c r="M492" i="2"/>
  <c r="M488" i="2"/>
  <c r="N471" i="2"/>
  <c r="O464" i="2"/>
  <c r="O457" i="2"/>
  <c r="M454" i="2"/>
  <c r="M451" i="2"/>
  <c r="M430" i="2"/>
  <c r="O417" i="2"/>
  <c r="M414" i="2"/>
  <c r="N392" i="2"/>
  <c r="N389" i="2"/>
  <c r="M382" i="2"/>
  <c r="O363" i="2"/>
  <c r="O331" i="2"/>
  <c r="O309" i="2"/>
  <c r="O301" i="2"/>
  <c r="M290" i="2"/>
  <c r="M287" i="2"/>
  <c r="N266" i="2"/>
  <c r="M225" i="2"/>
  <c r="O423" i="2"/>
  <c r="O293" i="2"/>
  <c r="O269" i="2"/>
  <c r="O189" i="2"/>
  <c r="O171" i="2"/>
  <c r="O135" i="2"/>
  <c r="O4" i="2"/>
  <c r="M531" i="2"/>
  <c r="M510" i="2"/>
  <c r="N503" i="2"/>
  <c r="O426" i="2"/>
  <c r="N423" i="2"/>
  <c r="O345" i="2"/>
  <c r="N324" i="2"/>
  <c r="N313" i="2"/>
  <c r="N293" i="2"/>
  <c r="N269" i="2"/>
  <c r="N251" i="2"/>
  <c r="M217" i="2"/>
  <c r="O213" i="2"/>
  <c r="N202" i="2"/>
  <c r="N189" i="2"/>
  <c r="N186" i="2"/>
  <c r="M174" i="2"/>
  <c r="N171" i="2"/>
  <c r="M164" i="2"/>
  <c r="N135" i="2"/>
  <c r="N118" i="2"/>
  <c r="O36" i="2"/>
  <c r="N33" i="2"/>
  <c r="M503" i="2"/>
  <c r="N499" i="2"/>
  <c r="O460" i="2"/>
  <c r="O436" i="2"/>
  <c r="M426" i="2"/>
  <c r="N402" i="2"/>
  <c r="N356" i="2"/>
  <c r="M345" i="2"/>
  <c r="O283" i="2"/>
  <c r="M213" i="2"/>
  <c r="M202" i="2"/>
  <c r="O195" i="2"/>
  <c r="M186" i="2"/>
  <c r="O149" i="2"/>
  <c r="O142" i="2"/>
  <c r="O121" i="2"/>
  <c r="M118" i="2"/>
  <c r="N104" i="2"/>
  <c r="N46" i="2"/>
  <c r="N36" i="2"/>
  <c r="O42" i="2"/>
  <c r="N524" i="2"/>
  <c r="N487" i="2"/>
  <c r="O484" i="2"/>
  <c r="O470" i="2"/>
  <c r="N453" i="2"/>
  <c r="M330" i="2"/>
  <c r="N296" i="2"/>
  <c r="N289" i="2"/>
  <c r="M286" i="2"/>
  <c r="M265" i="2"/>
  <c r="N261" i="2"/>
  <c r="O235" i="2"/>
  <c r="O231" i="2"/>
  <c r="O205" i="2"/>
  <c r="N198" i="2"/>
  <c r="O159" i="2"/>
  <c r="O152" i="2"/>
  <c r="O80" i="2"/>
  <c r="N42" i="2"/>
  <c r="N540" i="2"/>
  <c r="O530" i="2"/>
  <c r="M527" i="2"/>
  <c r="O520" i="2"/>
  <c r="O509" i="2"/>
  <c r="M484" i="2"/>
  <c r="M470" i="2"/>
  <c r="O466" i="2"/>
  <c r="N439" i="2"/>
  <c r="O432" i="2"/>
  <c r="O419" i="2"/>
  <c r="O409" i="2"/>
  <c r="O405" i="2"/>
  <c r="M394" i="2"/>
  <c r="O373" i="2"/>
  <c r="O369" i="2"/>
  <c r="O341" i="2"/>
  <c r="M323" i="2"/>
  <c r="O319" i="2"/>
  <c r="N300" i="2"/>
  <c r="M296" i="2"/>
  <c r="M250" i="2"/>
  <c r="N246" i="2"/>
  <c r="N242" i="2"/>
  <c r="M235" i="2"/>
  <c r="M231" i="2"/>
  <c r="O124" i="2"/>
  <c r="O88" i="2"/>
  <c r="N49" i="2"/>
  <c r="O32" i="2"/>
  <c r="N29" i="2"/>
  <c r="N530" i="2"/>
  <c r="O490" i="2"/>
  <c r="O344" i="2"/>
  <c r="O191" i="2"/>
  <c r="O185" i="2"/>
  <c r="N166" i="2"/>
  <c r="M145" i="2"/>
  <c r="M138" i="2"/>
  <c r="O134" i="2"/>
  <c r="O127" i="2"/>
  <c r="M124" i="2"/>
  <c r="O117" i="2"/>
  <c r="O96" i="2"/>
  <c r="M88" i="2"/>
  <c r="M533" i="2"/>
  <c r="O505" i="2"/>
  <c r="M502" i="2"/>
  <c r="M490" i="2"/>
  <c r="O476" i="2"/>
  <c r="O462" i="2"/>
  <c r="N435" i="2"/>
  <c r="N425" i="2"/>
  <c r="M422" i="2"/>
  <c r="O412" i="2"/>
  <c r="O401" i="2"/>
  <c r="N344" i="2"/>
  <c r="O326" i="2"/>
  <c r="N278" i="2"/>
  <c r="N274" i="2"/>
  <c r="O257" i="2"/>
  <c r="N191" i="2"/>
  <c r="N185" i="2"/>
  <c r="N182" i="2"/>
  <c r="O179" i="2"/>
  <c r="N155" i="2"/>
  <c r="N134" i="2"/>
  <c r="O120" i="2"/>
  <c r="N117" i="2"/>
  <c r="N64" i="2"/>
  <c r="N60" i="2"/>
  <c r="O52" i="2"/>
  <c r="O38" i="2"/>
  <c r="N35" i="2"/>
  <c r="M3" i="2"/>
  <c r="N505" i="2"/>
  <c r="O493" i="2"/>
  <c r="M476" i="2"/>
  <c r="M462" i="2"/>
  <c r="O455" i="2"/>
  <c r="O445" i="2"/>
  <c r="O442" i="2"/>
  <c r="O415" i="2"/>
  <c r="N412" i="2"/>
  <c r="O387" i="2"/>
  <c r="O376" i="2"/>
  <c r="M365" i="2"/>
  <c r="O361" i="2"/>
  <c r="O358" i="2"/>
  <c r="M333" i="2"/>
  <c r="O329" i="2"/>
  <c r="M326" i="2"/>
  <c r="N315" i="2"/>
  <c r="O285" i="2"/>
  <c r="M278" i="2"/>
  <c r="M274" i="2"/>
  <c r="N264" i="2"/>
  <c r="N238" i="2"/>
  <c r="O219" i="2"/>
  <c r="O215" i="2"/>
  <c r="O197" i="2"/>
  <c r="N194" i="2"/>
  <c r="M182" i="2"/>
  <c r="N162" i="2"/>
  <c r="M155" i="2"/>
  <c r="N113" i="2"/>
  <c r="N56" i="2"/>
  <c r="N52" i="2"/>
  <c r="O12" i="2"/>
  <c r="O497" i="2"/>
  <c r="O486" i="2"/>
  <c r="O452" i="2"/>
  <c r="O428" i="2"/>
  <c r="O390" i="2"/>
  <c r="O211" i="2"/>
  <c r="O48" i="2"/>
  <c r="N515" i="2"/>
  <c r="M513" i="2"/>
  <c r="O500" i="2"/>
  <c r="M498" i="2"/>
  <c r="N483" i="2"/>
  <c r="M481" i="2"/>
  <c r="M449" i="2"/>
  <c r="M384" i="2"/>
  <c r="N384" i="2"/>
  <c r="O384" i="2"/>
  <c r="N370" i="2"/>
  <c r="O370" i="2"/>
  <c r="M370" i="2"/>
  <c r="O489" i="2"/>
  <c r="N397" i="2"/>
  <c r="O397" i="2"/>
  <c r="M367" i="2"/>
  <c r="N367" i="2"/>
  <c r="O367" i="2"/>
  <c r="O537" i="2"/>
  <c r="O491" i="2"/>
  <c r="N489" i="2"/>
  <c r="O459" i="2"/>
  <c r="N457" i="2"/>
  <c r="O427" i="2"/>
  <c r="O406" i="2"/>
  <c r="O521" i="2"/>
  <c r="O539" i="2"/>
  <c r="O535" i="2"/>
  <c r="O533" i="2"/>
  <c r="O531" i="2"/>
  <c r="O529" i="2"/>
  <c r="O527" i="2"/>
  <c r="O525" i="2"/>
  <c r="O523" i="2"/>
  <c r="N521" i="2"/>
  <c r="O506" i="2"/>
  <c r="O508" i="2"/>
  <c r="M506" i="2"/>
  <c r="N491" i="2"/>
  <c r="N459" i="2"/>
  <c r="N427" i="2"/>
  <c r="M416" i="2"/>
  <c r="N353" i="2"/>
  <c r="O353" i="2"/>
  <c r="M353" i="2"/>
  <c r="O495" i="2"/>
  <c r="O463" i="2"/>
  <c r="O431" i="2"/>
  <c r="M411" i="2"/>
  <c r="O411" i="2"/>
  <c r="M243" i="2"/>
  <c r="N243" i="2"/>
  <c r="O243" i="2"/>
  <c r="N495" i="2"/>
  <c r="N463" i="2"/>
  <c r="M396" i="2"/>
  <c r="N396" i="2"/>
  <c r="O396" i="2"/>
  <c r="O372" i="2"/>
  <c r="N372" i="2"/>
  <c r="O298" i="2"/>
  <c r="N298" i="2"/>
  <c r="M298" i="2"/>
  <c r="O512" i="2"/>
  <c r="O514" i="2"/>
  <c r="M512" i="2"/>
  <c r="O499" i="2"/>
  <c r="O467" i="2"/>
  <c r="O435" i="2"/>
  <c r="O420" i="2"/>
  <c r="O413" i="2"/>
  <c r="O408" i="2"/>
  <c r="O501" i="2"/>
  <c r="O469" i="2"/>
  <c r="O437" i="2"/>
  <c r="N408" i="2"/>
  <c r="N374" i="2"/>
  <c r="O355" i="2"/>
  <c r="N355" i="2"/>
  <c r="M352" i="2"/>
  <c r="N352" i="2"/>
  <c r="O352" i="2"/>
  <c r="O518" i="2"/>
  <c r="M516" i="2"/>
  <c r="N501" i="2"/>
  <c r="N469" i="2"/>
  <c r="N437" i="2"/>
  <c r="O403" i="2"/>
  <c r="M374" i="2"/>
  <c r="N338" i="2"/>
  <c r="O338" i="2"/>
  <c r="M338" i="2"/>
  <c r="O473" i="2"/>
  <c r="O441" i="2"/>
  <c r="N403" i="2"/>
  <c r="O385" i="2"/>
  <c r="M379" i="2"/>
  <c r="N379" i="2"/>
  <c r="O379" i="2"/>
  <c r="N473" i="2"/>
  <c r="N441" i="2"/>
  <c r="M335" i="2"/>
  <c r="N335" i="2"/>
  <c r="O335" i="2"/>
  <c r="N398" i="2"/>
  <c r="O398" i="2"/>
  <c r="M395" i="2"/>
  <c r="N395" i="2"/>
  <c r="N321" i="2"/>
  <c r="O321" i="2"/>
  <c r="M321" i="2"/>
  <c r="O511" i="2"/>
  <c r="O479" i="2"/>
  <c r="O447" i="2"/>
  <c r="N381" i="2"/>
  <c r="O381" i="2"/>
  <c r="O513" i="2"/>
  <c r="N511" i="2"/>
  <c r="O496" i="2"/>
  <c r="M494" i="2"/>
  <c r="O481" i="2"/>
  <c r="N479" i="2"/>
  <c r="O449" i="2"/>
  <c r="N447" i="2"/>
  <c r="N419" i="2"/>
  <c r="N400" i="2"/>
  <c r="O498" i="2"/>
  <c r="M496" i="2"/>
  <c r="M407" i="2"/>
  <c r="O407" i="2"/>
  <c r="M400" i="2"/>
  <c r="M305" i="2"/>
  <c r="O305" i="2"/>
  <c r="N305" i="2"/>
  <c r="N340" i="2"/>
  <c r="N323" i="2"/>
  <c r="N314" i="2"/>
  <c r="O176" i="2"/>
  <c r="M176" i="2"/>
  <c r="N176" i="2"/>
  <c r="N307" i="2"/>
  <c r="M264" i="2"/>
  <c r="O382" i="2"/>
  <c r="N380" i="2"/>
  <c r="O365" i="2"/>
  <c r="N363" i="2"/>
  <c r="O350" i="2"/>
  <c r="N348" i="2"/>
  <c r="O333" i="2"/>
  <c r="N331" i="2"/>
  <c r="N318" i="2"/>
  <c r="N309" i="2"/>
  <c r="M302" i="2"/>
  <c r="O288" i="2"/>
  <c r="M288" i="2"/>
  <c r="N283" i="2"/>
  <c r="O276" i="2"/>
  <c r="M276" i="2"/>
  <c r="M271" i="2"/>
  <c r="O271" i="2"/>
  <c r="M266" i="2"/>
  <c r="O320" i="2"/>
  <c r="O311" i="2"/>
  <c r="O304" i="2"/>
  <c r="M295" i="2"/>
  <c r="O295" i="2"/>
  <c r="O248" i="2"/>
  <c r="M248" i="2"/>
  <c r="N248" i="2"/>
  <c r="O240" i="2"/>
  <c r="M240" i="2"/>
  <c r="N240" i="2"/>
  <c r="N320" i="2"/>
  <c r="N311" i="2"/>
  <c r="N304" i="2"/>
  <c r="O297" i="2"/>
  <c r="O256" i="2"/>
  <c r="M256" i="2"/>
  <c r="N256" i="2"/>
  <c r="O388" i="2"/>
  <c r="O371" i="2"/>
  <c r="O356" i="2"/>
  <c r="O339" i="2"/>
  <c r="O324" i="2"/>
  <c r="M297" i="2"/>
  <c r="M253" i="2"/>
  <c r="N253" i="2"/>
  <c r="N245" i="2"/>
  <c r="O245" i="2"/>
  <c r="O392" i="2"/>
  <c r="O375" i="2"/>
  <c r="O360" i="2"/>
  <c r="O343" i="2"/>
  <c r="O328" i="2"/>
  <c r="O315" i="2"/>
  <c r="O308" i="2"/>
  <c r="N299" i="2"/>
  <c r="O292" i="2"/>
  <c r="M292" i="2"/>
  <c r="M275" i="2"/>
  <c r="O275" i="2"/>
  <c r="M263" i="2"/>
  <c r="O263" i="2"/>
  <c r="N247" i="2"/>
  <c r="O234" i="2"/>
  <c r="M234" i="2"/>
  <c r="N234" i="2"/>
  <c r="O220" i="2"/>
  <c r="N220" i="2"/>
  <c r="O280" i="2"/>
  <c r="M280" i="2"/>
  <c r="M247" i="2"/>
  <c r="O192" i="2"/>
  <c r="M192" i="2"/>
  <c r="N192" i="2"/>
  <c r="O364" i="2"/>
  <c r="O347" i="2"/>
  <c r="O332" i="2"/>
  <c r="O317" i="2"/>
  <c r="O310" i="2"/>
  <c r="O294" i="2"/>
  <c r="N294" i="2"/>
  <c r="N255" i="2"/>
  <c r="O255" i="2"/>
  <c r="N364" i="2"/>
  <c r="N347" i="2"/>
  <c r="N332" i="2"/>
  <c r="N310" i="2"/>
  <c r="O277" i="2"/>
  <c r="O260" i="2"/>
  <c r="M260" i="2"/>
  <c r="N236" i="2"/>
  <c r="O368" i="2"/>
  <c r="O351" i="2"/>
  <c r="O336" i="2"/>
  <c r="O312" i="2"/>
  <c r="M277" i="2"/>
  <c r="M236" i="2"/>
  <c r="O262" i="2"/>
  <c r="N262" i="2"/>
  <c r="N291" i="2"/>
  <c r="O284" i="2"/>
  <c r="M284" i="2"/>
  <c r="M279" i="2"/>
  <c r="M267" i="2"/>
  <c r="O267" i="2"/>
  <c r="M238" i="2"/>
  <c r="M222" i="2"/>
  <c r="N224" i="2"/>
  <c r="N208" i="2"/>
  <c r="O168" i="2"/>
  <c r="M158" i="2"/>
  <c r="O158" i="2"/>
  <c r="M224" i="2"/>
  <c r="M208" i="2"/>
  <c r="N168" i="2"/>
  <c r="M136" i="2"/>
  <c r="N136" i="2"/>
  <c r="O136" i="2"/>
  <c r="N128" i="2"/>
  <c r="O128" i="2"/>
  <c r="M128" i="2"/>
  <c r="M244" i="2"/>
  <c r="M226" i="2"/>
  <c r="M210" i="2"/>
  <c r="M198" i="2"/>
  <c r="M163" i="2"/>
  <c r="N163" i="2"/>
  <c r="O163" i="2"/>
  <c r="M160" i="2"/>
  <c r="N228" i="2"/>
  <c r="N212" i="2"/>
  <c r="N200" i="2"/>
  <c r="O170" i="2"/>
  <c r="N282" i="2"/>
  <c r="N250" i="2"/>
  <c r="M228" i="2"/>
  <c r="M212" i="2"/>
  <c r="M200" i="2"/>
  <c r="M170" i="2"/>
  <c r="N111" i="2"/>
  <c r="O111" i="2"/>
  <c r="M111" i="2"/>
  <c r="M252" i="2"/>
  <c r="M230" i="2"/>
  <c r="M214" i="2"/>
  <c r="M141" i="2"/>
  <c r="N141" i="2"/>
  <c r="O141" i="2"/>
  <c r="M119" i="2"/>
  <c r="N119" i="2"/>
  <c r="O119" i="2"/>
  <c r="N232" i="2"/>
  <c r="N216" i="2"/>
  <c r="M232" i="2"/>
  <c r="M216" i="2"/>
  <c r="N190" i="2"/>
  <c r="N174" i="2"/>
  <c r="M154" i="2"/>
  <c r="N154" i="2"/>
  <c r="O154" i="2"/>
  <c r="N218" i="2"/>
  <c r="N204" i="2"/>
  <c r="M218" i="2"/>
  <c r="M204" i="2"/>
  <c r="M169" i="2"/>
  <c r="N169" i="2"/>
  <c r="M151" i="2"/>
  <c r="N151" i="2"/>
  <c r="N143" i="2"/>
  <c r="O143" i="2"/>
  <c r="M99" i="2"/>
  <c r="N99" i="2"/>
  <c r="M91" i="2"/>
  <c r="N91" i="2"/>
  <c r="M83" i="2"/>
  <c r="N83" i="2"/>
  <c r="M101" i="2"/>
  <c r="N101" i="2"/>
  <c r="O161" i="2"/>
  <c r="O129" i="2"/>
  <c r="O114" i="2"/>
  <c r="M93" i="2"/>
  <c r="N93" i="2"/>
  <c r="M85" i="2"/>
  <c r="N85" i="2"/>
  <c r="N161" i="2"/>
  <c r="O148" i="2"/>
  <c r="N146" i="2"/>
  <c r="O131" i="2"/>
  <c r="N129" i="2"/>
  <c r="O116" i="2"/>
  <c r="N114" i="2"/>
  <c r="M103" i="2"/>
  <c r="N103" i="2"/>
  <c r="N90" i="2"/>
  <c r="N82" i="2"/>
  <c r="N74" i="2"/>
  <c r="N148" i="2"/>
  <c r="N131" i="2"/>
  <c r="N116" i="2"/>
  <c r="O105" i="2"/>
  <c r="N105" i="2"/>
  <c r="O137" i="2"/>
  <c r="O122" i="2"/>
  <c r="M95" i="2"/>
  <c r="N95" i="2"/>
  <c r="O92" i="2"/>
  <c r="M87" i="2"/>
  <c r="N87" i="2"/>
  <c r="M79" i="2"/>
  <c r="N79" i="2"/>
  <c r="N137" i="2"/>
  <c r="N122" i="2"/>
  <c r="N92" i="2"/>
  <c r="N84" i="2"/>
  <c r="N76" i="2"/>
  <c r="M68" i="2"/>
  <c r="O68" i="2"/>
  <c r="O126" i="2"/>
  <c r="O109" i="2"/>
  <c r="N126" i="2"/>
  <c r="M97" i="2"/>
  <c r="N97" i="2"/>
  <c r="M89" i="2"/>
  <c r="N89" i="2"/>
  <c r="M81" i="2"/>
  <c r="N81" i="2"/>
  <c r="O66" i="2"/>
  <c r="O64" i="2"/>
  <c r="O62" i="2"/>
  <c r="O60" i="2"/>
  <c r="O58" i="2"/>
  <c r="O56" i="2"/>
  <c r="O54" i="2"/>
  <c r="O46" i="2"/>
  <c r="O55" i="2"/>
  <c r="O53" i="2"/>
  <c r="O51" i="2"/>
  <c r="O49" i="2"/>
  <c r="O47" i="2"/>
  <c r="O45" i="2"/>
  <c r="O43" i="2"/>
  <c r="O41" i="2"/>
  <c r="O39" i="2"/>
  <c r="O37" i="2"/>
  <c r="O35" i="2"/>
  <c r="O33" i="2"/>
  <c r="O31" i="2"/>
  <c r="O29" i="2"/>
  <c r="O27" i="2"/>
  <c r="O25" i="2"/>
  <c r="O23" i="2"/>
  <c r="O21" i="2"/>
  <c r="O19" i="2"/>
  <c r="O17" i="2"/>
  <c r="O15" i="2"/>
  <c r="O13" i="2"/>
  <c r="O11" i="2"/>
  <c r="O9" i="2"/>
  <c r="O7" i="2"/>
  <c r="O5" i="2"/>
  <c r="O3" i="2"/>
  <c r="N77" i="2"/>
  <c r="N75" i="2"/>
  <c r="N73" i="2"/>
  <c r="N71" i="2"/>
  <c r="N69" i="2"/>
  <c r="N67" i="2"/>
  <c r="N65" i="2"/>
  <c r="N63" i="2"/>
  <c r="N61" i="2"/>
  <c r="N59" i="2"/>
  <c r="N55" i="2"/>
  <c r="Q6" i="5"/>
  <c r="S6" i="5"/>
  <c r="T6" i="5"/>
  <c r="B4" i="8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3" i="8"/>
  <c r="L541" i="2" l="1"/>
  <c r="L542" i="2"/>
  <c r="L543" i="2"/>
  <c r="L544" i="2"/>
  <c r="L545" i="2"/>
  <c r="L546" i="2"/>
  <c r="M546" i="2" s="1"/>
  <c r="L547" i="2"/>
  <c r="L548" i="2"/>
  <c r="L549" i="2"/>
  <c r="L550" i="2"/>
  <c r="L551" i="2"/>
  <c r="L552" i="2"/>
  <c r="L553" i="2"/>
  <c r="L554" i="2"/>
  <c r="L555" i="2"/>
  <c r="L556" i="2"/>
  <c r="L557" i="2"/>
  <c r="O557" i="2" s="1"/>
  <c r="L558" i="2"/>
  <c r="L559" i="2"/>
  <c r="L560" i="2"/>
  <c r="L561" i="2"/>
  <c r="L562" i="2"/>
  <c r="M562" i="2" s="1"/>
  <c r="L563" i="2"/>
  <c r="L564" i="2"/>
  <c r="L565" i="2"/>
  <c r="L566" i="2"/>
  <c r="L567" i="2"/>
  <c r="L568" i="2"/>
  <c r="L569" i="2"/>
  <c r="L570" i="2"/>
  <c r="L571" i="2"/>
  <c r="L572" i="2"/>
  <c r="L573" i="2"/>
  <c r="O573" i="2" s="1"/>
  <c r="L574" i="2"/>
  <c r="L575" i="2"/>
  <c r="L576" i="2"/>
  <c r="L577" i="2"/>
  <c r="L578" i="2"/>
  <c r="M578" i="2" s="1"/>
  <c r="L579" i="2"/>
  <c r="L580" i="2"/>
  <c r="L581" i="2"/>
  <c r="L582" i="2"/>
  <c r="L583" i="2"/>
  <c r="O583" i="2" s="1"/>
  <c r="L584" i="2"/>
  <c r="M584" i="2" s="1"/>
  <c r="L585" i="2"/>
  <c r="L586" i="2"/>
  <c r="L587" i="2"/>
  <c r="L588" i="2"/>
  <c r="L589" i="2"/>
  <c r="O589" i="2" s="1"/>
  <c r="L590" i="2"/>
  <c r="L591" i="2"/>
  <c r="L592" i="2"/>
  <c r="L593" i="2"/>
  <c r="L594" i="2"/>
  <c r="M594" i="2" s="1"/>
  <c r="L595" i="2"/>
  <c r="L596" i="2"/>
  <c r="L597" i="2"/>
  <c r="L598" i="2"/>
  <c r="L599" i="2"/>
  <c r="L600" i="2"/>
  <c r="L601" i="2"/>
  <c r="L602" i="2"/>
  <c r="L603" i="2"/>
  <c r="L604" i="2"/>
  <c r="L605" i="2"/>
  <c r="O605" i="2" s="1"/>
  <c r="L606" i="2"/>
  <c r="L607" i="2"/>
  <c r="L608" i="2"/>
  <c r="L609" i="2"/>
  <c r="L610" i="2"/>
  <c r="M610" i="2" s="1"/>
  <c r="L611" i="2"/>
  <c r="L612" i="2"/>
  <c r="L613" i="2"/>
  <c r="L614" i="2"/>
  <c r="L615" i="2"/>
  <c r="O615" i="2" s="1"/>
  <c r="L616" i="2"/>
  <c r="M616" i="2" s="1"/>
  <c r="L617" i="2"/>
  <c r="L618" i="2"/>
  <c r="L619" i="2"/>
  <c r="L620" i="2"/>
  <c r="L621" i="2"/>
  <c r="O621" i="2" s="1"/>
  <c r="L622" i="2"/>
  <c r="L623" i="2"/>
  <c r="L624" i="2"/>
  <c r="L625" i="2"/>
  <c r="L626" i="2"/>
  <c r="M626" i="2" s="1"/>
  <c r="L627" i="2"/>
  <c r="L628" i="2"/>
  <c r="L629" i="2"/>
  <c r="L630" i="2"/>
  <c r="L631" i="2"/>
  <c r="O631" i="2" s="1"/>
  <c r="L632" i="2"/>
  <c r="M632" i="2" s="1"/>
  <c r="L633" i="2"/>
  <c r="L634" i="2"/>
  <c r="L635" i="2"/>
  <c r="L636" i="2"/>
  <c r="L637" i="2"/>
  <c r="O637" i="2" s="1"/>
  <c r="L638" i="2"/>
  <c r="L639" i="2"/>
  <c r="L640" i="2"/>
  <c r="L641" i="2"/>
  <c r="L642" i="2"/>
  <c r="M642" i="2" s="1"/>
  <c r="L643" i="2"/>
  <c r="L644" i="2"/>
  <c r="L645" i="2"/>
  <c r="L646" i="2"/>
  <c r="L647" i="2"/>
  <c r="L648" i="2"/>
  <c r="L649" i="2"/>
  <c r="L650" i="2"/>
  <c r="L651" i="2"/>
  <c r="L652" i="2"/>
  <c r="L653" i="2"/>
  <c r="O653" i="2" s="1"/>
  <c r="L654" i="2"/>
  <c r="L655" i="2"/>
  <c r="L656" i="2"/>
  <c r="L657" i="2"/>
  <c r="L658" i="2"/>
  <c r="M658" i="2" s="1"/>
  <c r="L659" i="2"/>
  <c r="L660" i="2"/>
  <c r="L661" i="2"/>
  <c r="L662" i="2"/>
  <c r="L663" i="2"/>
  <c r="O663" i="2" s="1"/>
  <c r="L664" i="2"/>
  <c r="M664" i="2" s="1"/>
  <c r="L665" i="2"/>
  <c r="L666" i="2"/>
  <c r="L667" i="2"/>
  <c r="L668" i="2"/>
  <c r="L669" i="2"/>
  <c r="O669" i="2" s="1"/>
  <c r="L670" i="2"/>
  <c r="L671" i="2"/>
  <c r="L672" i="2"/>
  <c r="L673" i="2"/>
  <c r="L674" i="2"/>
  <c r="M674" i="2" s="1"/>
  <c r="L675" i="2"/>
  <c r="L676" i="2"/>
  <c r="L677" i="2"/>
  <c r="L678" i="2"/>
  <c r="L679" i="2"/>
  <c r="L680" i="2"/>
  <c r="L681" i="2"/>
  <c r="M681" i="2" s="1"/>
  <c r="L682" i="2"/>
  <c r="L683" i="2"/>
  <c r="L684" i="2"/>
  <c r="L685" i="2"/>
  <c r="O685" i="2" s="1"/>
  <c r="L686" i="2"/>
  <c r="L687" i="2"/>
  <c r="L688" i="2"/>
  <c r="L689" i="2"/>
  <c r="L690" i="2"/>
  <c r="M690" i="2" s="1"/>
  <c r="L691" i="2"/>
  <c r="O691" i="2" s="1"/>
  <c r="L692" i="2"/>
  <c r="L693" i="2"/>
  <c r="L694" i="2"/>
  <c r="L695" i="2"/>
  <c r="O695" i="2" s="1"/>
  <c r="L696" i="2"/>
  <c r="M696" i="2" s="1"/>
  <c r="L697" i="2"/>
  <c r="L698" i="2"/>
  <c r="L699" i="2"/>
  <c r="L700" i="2"/>
  <c r="L701" i="2"/>
  <c r="O701" i="2" s="1"/>
  <c r="L702" i="2"/>
  <c r="L703" i="2"/>
  <c r="L704" i="2"/>
  <c r="L705" i="2"/>
  <c r="L706" i="2"/>
  <c r="M706" i="2" s="1"/>
  <c r="L707" i="2"/>
  <c r="L708" i="2"/>
  <c r="L709" i="2"/>
  <c r="L710" i="2"/>
  <c r="L711" i="2"/>
  <c r="L712" i="2"/>
  <c r="L713" i="2"/>
  <c r="L714" i="2"/>
  <c r="L715" i="2"/>
  <c r="L716" i="2"/>
  <c r="L717" i="2"/>
  <c r="O717" i="2" s="1"/>
  <c r="L718" i="2"/>
  <c r="L719" i="2"/>
  <c r="L720" i="2"/>
  <c r="L721" i="2"/>
  <c r="L722" i="2"/>
  <c r="M722" i="2" s="1"/>
  <c r="L723" i="2"/>
  <c r="O723" i="2" s="1"/>
  <c r="L724" i="2"/>
  <c r="L725" i="2"/>
  <c r="L726" i="2"/>
  <c r="L727" i="2"/>
  <c r="O727" i="2" s="1"/>
  <c r="L728" i="2"/>
  <c r="M728" i="2" s="1"/>
  <c r="L729" i="2"/>
  <c r="M729" i="2" s="1"/>
  <c r="L730" i="2"/>
  <c r="L731" i="2"/>
  <c r="L732" i="2"/>
  <c r="O732" i="2" s="1"/>
  <c r="L733" i="2"/>
  <c r="O733" i="2" s="1"/>
  <c r="L734" i="2"/>
  <c r="L735" i="2"/>
  <c r="L736" i="2"/>
  <c r="L737" i="2"/>
  <c r="L738" i="2"/>
  <c r="M738" i="2" s="1"/>
  <c r="L739" i="2"/>
  <c r="O739" i="2" s="1"/>
  <c r="L740" i="2"/>
  <c r="L741" i="2"/>
  <c r="L742" i="2"/>
  <c r="L743" i="2"/>
  <c r="M743" i="2" s="1"/>
  <c r="L744" i="2"/>
  <c r="L745" i="2"/>
  <c r="L746" i="2"/>
  <c r="L747" i="2"/>
  <c r="L748" i="2"/>
  <c r="O748" i="2" s="1"/>
  <c r="L749" i="2"/>
  <c r="O749" i="2" s="1"/>
  <c r="L750" i="2"/>
  <c r="L751" i="2"/>
  <c r="L752" i="2"/>
  <c r="L753" i="2"/>
  <c r="L754" i="2"/>
  <c r="O754" i="2" s="1"/>
  <c r="L755" i="2"/>
  <c r="L756" i="2"/>
  <c r="L757" i="2"/>
  <c r="L758" i="2"/>
  <c r="L759" i="2"/>
  <c r="M759" i="2" s="1"/>
  <c r="L760" i="2"/>
  <c r="L761" i="2"/>
  <c r="L762" i="2"/>
  <c r="L763" i="2"/>
  <c r="L764" i="2"/>
  <c r="L765" i="2"/>
  <c r="M765" i="2" s="1"/>
  <c r="L766" i="2"/>
  <c r="N766" i="2" s="1"/>
  <c r="L767" i="2"/>
  <c r="L768" i="2"/>
  <c r="L769" i="2"/>
  <c r="L770" i="2"/>
  <c r="M770" i="2" s="1"/>
  <c r="L771" i="2"/>
  <c r="N771" i="2" s="1"/>
  <c r="L772" i="2"/>
  <c r="L773" i="2"/>
  <c r="L774" i="2"/>
  <c r="L775" i="2"/>
  <c r="M775" i="2" s="1"/>
  <c r="L776" i="2"/>
  <c r="O776" i="2" s="1"/>
  <c r="L777" i="2"/>
  <c r="L778" i="2"/>
  <c r="L779" i="2"/>
  <c r="L780" i="2"/>
  <c r="M780" i="2" s="1"/>
  <c r="L781" i="2"/>
  <c r="M781" i="2" s="1"/>
  <c r="L782" i="2"/>
  <c r="N782" i="2" s="1"/>
  <c r="L783" i="2"/>
  <c r="L784" i="2"/>
  <c r="L785" i="2"/>
  <c r="O785" i="2" s="1"/>
  <c r="L786" i="2"/>
  <c r="M786" i="2" s="1"/>
  <c r="L787" i="2"/>
  <c r="N787" i="2" s="1"/>
  <c r="L788" i="2"/>
  <c r="L789" i="2"/>
  <c r="L790" i="2"/>
  <c r="L791" i="2"/>
  <c r="M791" i="2" s="1"/>
  <c r="L792" i="2"/>
  <c r="O792" i="2" s="1"/>
  <c r="L793" i="2"/>
  <c r="M793" i="2" s="1"/>
  <c r="L794" i="2"/>
  <c r="L795" i="2"/>
  <c r="L796" i="2"/>
  <c r="M796" i="2" s="1"/>
  <c r="L797" i="2"/>
  <c r="O797" i="2" s="1"/>
  <c r="L798" i="2"/>
  <c r="L799" i="2"/>
  <c r="L800" i="2"/>
  <c r="L801" i="2"/>
  <c r="O801" i="2" s="1"/>
  <c r="L802" i="2"/>
  <c r="O802" i="2" s="1"/>
  <c r="L803" i="2"/>
  <c r="N803" i="2" s="1"/>
  <c r="L804" i="2"/>
  <c r="L805" i="2"/>
  <c r="L806" i="2"/>
  <c r="L807" i="2"/>
  <c r="M807" i="2" s="1"/>
  <c r="L808" i="2"/>
  <c r="O808" i="2" s="1"/>
  <c r="L809" i="2"/>
  <c r="L810" i="2"/>
  <c r="L811" i="2"/>
  <c r="L812" i="2"/>
  <c r="M812" i="2" s="1"/>
  <c r="L813" i="2"/>
  <c r="M813" i="2" s="1"/>
  <c r="L814" i="2"/>
  <c r="O814" i="2" s="1"/>
  <c r="L815" i="2"/>
  <c r="L816" i="2"/>
  <c r="L817" i="2"/>
  <c r="L818" i="2"/>
  <c r="M818" i="2" s="1"/>
  <c r="L819" i="2"/>
  <c r="M819" i="2" s="1"/>
  <c r="L820" i="2"/>
  <c r="L821" i="2"/>
  <c r="L822" i="2"/>
  <c r="L823" i="2"/>
  <c r="M823" i="2" s="1"/>
  <c r="L824" i="2"/>
  <c r="N824" i="2" s="1"/>
  <c r="L825" i="2"/>
  <c r="M825" i="2" s="1"/>
  <c r="L826" i="2"/>
  <c r="L827" i="2"/>
  <c r="O827" i="2" s="1"/>
  <c r="L828" i="2"/>
  <c r="M828" i="2" s="1"/>
  <c r="L829" i="2"/>
  <c r="M829" i="2" s="1"/>
  <c r="L830" i="2"/>
  <c r="M830" i="2" s="1"/>
  <c r="L831" i="2"/>
  <c r="L832" i="2"/>
  <c r="O832" i="2" s="1"/>
  <c r="L833" i="2"/>
  <c r="M833" i="2" s="1"/>
  <c r="L834" i="2"/>
  <c r="N834" i="2" s="1"/>
  <c r="L835" i="2"/>
  <c r="M835" i="2" s="1"/>
  <c r="L836" i="2"/>
  <c r="M836" i="2" s="1"/>
  <c r="L837" i="2"/>
  <c r="M837" i="2" s="1"/>
  <c r="L838" i="2"/>
  <c r="M838" i="2" s="1"/>
  <c r="L839" i="2"/>
  <c r="O839" i="2" s="1"/>
  <c r="L840" i="2"/>
  <c r="M840" i="2" s="1"/>
  <c r="L841" i="2"/>
  <c r="M841" i="2" s="1"/>
  <c r="L842" i="2"/>
  <c r="O842" i="2" s="1"/>
  <c r="L843" i="2"/>
  <c r="N843" i="2" s="1"/>
  <c r="L844" i="2"/>
  <c r="M844" i="2" s="1"/>
  <c r="L845" i="2"/>
  <c r="M845" i="2" s="1"/>
  <c r="L846" i="2"/>
  <c r="M846" i="2" s="1"/>
  <c r="L847" i="2"/>
  <c r="M847" i="2" s="1"/>
  <c r="L848" i="2"/>
  <c r="O848" i="2" s="1"/>
  <c r="L849" i="2"/>
  <c r="M849" i="2" s="1"/>
  <c r="L850" i="2"/>
  <c r="N850" i="2" s="1"/>
  <c r="L851" i="2"/>
  <c r="M851" i="2" s="1"/>
  <c r="L852" i="2"/>
  <c r="M852" i="2" s="1"/>
  <c r="L853" i="2"/>
  <c r="M853" i="2" s="1"/>
  <c r="L854" i="2"/>
  <c r="M854" i="2" s="1"/>
  <c r="L855" i="2"/>
  <c r="O855" i="2" s="1"/>
  <c r="L856" i="2"/>
  <c r="M856" i="2" s="1"/>
  <c r="L857" i="2"/>
  <c r="M857" i="2" s="1"/>
  <c r="L858" i="2"/>
  <c r="O858" i="2" s="1"/>
  <c r="L859" i="2"/>
  <c r="N859" i="2" s="1"/>
  <c r="L860" i="2"/>
  <c r="M860" i="2" s="1"/>
  <c r="L861" i="2"/>
  <c r="M861" i="2" s="1"/>
  <c r="L862" i="2"/>
  <c r="M862" i="2" s="1"/>
  <c r="L863" i="2"/>
  <c r="M863" i="2" s="1"/>
  <c r="L864" i="2"/>
  <c r="O864" i="2" s="1"/>
  <c r="L865" i="2"/>
  <c r="M865" i="2" s="1"/>
  <c r="L866" i="2"/>
  <c r="N866" i="2" s="1"/>
  <c r="L867" i="2"/>
  <c r="M867" i="2" s="1"/>
  <c r="L868" i="2"/>
  <c r="M868" i="2" s="1"/>
  <c r="L869" i="2"/>
  <c r="M869" i="2" s="1"/>
  <c r="L870" i="2"/>
  <c r="M870" i="2" s="1"/>
  <c r="L871" i="2"/>
  <c r="O871" i="2" s="1"/>
  <c r="L872" i="2"/>
  <c r="M872" i="2" s="1"/>
  <c r="L873" i="2"/>
  <c r="M873" i="2" s="1"/>
  <c r="L874" i="2"/>
  <c r="O874" i="2" s="1"/>
  <c r="L875" i="2"/>
  <c r="N875" i="2" s="1"/>
  <c r="L876" i="2"/>
  <c r="M876" i="2" s="1"/>
  <c r="L877" i="2"/>
  <c r="M877" i="2" s="1"/>
  <c r="L878" i="2"/>
  <c r="M878" i="2" s="1"/>
  <c r="L879" i="2"/>
  <c r="M879" i="2" s="1"/>
  <c r="L880" i="2"/>
  <c r="O880" i="2" s="1"/>
  <c r="L881" i="2"/>
  <c r="M881" i="2" s="1"/>
  <c r="L882" i="2"/>
  <c r="N882" i="2" s="1"/>
  <c r="L883" i="2"/>
  <c r="M883" i="2" s="1"/>
  <c r="L884" i="2"/>
  <c r="M884" i="2" s="1"/>
  <c r="L885" i="2"/>
  <c r="M885" i="2" s="1"/>
  <c r="L886" i="2"/>
  <c r="M886" i="2" s="1"/>
  <c r="L887" i="2"/>
  <c r="O887" i="2" s="1"/>
  <c r="L888" i="2"/>
  <c r="M888" i="2" s="1"/>
  <c r="L889" i="2"/>
  <c r="M889" i="2" s="1"/>
  <c r="L890" i="2"/>
  <c r="O890" i="2" s="1"/>
  <c r="L891" i="2"/>
  <c r="N891" i="2" s="1"/>
  <c r="L892" i="2"/>
  <c r="M892" i="2" s="1"/>
  <c r="L893" i="2"/>
  <c r="M893" i="2" s="1"/>
  <c r="L894" i="2"/>
  <c r="M894" i="2" s="1"/>
  <c r="L895" i="2"/>
  <c r="M895" i="2" s="1"/>
  <c r="L896" i="2"/>
  <c r="O896" i="2" s="1"/>
  <c r="L897" i="2"/>
  <c r="M897" i="2" s="1"/>
  <c r="L898" i="2"/>
  <c r="N898" i="2" s="1"/>
  <c r="L899" i="2"/>
  <c r="M899" i="2" s="1"/>
  <c r="L900" i="2"/>
  <c r="M900" i="2" s="1"/>
  <c r="L901" i="2"/>
  <c r="M901" i="2" s="1"/>
  <c r="L902" i="2"/>
  <c r="M902" i="2" s="1"/>
  <c r="L903" i="2"/>
  <c r="O903" i="2" s="1"/>
  <c r="L904" i="2"/>
  <c r="M904" i="2" s="1"/>
  <c r="L905" i="2"/>
  <c r="M905" i="2" s="1"/>
  <c r="L906" i="2"/>
  <c r="O906" i="2" s="1"/>
  <c r="L907" i="2"/>
  <c r="N907" i="2" s="1"/>
  <c r="L908" i="2"/>
  <c r="M908" i="2" s="1"/>
  <c r="L909" i="2"/>
  <c r="M909" i="2" s="1"/>
  <c r="L910" i="2"/>
  <c r="M910" i="2" s="1"/>
  <c r="L911" i="2"/>
  <c r="M911" i="2" s="1"/>
  <c r="L912" i="2"/>
  <c r="O912" i="2" s="1"/>
  <c r="L913" i="2"/>
  <c r="M913" i="2" s="1"/>
  <c r="L914" i="2"/>
  <c r="N914" i="2" s="1"/>
  <c r="L915" i="2"/>
  <c r="M915" i="2" s="1"/>
  <c r="L916" i="2"/>
  <c r="M916" i="2" s="1"/>
  <c r="L917" i="2"/>
  <c r="M917" i="2" s="1"/>
  <c r="L918" i="2"/>
  <c r="M918" i="2" s="1"/>
  <c r="L919" i="2"/>
  <c r="O919" i="2" s="1"/>
  <c r="L920" i="2"/>
  <c r="M920" i="2" s="1"/>
  <c r="L921" i="2"/>
  <c r="M921" i="2" s="1"/>
  <c r="L922" i="2"/>
  <c r="O922" i="2" s="1"/>
  <c r="L923" i="2"/>
  <c r="N923" i="2" s="1"/>
  <c r="L924" i="2"/>
  <c r="M924" i="2" s="1"/>
  <c r="L925" i="2"/>
  <c r="M925" i="2" s="1"/>
  <c r="L926" i="2"/>
  <c r="M926" i="2" s="1"/>
  <c r="L927" i="2"/>
  <c r="M927" i="2" s="1"/>
  <c r="L928" i="2"/>
  <c r="O928" i="2" s="1"/>
  <c r="L929" i="2"/>
  <c r="M929" i="2" s="1"/>
  <c r="L930" i="2"/>
  <c r="N930" i="2" s="1"/>
  <c r="L931" i="2"/>
  <c r="M931" i="2" s="1"/>
  <c r="L932" i="2"/>
  <c r="M932" i="2" s="1"/>
  <c r="L933" i="2"/>
  <c r="M933" i="2" s="1"/>
  <c r="L934" i="2"/>
  <c r="M934" i="2" s="1"/>
  <c r="L935" i="2"/>
  <c r="O935" i="2" s="1"/>
  <c r="L936" i="2"/>
  <c r="M936" i="2" s="1"/>
  <c r="L937" i="2"/>
  <c r="M937" i="2" s="1"/>
  <c r="L938" i="2"/>
  <c r="O938" i="2" s="1"/>
  <c r="L939" i="2"/>
  <c r="N939" i="2" s="1"/>
  <c r="L940" i="2"/>
  <c r="M940" i="2" s="1"/>
  <c r="L941" i="2"/>
  <c r="M941" i="2" s="1"/>
  <c r="L942" i="2"/>
  <c r="M942" i="2" s="1"/>
  <c r="L943" i="2"/>
  <c r="M943" i="2" s="1"/>
  <c r="L944" i="2"/>
  <c r="O944" i="2" s="1"/>
  <c r="L945" i="2"/>
  <c r="M945" i="2" s="1"/>
  <c r="L946" i="2"/>
  <c r="N946" i="2" s="1"/>
  <c r="L947" i="2"/>
  <c r="M947" i="2" s="1"/>
  <c r="L948" i="2"/>
  <c r="M948" i="2" s="1"/>
  <c r="L949" i="2"/>
  <c r="M949" i="2" s="1"/>
  <c r="L950" i="2"/>
  <c r="M950" i="2" s="1"/>
  <c r="L951" i="2"/>
  <c r="O951" i="2" s="1"/>
  <c r="L952" i="2"/>
  <c r="M952" i="2" s="1"/>
  <c r="L953" i="2"/>
  <c r="M953" i="2" s="1"/>
  <c r="L954" i="2"/>
  <c r="O954" i="2" s="1"/>
  <c r="L955" i="2"/>
  <c r="N955" i="2" s="1"/>
  <c r="L956" i="2"/>
  <c r="M956" i="2" s="1"/>
  <c r="L957" i="2"/>
  <c r="M957" i="2" s="1"/>
  <c r="L958" i="2"/>
  <c r="M958" i="2" s="1"/>
  <c r="L959" i="2"/>
  <c r="M959" i="2" s="1"/>
  <c r="L960" i="2"/>
  <c r="O960" i="2" s="1"/>
  <c r="L961" i="2"/>
  <c r="M961" i="2" s="1"/>
  <c r="L962" i="2"/>
  <c r="N962" i="2" s="1"/>
  <c r="L963" i="2"/>
  <c r="M963" i="2" s="1"/>
  <c r="L964" i="2"/>
  <c r="M964" i="2" s="1"/>
  <c r="L965" i="2"/>
  <c r="M965" i="2" s="1"/>
  <c r="L966" i="2"/>
  <c r="M966" i="2" s="1"/>
  <c r="L967" i="2"/>
  <c r="O967" i="2" s="1"/>
  <c r="L968" i="2"/>
  <c r="M968" i="2" s="1"/>
  <c r="L969" i="2"/>
  <c r="M969" i="2" s="1"/>
  <c r="L970" i="2"/>
  <c r="O970" i="2" s="1"/>
  <c r="L971" i="2"/>
  <c r="N971" i="2" s="1"/>
  <c r="L972" i="2"/>
  <c r="M972" i="2" s="1"/>
  <c r="L973" i="2"/>
  <c r="M973" i="2" s="1"/>
  <c r="L974" i="2"/>
  <c r="M974" i="2" s="1"/>
  <c r="L975" i="2"/>
  <c r="M975" i="2" s="1"/>
  <c r="L976" i="2"/>
  <c r="O976" i="2" s="1"/>
  <c r="L977" i="2"/>
  <c r="M977" i="2" s="1"/>
  <c r="L978" i="2"/>
  <c r="N978" i="2" s="1"/>
  <c r="L979" i="2"/>
  <c r="M979" i="2" s="1"/>
  <c r="L980" i="2"/>
  <c r="M980" i="2" s="1"/>
  <c r="L981" i="2"/>
  <c r="M981" i="2" s="1"/>
  <c r="L982" i="2"/>
  <c r="M982" i="2" s="1"/>
  <c r="L983" i="2"/>
  <c r="O983" i="2" s="1"/>
  <c r="L984" i="2"/>
  <c r="M984" i="2" s="1"/>
  <c r="L985" i="2"/>
  <c r="M985" i="2" s="1"/>
  <c r="L986" i="2"/>
  <c r="O986" i="2" s="1"/>
  <c r="L987" i="2"/>
  <c r="N987" i="2" s="1"/>
  <c r="L988" i="2"/>
  <c r="M988" i="2" s="1"/>
  <c r="L989" i="2"/>
  <c r="M989" i="2" s="1"/>
  <c r="L990" i="2"/>
  <c r="M990" i="2" s="1"/>
  <c r="L991" i="2"/>
  <c r="M991" i="2" s="1"/>
  <c r="L992" i="2"/>
  <c r="O992" i="2" s="1"/>
  <c r="L993" i="2"/>
  <c r="M993" i="2" s="1"/>
  <c r="L994" i="2"/>
  <c r="N994" i="2" s="1"/>
  <c r="O541" i="2" l="1"/>
  <c r="L1" i="2"/>
  <c r="M987" i="2"/>
  <c r="N981" i="2"/>
  <c r="O933" i="2"/>
  <c r="N928" i="2"/>
  <c r="N885" i="2"/>
  <c r="M880" i="2"/>
  <c r="N832" i="2"/>
  <c r="M824" i="2"/>
  <c r="O658" i="2"/>
  <c r="M992" i="2"/>
  <c r="M939" i="2"/>
  <c r="O885" i="2"/>
  <c r="N837" i="2"/>
  <c r="O981" i="2"/>
  <c r="N933" i="2"/>
  <c r="N880" i="2"/>
  <c r="M832" i="2"/>
  <c r="N976" i="2"/>
  <c r="M928" i="2"/>
  <c r="M875" i="2"/>
  <c r="O823" i="2"/>
  <c r="M621" i="2"/>
  <c r="M976" i="2"/>
  <c r="M923" i="2"/>
  <c r="O869" i="2"/>
  <c r="O812" i="2"/>
  <c r="M971" i="2"/>
  <c r="O917" i="2"/>
  <c r="N869" i="2"/>
  <c r="N812" i="2"/>
  <c r="N578" i="2"/>
  <c r="O965" i="2"/>
  <c r="N917" i="2"/>
  <c r="N864" i="2"/>
  <c r="N797" i="2"/>
  <c r="N573" i="2"/>
  <c r="N965" i="2"/>
  <c r="N912" i="2"/>
  <c r="M864" i="2"/>
  <c r="M797" i="2"/>
  <c r="N960" i="2"/>
  <c r="M912" i="2"/>
  <c r="M859" i="2"/>
  <c r="M960" i="2"/>
  <c r="M907" i="2"/>
  <c r="O853" i="2"/>
  <c r="O781" i="2"/>
  <c r="M955" i="2"/>
  <c r="O901" i="2"/>
  <c r="N853" i="2"/>
  <c r="O949" i="2"/>
  <c r="N901" i="2"/>
  <c r="N848" i="2"/>
  <c r="O765" i="2"/>
  <c r="N949" i="2"/>
  <c r="N896" i="2"/>
  <c r="M848" i="2"/>
  <c r="N944" i="2"/>
  <c r="M896" i="2"/>
  <c r="M843" i="2"/>
  <c r="N992" i="2"/>
  <c r="M944" i="2"/>
  <c r="M891" i="2"/>
  <c r="O837" i="2"/>
  <c r="O722" i="2"/>
  <c r="M810" i="2"/>
  <c r="N810" i="2"/>
  <c r="O810" i="2"/>
  <c r="M554" i="2"/>
  <c r="N554" i="2"/>
  <c r="O554" i="2"/>
  <c r="N777" i="2"/>
  <c r="O777" i="2"/>
  <c r="N633" i="2"/>
  <c r="O633" i="2"/>
  <c r="M633" i="2"/>
  <c r="N831" i="2"/>
  <c r="O831" i="2"/>
  <c r="M815" i="2"/>
  <c r="N815" i="2"/>
  <c r="O815" i="2"/>
  <c r="M799" i="2"/>
  <c r="N799" i="2"/>
  <c r="O799" i="2"/>
  <c r="M783" i="2"/>
  <c r="N783" i="2"/>
  <c r="O783" i="2"/>
  <c r="M767" i="2"/>
  <c r="N767" i="2"/>
  <c r="O767" i="2"/>
  <c r="M751" i="2"/>
  <c r="N751" i="2"/>
  <c r="O751" i="2"/>
  <c r="M735" i="2"/>
  <c r="N735" i="2"/>
  <c r="O735" i="2"/>
  <c r="M719" i="2"/>
  <c r="N719" i="2"/>
  <c r="O719" i="2"/>
  <c r="M703" i="2"/>
  <c r="N703" i="2"/>
  <c r="O703" i="2"/>
  <c r="M687" i="2"/>
  <c r="N687" i="2"/>
  <c r="O687" i="2"/>
  <c r="M671" i="2"/>
  <c r="N671" i="2"/>
  <c r="O671" i="2"/>
  <c r="M655" i="2"/>
  <c r="N655" i="2"/>
  <c r="O655" i="2"/>
  <c r="M639" i="2"/>
  <c r="N639" i="2"/>
  <c r="O639" i="2"/>
  <c r="M623" i="2"/>
  <c r="N623" i="2"/>
  <c r="O623" i="2"/>
  <c r="M607" i="2"/>
  <c r="N607" i="2"/>
  <c r="O607" i="2"/>
  <c r="M591" i="2"/>
  <c r="N591" i="2"/>
  <c r="O591" i="2"/>
  <c r="M575" i="2"/>
  <c r="N575" i="2"/>
  <c r="O575" i="2"/>
  <c r="M559" i="2"/>
  <c r="N559" i="2"/>
  <c r="O559" i="2"/>
  <c r="M543" i="2"/>
  <c r="N543" i="2"/>
  <c r="O543" i="2"/>
  <c r="M994" i="2"/>
  <c r="O988" i="2"/>
  <c r="N983" i="2"/>
  <c r="M978" i="2"/>
  <c r="O972" i="2"/>
  <c r="N967" i="2"/>
  <c r="M962" i="2"/>
  <c r="O956" i="2"/>
  <c r="N951" i="2"/>
  <c r="M946" i="2"/>
  <c r="O940" i="2"/>
  <c r="N935" i="2"/>
  <c r="M930" i="2"/>
  <c r="O924" i="2"/>
  <c r="N919" i="2"/>
  <c r="M914" i="2"/>
  <c r="O908" i="2"/>
  <c r="N903" i="2"/>
  <c r="M898" i="2"/>
  <c r="O892" i="2"/>
  <c r="N887" i="2"/>
  <c r="M882" i="2"/>
  <c r="O876" i="2"/>
  <c r="N871" i="2"/>
  <c r="M866" i="2"/>
  <c r="O860" i="2"/>
  <c r="N855" i="2"/>
  <c r="M850" i="2"/>
  <c r="O844" i="2"/>
  <c r="N839" i="2"/>
  <c r="M834" i="2"/>
  <c r="N827" i="2"/>
  <c r="N814" i="2"/>
  <c r="N802" i="2"/>
  <c r="M787" i="2"/>
  <c r="O771" i="2"/>
  <c r="N754" i="2"/>
  <c r="M733" i="2"/>
  <c r="N706" i="2"/>
  <c r="O674" i="2"/>
  <c r="N589" i="2"/>
  <c r="O546" i="2"/>
  <c r="M698" i="2"/>
  <c r="N698" i="2"/>
  <c r="O698" i="2"/>
  <c r="N745" i="2"/>
  <c r="O745" i="2"/>
  <c r="M745" i="2"/>
  <c r="O798" i="2"/>
  <c r="M798" i="2"/>
  <c r="O782" i="2"/>
  <c r="M782" i="2"/>
  <c r="O766" i="2"/>
  <c r="M766" i="2"/>
  <c r="O750" i="2"/>
  <c r="M750" i="2"/>
  <c r="O734" i="2"/>
  <c r="M734" i="2"/>
  <c r="O718" i="2"/>
  <c r="M718" i="2"/>
  <c r="O702" i="2"/>
  <c r="M702" i="2"/>
  <c r="O686" i="2"/>
  <c r="M686" i="2"/>
  <c r="O670" i="2"/>
  <c r="M670" i="2"/>
  <c r="N670" i="2"/>
  <c r="O654" i="2"/>
  <c r="M654" i="2"/>
  <c r="N654" i="2"/>
  <c r="O638" i="2"/>
  <c r="M638" i="2"/>
  <c r="N638" i="2"/>
  <c r="O622" i="2"/>
  <c r="M622" i="2"/>
  <c r="N622" i="2"/>
  <c r="O606" i="2"/>
  <c r="M606" i="2"/>
  <c r="N606" i="2"/>
  <c r="O590" i="2"/>
  <c r="M590" i="2"/>
  <c r="N590" i="2"/>
  <c r="O574" i="2"/>
  <c r="M574" i="2"/>
  <c r="N574" i="2"/>
  <c r="O558" i="2"/>
  <c r="M558" i="2"/>
  <c r="N558" i="2"/>
  <c r="O542" i="2"/>
  <c r="M542" i="2"/>
  <c r="N542" i="2"/>
  <c r="O993" i="2"/>
  <c r="N988" i="2"/>
  <c r="M983" i="2"/>
  <c r="O977" i="2"/>
  <c r="N972" i="2"/>
  <c r="M967" i="2"/>
  <c r="O961" i="2"/>
  <c r="N956" i="2"/>
  <c r="M951" i="2"/>
  <c r="O945" i="2"/>
  <c r="N940" i="2"/>
  <c r="M935" i="2"/>
  <c r="O929" i="2"/>
  <c r="N924" i="2"/>
  <c r="M919" i="2"/>
  <c r="O913" i="2"/>
  <c r="N908" i="2"/>
  <c r="M903" i="2"/>
  <c r="O897" i="2"/>
  <c r="N892" i="2"/>
  <c r="M887" i="2"/>
  <c r="O881" i="2"/>
  <c r="N876" i="2"/>
  <c r="M871" i="2"/>
  <c r="O865" i="2"/>
  <c r="N860" i="2"/>
  <c r="M855" i="2"/>
  <c r="O849" i="2"/>
  <c r="N844" i="2"/>
  <c r="M839" i="2"/>
  <c r="O833" i="2"/>
  <c r="M827" i="2"/>
  <c r="M814" i="2"/>
  <c r="M802" i="2"/>
  <c r="O786" i="2"/>
  <c r="M771" i="2"/>
  <c r="M754" i="2"/>
  <c r="N702" i="2"/>
  <c r="N674" i="2"/>
  <c r="M589" i="2"/>
  <c r="N546" i="2"/>
  <c r="M666" i="2"/>
  <c r="N666" i="2"/>
  <c r="O666" i="2"/>
  <c r="N809" i="2"/>
  <c r="O809" i="2"/>
  <c r="N617" i="2"/>
  <c r="O617" i="2"/>
  <c r="M617" i="2"/>
  <c r="N993" i="2"/>
  <c r="O982" i="2"/>
  <c r="N977" i="2"/>
  <c r="O966" i="2"/>
  <c r="N961" i="2"/>
  <c r="O950" i="2"/>
  <c r="N945" i="2"/>
  <c r="O934" i="2"/>
  <c r="N929" i="2"/>
  <c r="O918" i="2"/>
  <c r="N913" i="2"/>
  <c r="O902" i="2"/>
  <c r="N897" i="2"/>
  <c r="O886" i="2"/>
  <c r="N881" i="2"/>
  <c r="O870" i="2"/>
  <c r="N865" i="2"/>
  <c r="O854" i="2"/>
  <c r="N849" i="2"/>
  <c r="O838" i="2"/>
  <c r="N833" i="2"/>
  <c r="O813" i="2"/>
  <c r="N786" i="2"/>
  <c r="O770" i="2"/>
  <c r="N750" i="2"/>
  <c r="N701" i="2"/>
  <c r="N669" i="2"/>
  <c r="O626" i="2"/>
  <c r="N541" i="2"/>
  <c r="M778" i="2"/>
  <c r="N778" i="2"/>
  <c r="O778" i="2"/>
  <c r="M602" i="2"/>
  <c r="N602" i="2"/>
  <c r="O602" i="2"/>
  <c r="N697" i="2"/>
  <c r="O697" i="2"/>
  <c r="M764" i="2"/>
  <c r="N764" i="2"/>
  <c r="M748" i="2"/>
  <c r="N748" i="2"/>
  <c r="M732" i="2"/>
  <c r="N732" i="2"/>
  <c r="M716" i="2"/>
  <c r="N716" i="2"/>
  <c r="O716" i="2"/>
  <c r="M700" i="2"/>
  <c r="N700" i="2"/>
  <c r="O700" i="2"/>
  <c r="M684" i="2"/>
  <c r="N684" i="2"/>
  <c r="O684" i="2"/>
  <c r="M668" i="2"/>
  <c r="N668" i="2"/>
  <c r="O668" i="2"/>
  <c r="M652" i="2"/>
  <c r="N652" i="2"/>
  <c r="O652" i="2"/>
  <c r="M636" i="2"/>
  <c r="N636" i="2"/>
  <c r="O636" i="2"/>
  <c r="M620" i="2"/>
  <c r="N620" i="2"/>
  <c r="O620" i="2"/>
  <c r="M604" i="2"/>
  <c r="N604" i="2"/>
  <c r="O604" i="2"/>
  <c r="M588" i="2"/>
  <c r="N588" i="2"/>
  <c r="O588" i="2"/>
  <c r="M572" i="2"/>
  <c r="N572" i="2"/>
  <c r="O572" i="2"/>
  <c r="M556" i="2"/>
  <c r="N556" i="2"/>
  <c r="O556" i="2"/>
  <c r="O987" i="2"/>
  <c r="N982" i="2"/>
  <c r="O971" i="2"/>
  <c r="N966" i="2"/>
  <c r="O955" i="2"/>
  <c r="N950" i="2"/>
  <c r="O939" i="2"/>
  <c r="N934" i="2"/>
  <c r="O923" i="2"/>
  <c r="N918" i="2"/>
  <c r="O907" i="2"/>
  <c r="N902" i="2"/>
  <c r="O891" i="2"/>
  <c r="N886" i="2"/>
  <c r="O875" i="2"/>
  <c r="N870" i="2"/>
  <c r="O859" i="2"/>
  <c r="N854" i="2"/>
  <c r="O843" i="2"/>
  <c r="N838" i="2"/>
  <c r="O824" i="2"/>
  <c r="N813" i="2"/>
  <c r="N798" i="2"/>
  <c r="N770" i="2"/>
  <c r="N749" i="2"/>
  <c r="M701" i="2"/>
  <c r="M669" i="2"/>
  <c r="N626" i="2"/>
  <c r="M541" i="2"/>
  <c r="M746" i="2"/>
  <c r="N746" i="2"/>
  <c r="O746" i="2"/>
  <c r="M570" i="2"/>
  <c r="N570" i="2"/>
  <c r="O570" i="2"/>
  <c r="N713" i="2"/>
  <c r="O713" i="2"/>
  <c r="M811" i="2"/>
  <c r="N811" i="2"/>
  <c r="O811" i="2"/>
  <c r="M795" i="2"/>
  <c r="N795" i="2"/>
  <c r="O795" i="2"/>
  <c r="M779" i="2"/>
  <c r="N779" i="2"/>
  <c r="O779" i="2"/>
  <c r="M763" i="2"/>
  <c r="N763" i="2"/>
  <c r="O763" i="2"/>
  <c r="M747" i="2"/>
  <c r="N747" i="2"/>
  <c r="O747" i="2"/>
  <c r="M731" i="2"/>
  <c r="N731" i="2"/>
  <c r="O731" i="2"/>
  <c r="M715" i="2"/>
  <c r="N715" i="2"/>
  <c r="O715" i="2"/>
  <c r="M699" i="2"/>
  <c r="N699" i="2"/>
  <c r="O699" i="2"/>
  <c r="M683" i="2"/>
  <c r="N683" i="2"/>
  <c r="O683" i="2"/>
  <c r="M667" i="2"/>
  <c r="N667" i="2"/>
  <c r="O667" i="2"/>
  <c r="M651" i="2"/>
  <c r="N651" i="2"/>
  <c r="O651" i="2"/>
  <c r="M635" i="2"/>
  <c r="N635" i="2"/>
  <c r="O635" i="2"/>
  <c r="M619" i="2"/>
  <c r="N619" i="2"/>
  <c r="O619" i="2"/>
  <c r="M603" i="2"/>
  <c r="N603" i="2"/>
  <c r="O603" i="2"/>
  <c r="M587" i="2"/>
  <c r="N587" i="2"/>
  <c r="O587" i="2"/>
  <c r="M571" i="2"/>
  <c r="N571" i="2"/>
  <c r="O571" i="2"/>
  <c r="M555" i="2"/>
  <c r="N555" i="2"/>
  <c r="O555" i="2"/>
  <c r="M749" i="2"/>
  <c r="M697" i="2"/>
  <c r="N621" i="2"/>
  <c r="O578" i="2"/>
  <c r="M714" i="2"/>
  <c r="N714" i="2"/>
  <c r="O714" i="2"/>
  <c r="N553" i="2"/>
  <c r="O553" i="2"/>
  <c r="M553" i="2"/>
  <c r="N760" i="2"/>
  <c r="O760" i="2"/>
  <c r="N744" i="2"/>
  <c r="O744" i="2"/>
  <c r="N728" i="2"/>
  <c r="O728" i="2"/>
  <c r="N712" i="2"/>
  <c r="O712" i="2"/>
  <c r="N696" i="2"/>
  <c r="O696" i="2"/>
  <c r="N680" i="2"/>
  <c r="O680" i="2"/>
  <c r="N664" i="2"/>
  <c r="O664" i="2"/>
  <c r="N648" i="2"/>
  <c r="O648" i="2"/>
  <c r="N632" i="2"/>
  <c r="O632" i="2"/>
  <c r="N616" i="2"/>
  <c r="O616" i="2"/>
  <c r="N600" i="2"/>
  <c r="O600" i="2"/>
  <c r="N584" i="2"/>
  <c r="O584" i="2"/>
  <c r="N568" i="2"/>
  <c r="O568" i="2"/>
  <c r="N552" i="2"/>
  <c r="O552" i="2"/>
  <c r="O991" i="2"/>
  <c r="N986" i="2"/>
  <c r="O975" i="2"/>
  <c r="N970" i="2"/>
  <c r="O959" i="2"/>
  <c r="N954" i="2"/>
  <c r="O943" i="2"/>
  <c r="N938" i="2"/>
  <c r="O927" i="2"/>
  <c r="N922" i="2"/>
  <c r="O911" i="2"/>
  <c r="N906" i="2"/>
  <c r="O895" i="2"/>
  <c r="N890" i="2"/>
  <c r="O879" i="2"/>
  <c r="N874" i="2"/>
  <c r="O863" i="2"/>
  <c r="N858" i="2"/>
  <c r="O847" i="2"/>
  <c r="N842" i="2"/>
  <c r="M831" i="2"/>
  <c r="N823" i="2"/>
  <c r="M809" i="2"/>
  <c r="O796" i="2"/>
  <c r="N781" i="2"/>
  <c r="N765" i="2"/>
  <c r="M744" i="2"/>
  <c r="N722" i="2"/>
  <c r="N658" i="2"/>
  <c r="M573" i="2"/>
  <c r="M730" i="2"/>
  <c r="N730" i="2"/>
  <c r="O730" i="2"/>
  <c r="M586" i="2"/>
  <c r="N586" i="2"/>
  <c r="O586" i="2"/>
  <c r="N665" i="2"/>
  <c r="O665" i="2"/>
  <c r="M665" i="2"/>
  <c r="M727" i="2"/>
  <c r="N727" i="2"/>
  <c r="M711" i="2"/>
  <c r="N711" i="2"/>
  <c r="M695" i="2"/>
  <c r="N695" i="2"/>
  <c r="M679" i="2"/>
  <c r="N679" i="2"/>
  <c r="M663" i="2"/>
  <c r="N663" i="2"/>
  <c r="M647" i="2"/>
  <c r="N647" i="2"/>
  <c r="M631" i="2"/>
  <c r="N631" i="2"/>
  <c r="M615" i="2"/>
  <c r="N615" i="2"/>
  <c r="M599" i="2"/>
  <c r="N599" i="2"/>
  <c r="M583" i="2"/>
  <c r="N583" i="2"/>
  <c r="M567" i="2"/>
  <c r="N567" i="2"/>
  <c r="M551" i="2"/>
  <c r="N551" i="2"/>
  <c r="N991" i="2"/>
  <c r="M986" i="2"/>
  <c r="O980" i="2"/>
  <c r="N975" i="2"/>
  <c r="M970" i="2"/>
  <c r="O964" i="2"/>
  <c r="N959" i="2"/>
  <c r="M954" i="2"/>
  <c r="O948" i="2"/>
  <c r="N943" i="2"/>
  <c r="M938" i="2"/>
  <c r="O932" i="2"/>
  <c r="N927" i="2"/>
  <c r="M922" i="2"/>
  <c r="O916" i="2"/>
  <c r="N911" i="2"/>
  <c r="M906" i="2"/>
  <c r="O900" i="2"/>
  <c r="N895" i="2"/>
  <c r="M890" i="2"/>
  <c r="O884" i="2"/>
  <c r="N879" i="2"/>
  <c r="M874" i="2"/>
  <c r="O868" i="2"/>
  <c r="N863" i="2"/>
  <c r="M858" i="2"/>
  <c r="O852" i="2"/>
  <c r="N847" i="2"/>
  <c r="M842" i="2"/>
  <c r="O836" i="2"/>
  <c r="O830" i="2"/>
  <c r="N808" i="2"/>
  <c r="N796" i="2"/>
  <c r="O743" i="2"/>
  <c r="N718" i="2"/>
  <c r="O690" i="2"/>
  <c r="N653" i="2"/>
  <c r="O610" i="2"/>
  <c r="M568" i="2"/>
  <c r="M794" i="2"/>
  <c r="N794" i="2"/>
  <c r="O794" i="2"/>
  <c r="M618" i="2"/>
  <c r="N618" i="2"/>
  <c r="O618" i="2"/>
  <c r="N761" i="2"/>
  <c r="O761" i="2"/>
  <c r="M822" i="2"/>
  <c r="N822" i="2"/>
  <c r="O822" i="2"/>
  <c r="M806" i="2"/>
  <c r="N806" i="2"/>
  <c r="O806" i="2"/>
  <c r="M790" i="2"/>
  <c r="N790" i="2"/>
  <c r="O790" i="2"/>
  <c r="M774" i="2"/>
  <c r="N774" i="2"/>
  <c r="O774" i="2"/>
  <c r="M758" i="2"/>
  <c r="N758" i="2"/>
  <c r="O758" i="2"/>
  <c r="M742" i="2"/>
  <c r="N742" i="2"/>
  <c r="O742" i="2"/>
  <c r="M726" i="2"/>
  <c r="N726" i="2"/>
  <c r="O726" i="2"/>
  <c r="M710" i="2"/>
  <c r="N710" i="2"/>
  <c r="O710" i="2"/>
  <c r="M694" i="2"/>
  <c r="N694" i="2"/>
  <c r="O694" i="2"/>
  <c r="M678" i="2"/>
  <c r="N678" i="2"/>
  <c r="O678" i="2"/>
  <c r="M662" i="2"/>
  <c r="N662" i="2"/>
  <c r="O662" i="2"/>
  <c r="M646" i="2"/>
  <c r="N646" i="2"/>
  <c r="O646" i="2"/>
  <c r="M630" i="2"/>
  <c r="N630" i="2"/>
  <c r="O630" i="2"/>
  <c r="M614" i="2"/>
  <c r="N614" i="2"/>
  <c r="O614" i="2"/>
  <c r="M598" i="2"/>
  <c r="N598" i="2"/>
  <c r="O598" i="2"/>
  <c r="M582" i="2"/>
  <c r="N582" i="2"/>
  <c r="O582" i="2"/>
  <c r="M566" i="2"/>
  <c r="N566" i="2"/>
  <c r="O566" i="2"/>
  <c r="M550" i="2"/>
  <c r="N550" i="2"/>
  <c r="O550" i="2"/>
  <c r="O985" i="2"/>
  <c r="N980" i="2"/>
  <c r="O969" i="2"/>
  <c r="N964" i="2"/>
  <c r="O953" i="2"/>
  <c r="N948" i="2"/>
  <c r="O937" i="2"/>
  <c r="N932" i="2"/>
  <c r="O921" i="2"/>
  <c r="N916" i="2"/>
  <c r="O905" i="2"/>
  <c r="N900" i="2"/>
  <c r="O889" i="2"/>
  <c r="N884" i="2"/>
  <c r="O873" i="2"/>
  <c r="N868" i="2"/>
  <c r="O857" i="2"/>
  <c r="N852" i="2"/>
  <c r="O841" i="2"/>
  <c r="N836" i="2"/>
  <c r="N830" i="2"/>
  <c r="O819" i="2"/>
  <c r="M808" i="2"/>
  <c r="O780" i="2"/>
  <c r="O764" i="2"/>
  <c r="N743" i="2"/>
  <c r="N717" i="2"/>
  <c r="N690" i="2"/>
  <c r="M653" i="2"/>
  <c r="N610" i="2"/>
  <c r="O567" i="2"/>
  <c r="M682" i="2"/>
  <c r="N682" i="2"/>
  <c r="O682" i="2"/>
  <c r="N793" i="2"/>
  <c r="O793" i="2"/>
  <c r="M821" i="2"/>
  <c r="N821" i="2"/>
  <c r="O821" i="2"/>
  <c r="M805" i="2"/>
  <c r="N805" i="2"/>
  <c r="O805" i="2"/>
  <c r="M789" i="2"/>
  <c r="N789" i="2"/>
  <c r="O789" i="2"/>
  <c r="M773" i="2"/>
  <c r="N773" i="2"/>
  <c r="O773" i="2"/>
  <c r="M757" i="2"/>
  <c r="N757" i="2"/>
  <c r="O757" i="2"/>
  <c r="M741" i="2"/>
  <c r="N741" i="2"/>
  <c r="O741" i="2"/>
  <c r="M725" i="2"/>
  <c r="N725" i="2"/>
  <c r="O725" i="2"/>
  <c r="M709" i="2"/>
  <c r="N709" i="2"/>
  <c r="O709" i="2"/>
  <c r="M693" i="2"/>
  <c r="N693" i="2"/>
  <c r="O693" i="2"/>
  <c r="M677" i="2"/>
  <c r="N677" i="2"/>
  <c r="O677" i="2"/>
  <c r="M661" i="2"/>
  <c r="N661" i="2"/>
  <c r="O661" i="2"/>
  <c r="M645" i="2"/>
  <c r="N645" i="2"/>
  <c r="O645" i="2"/>
  <c r="M629" i="2"/>
  <c r="N629" i="2"/>
  <c r="O629" i="2"/>
  <c r="M613" i="2"/>
  <c r="N613" i="2"/>
  <c r="O613" i="2"/>
  <c r="M597" i="2"/>
  <c r="N597" i="2"/>
  <c r="O597" i="2"/>
  <c r="M581" i="2"/>
  <c r="N581" i="2"/>
  <c r="O581" i="2"/>
  <c r="M565" i="2"/>
  <c r="N565" i="2"/>
  <c r="O565" i="2"/>
  <c r="M549" i="2"/>
  <c r="N549" i="2"/>
  <c r="O549" i="2"/>
  <c r="O990" i="2"/>
  <c r="N985" i="2"/>
  <c r="O974" i="2"/>
  <c r="N969" i="2"/>
  <c r="O958" i="2"/>
  <c r="N953" i="2"/>
  <c r="O942" i="2"/>
  <c r="N937" i="2"/>
  <c r="O926" i="2"/>
  <c r="N921" i="2"/>
  <c r="O910" i="2"/>
  <c r="N905" i="2"/>
  <c r="O894" i="2"/>
  <c r="N889" i="2"/>
  <c r="O878" i="2"/>
  <c r="N873" i="2"/>
  <c r="O862" i="2"/>
  <c r="N857" i="2"/>
  <c r="O846" i="2"/>
  <c r="N841" i="2"/>
  <c r="N819" i="2"/>
  <c r="O807" i="2"/>
  <c r="N792" i="2"/>
  <c r="N780" i="2"/>
  <c r="M761" i="2"/>
  <c r="M717" i="2"/>
  <c r="N686" i="2"/>
  <c r="M648" i="2"/>
  <c r="N605" i="2"/>
  <c r="O562" i="2"/>
  <c r="M650" i="2"/>
  <c r="N650" i="2"/>
  <c r="O650" i="2"/>
  <c r="N649" i="2"/>
  <c r="O649" i="2"/>
  <c r="M649" i="2"/>
  <c r="M820" i="2"/>
  <c r="N820" i="2"/>
  <c r="O820" i="2"/>
  <c r="M804" i="2"/>
  <c r="N804" i="2"/>
  <c r="O804" i="2"/>
  <c r="M788" i="2"/>
  <c r="N788" i="2"/>
  <c r="O788" i="2"/>
  <c r="M772" i="2"/>
  <c r="N772" i="2"/>
  <c r="O772" i="2"/>
  <c r="M756" i="2"/>
  <c r="N756" i="2"/>
  <c r="O756" i="2"/>
  <c r="M740" i="2"/>
  <c r="N740" i="2"/>
  <c r="O740" i="2"/>
  <c r="M724" i="2"/>
  <c r="N724" i="2"/>
  <c r="O724" i="2"/>
  <c r="M708" i="2"/>
  <c r="N708" i="2"/>
  <c r="O708" i="2"/>
  <c r="M692" i="2"/>
  <c r="N692" i="2"/>
  <c r="O692" i="2"/>
  <c r="M676" i="2"/>
  <c r="N676" i="2"/>
  <c r="O676" i="2"/>
  <c r="M660" i="2"/>
  <c r="N660" i="2"/>
  <c r="O660" i="2"/>
  <c r="M644" i="2"/>
  <c r="N644" i="2"/>
  <c r="O644" i="2"/>
  <c r="M628" i="2"/>
  <c r="N628" i="2"/>
  <c r="O628" i="2"/>
  <c r="M612" i="2"/>
  <c r="N612" i="2"/>
  <c r="O612" i="2"/>
  <c r="M596" i="2"/>
  <c r="N596" i="2"/>
  <c r="O596" i="2"/>
  <c r="M580" i="2"/>
  <c r="N580" i="2"/>
  <c r="O580" i="2"/>
  <c r="M564" i="2"/>
  <c r="N564" i="2"/>
  <c r="O564" i="2"/>
  <c r="M548" i="2"/>
  <c r="N548" i="2"/>
  <c r="O548" i="2"/>
  <c r="N990" i="2"/>
  <c r="O979" i="2"/>
  <c r="N974" i="2"/>
  <c r="O963" i="2"/>
  <c r="N958" i="2"/>
  <c r="O947" i="2"/>
  <c r="N942" i="2"/>
  <c r="O931" i="2"/>
  <c r="N926" i="2"/>
  <c r="O915" i="2"/>
  <c r="N910" i="2"/>
  <c r="O899" i="2"/>
  <c r="N894" i="2"/>
  <c r="O883" i="2"/>
  <c r="N878" i="2"/>
  <c r="O867" i="2"/>
  <c r="N862" i="2"/>
  <c r="O851" i="2"/>
  <c r="N846" i="2"/>
  <c r="O835" i="2"/>
  <c r="O829" i="2"/>
  <c r="N807" i="2"/>
  <c r="M792" i="2"/>
  <c r="M777" i="2"/>
  <c r="M760" i="2"/>
  <c r="O738" i="2"/>
  <c r="M713" i="2"/>
  <c r="N685" i="2"/>
  <c r="O647" i="2"/>
  <c r="M605" i="2"/>
  <c r="N562" i="2"/>
  <c r="N601" i="2"/>
  <c r="O601" i="2"/>
  <c r="M601" i="2"/>
  <c r="M755" i="2"/>
  <c r="N755" i="2"/>
  <c r="M739" i="2"/>
  <c r="N739" i="2"/>
  <c r="M723" i="2"/>
  <c r="N723" i="2"/>
  <c r="M707" i="2"/>
  <c r="N707" i="2"/>
  <c r="M691" i="2"/>
  <c r="N691" i="2"/>
  <c r="M675" i="2"/>
  <c r="N675" i="2"/>
  <c r="O675" i="2"/>
  <c r="M659" i="2"/>
  <c r="N659" i="2"/>
  <c r="O659" i="2"/>
  <c r="M643" i="2"/>
  <c r="N643" i="2"/>
  <c r="O643" i="2"/>
  <c r="M627" i="2"/>
  <c r="N627" i="2"/>
  <c r="O627" i="2"/>
  <c r="M611" i="2"/>
  <c r="N611" i="2"/>
  <c r="O611" i="2"/>
  <c r="M595" i="2"/>
  <c r="N595" i="2"/>
  <c r="O595" i="2"/>
  <c r="M579" i="2"/>
  <c r="N579" i="2"/>
  <c r="O579" i="2"/>
  <c r="M563" i="2"/>
  <c r="N563" i="2"/>
  <c r="O563" i="2"/>
  <c r="M547" i="2"/>
  <c r="N547" i="2"/>
  <c r="O547" i="2"/>
  <c r="O984" i="2"/>
  <c r="N979" i="2"/>
  <c r="O968" i="2"/>
  <c r="N963" i="2"/>
  <c r="O952" i="2"/>
  <c r="N947" i="2"/>
  <c r="O936" i="2"/>
  <c r="N931" i="2"/>
  <c r="O920" i="2"/>
  <c r="N915" i="2"/>
  <c r="O904" i="2"/>
  <c r="N899" i="2"/>
  <c r="O888" i="2"/>
  <c r="N883" i="2"/>
  <c r="O872" i="2"/>
  <c r="N867" i="2"/>
  <c r="O856" i="2"/>
  <c r="N851" i="2"/>
  <c r="O840" i="2"/>
  <c r="N835" i="2"/>
  <c r="N829" i="2"/>
  <c r="O818" i="2"/>
  <c r="O791" i="2"/>
  <c r="N776" i="2"/>
  <c r="O759" i="2"/>
  <c r="N738" i="2"/>
  <c r="M712" i="2"/>
  <c r="M685" i="2"/>
  <c r="O642" i="2"/>
  <c r="M600" i="2"/>
  <c r="N557" i="2"/>
  <c r="N585" i="2"/>
  <c r="O585" i="2"/>
  <c r="M585" i="2"/>
  <c r="O989" i="2"/>
  <c r="N984" i="2"/>
  <c r="O973" i="2"/>
  <c r="N968" i="2"/>
  <c r="O957" i="2"/>
  <c r="N952" i="2"/>
  <c r="O941" i="2"/>
  <c r="N936" i="2"/>
  <c r="O925" i="2"/>
  <c r="N920" i="2"/>
  <c r="O909" i="2"/>
  <c r="N904" i="2"/>
  <c r="O893" i="2"/>
  <c r="N888" i="2"/>
  <c r="O877" i="2"/>
  <c r="N872" i="2"/>
  <c r="O861" i="2"/>
  <c r="N856" i="2"/>
  <c r="O845" i="2"/>
  <c r="N840" i="2"/>
  <c r="N818" i="2"/>
  <c r="O803" i="2"/>
  <c r="N791" i="2"/>
  <c r="M776" i="2"/>
  <c r="N759" i="2"/>
  <c r="O711" i="2"/>
  <c r="N642" i="2"/>
  <c r="O599" i="2"/>
  <c r="M557" i="2"/>
  <c r="M762" i="2"/>
  <c r="N762" i="2"/>
  <c r="O762" i="2"/>
  <c r="N825" i="2"/>
  <c r="O825" i="2"/>
  <c r="N681" i="2"/>
  <c r="O681" i="2"/>
  <c r="N569" i="2"/>
  <c r="O569" i="2"/>
  <c r="M569" i="2"/>
  <c r="M817" i="2"/>
  <c r="N817" i="2"/>
  <c r="M801" i="2"/>
  <c r="N801" i="2"/>
  <c r="M785" i="2"/>
  <c r="N785" i="2"/>
  <c r="M769" i="2"/>
  <c r="N769" i="2"/>
  <c r="O769" i="2"/>
  <c r="M753" i="2"/>
  <c r="N753" i="2"/>
  <c r="O753" i="2"/>
  <c r="M737" i="2"/>
  <c r="N737" i="2"/>
  <c r="O737" i="2"/>
  <c r="M721" i="2"/>
  <c r="N721" i="2"/>
  <c r="O721" i="2"/>
  <c r="M705" i="2"/>
  <c r="N705" i="2"/>
  <c r="O705" i="2"/>
  <c r="M689" i="2"/>
  <c r="N689" i="2"/>
  <c r="O689" i="2"/>
  <c r="M673" i="2"/>
  <c r="N673" i="2"/>
  <c r="O673" i="2"/>
  <c r="M657" i="2"/>
  <c r="N657" i="2"/>
  <c r="O657" i="2"/>
  <c r="M641" i="2"/>
  <c r="N641" i="2"/>
  <c r="O641" i="2"/>
  <c r="M625" i="2"/>
  <c r="N625" i="2"/>
  <c r="O625" i="2"/>
  <c r="M609" i="2"/>
  <c r="N609" i="2"/>
  <c r="O609" i="2"/>
  <c r="M593" i="2"/>
  <c r="N593" i="2"/>
  <c r="O593" i="2"/>
  <c r="M577" i="2"/>
  <c r="N577" i="2"/>
  <c r="O577" i="2"/>
  <c r="M561" i="2"/>
  <c r="N561" i="2"/>
  <c r="O561" i="2"/>
  <c r="M545" i="2"/>
  <c r="N545" i="2"/>
  <c r="O545" i="2"/>
  <c r="O994" i="2"/>
  <c r="N989" i="2"/>
  <c r="O978" i="2"/>
  <c r="N973" i="2"/>
  <c r="O962" i="2"/>
  <c r="N957" i="2"/>
  <c r="O946" i="2"/>
  <c r="N941" i="2"/>
  <c r="O930" i="2"/>
  <c r="N925" i="2"/>
  <c r="O914" i="2"/>
  <c r="N909" i="2"/>
  <c r="O898" i="2"/>
  <c r="N893" i="2"/>
  <c r="O882" i="2"/>
  <c r="N877" i="2"/>
  <c r="O866" i="2"/>
  <c r="N861" i="2"/>
  <c r="O850" i="2"/>
  <c r="N845" i="2"/>
  <c r="O834" i="2"/>
  <c r="O828" i="2"/>
  <c r="M803" i="2"/>
  <c r="O775" i="2"/>
  <c r="O755" i="2"/>
  <c r="N734" i="2"/>
  <c r="O707" i="2"/>
  <c r="M680" i="2"/>
  <c r="N637" i="2"/>
  <c r="O594" i="2"/>
  <c r="M552" i="2"/>
  <c r="M826" i="2"/>
  <c r="N826" i="2"/>
  <c r="O826" i="2"/>
  <c r="M634" i="2"/>
  <c r="N634" i="2"/>
  <c r="O634" i="2"/>
  <c r="N729" i="2"/>
  <c r="O729" i="2"/>
  <c r="M816" i="2"/>
  <c r="N816" i="2"/>
  <c r="O816" i="2"/>
  <c r="M800" i="2"/>
  <c r="N800" i="2"/>
  <c r="O800" i="2"/>
  <c r="M784" i="2"/>
  <c r="N784" i="2"/>
  <c r="O784" i="2"/>
  <c r="M768" i="2"/>
  <c r="N768" i="2"/>
  <c r="O768" i="2"/>
  <c r="M752" i="2"/>
  <c r="N752" i="2"/>
  <c r="O752" i="2"/>
  <c r="M736" i="2"/>
  <c r="N736" i="2"/>
  <c r="O736" i="2"/>
  <c r="M720" i="2"/>
  <c r="N720" i="2"/>
  <c r="O720" i="2"/>
  <c r="M704" i="2"/>
  <c r="N704" i="2"/>
  <c r="O704" i="2"/>
  <c r="M688" i="2"/>
  <c r="N688" i="2"/>
  <c r="O688" i="2"/>
  <c r="M672" i="2"/>
  <c r="N672" i="2"/>
  <c r="O672" i="2"/>
  <c r="M656" i="2"/>
  <c r="N656" i="2"/>
  <c r="O656" i="2"/>
  <c r="M640" i="2"/>
  <c r="N640" i="2"/>
  <c r="O640" i="2"/>
  <c r="M624" i="2"/>
  <c r="N624" i="2"/>
  <c r="O624" i="2"/>
  <c r="M608" i="2"/>
  <c r="N608" i="2"/>
  <c r="O608" i="2"/>
  <c r="M592" i="2"/>
  <c r="N592" i="2"/>
  <c r="O592" i="2"/>
  <c r="M576" i="2"/>
  <c r="N576" i="2"/>
  <c r="O576" i="2"/>
  <c r="M560" i="2"/>
  <c r="N560" i="2"/>
  <c r="O560" i="2"/>
  <c r="M544" i="2"/>
  <c r="N544" i="2"/>
  <c r="O544" i="2"/>
  <c r="N828" i="2"/>
  <c r="O817" i="2"/>
  <c r="O787" i="2"/>
  <c r="N775" i="2"/>
  <c r="N733" i="2"/>
  <c r="O706" i="2"/>
  <c r="O679" i="2"/>
  <c r="M637" i="2"/>
  <c r="N594" i="2"/>
  <c r="O551" i="2"/>
  <c r="P1" i="2"/>
  <c r="G3" i="8"/>
  <c r="L3" i="8"/>
  <c r="P3" i="8"/>
  <c r="R3" i="8"/>
  <c r="G4" i="8"/>
  <c r="L4" i="8"/>
  <c r="P4" i="8"/>
  <c r="R4" i="8"/>
  <c r="S4" i="8" s="1"/>
  <c r="G5" i="8"/>
  <c r="L5" i="8"/>
  <c r="P5" i="8"/>
  <c r="R5" i="8"/>
  <c r="S5" i="8" s="1"/>
  <c r="G6" i="8"/>
  <c r="L6" i="8"/>
  <c r="P6" i="8"/>
  <c r="R6" i="8"/>
  <c r="S6" i="8" s="1"/>
  <c r="G7" i="8"/>
  <c r="L7" i="8"/>
  <c r="P7" i="8"/>
  <c r="R7" i="8"/>
  <c r="G8" i="8"/>
  <c r="L8" i="8"/>
  <c r="P8" i="8"/>
  <c r="R8" i="8"/>
  <c r="S8" i="8" s="1"/>
  <c r="G9" i="8"/>
  <c r="L9" i="8"/>
  <c r="P9" i="8"/>
  <c r="R9" i="8"/>
  <c r="S9" i="8" s="1"/>
  <c r="G10" i="8"/>
  <c r="L10" i="8"/>
  <c r="P10" i="8"/>
  <c r="R10" i="8"/>
  <c r="S10" i="8" s="1"/>
  <c r="G11" i="8"/>
  <c r="L11" i="8"/>
  <c r="P11" i="8"/>
  <c r="R11" i="8"/>
  <c r="S11" i="8" s="1"/>
  <c r="G12" i="8"/>
  <c r="L12" i="8"/>
  <c r="P12" i="8"/>
  <c r="R12" i="8"/>
  <c r="S12" i="8" s="1"/>
  <c r="G13" i="8"/>
  <c r="L13" i="8"/>
  <c r="P13" i="8"/>
  <c r="R13" i="8"/>
  <c r="S13" i="8" s="1"/>
  <c r="G14" i="8"/>
  <c r="L14" i="8"/>
  <c r="P14" i="8"/>
  <c r="R14" i="8"/>
  <c r="S14" i="8" s="1"/>
  <c r="G15" i="8"/>
  <c r="L15" i="8"/>
  <c r="P15" i="8"/>
  <c r="R15" i="8"/>
  <c r="S15" i="8" s="1"/>
  <c r="G16" i="8"/>
  <c r="L16" i="8"/>
  <c r="P16" i="8"/>
  <c r="R16" i="8"/>
  <c r="S16" i="8" s="1"/>
  <c r="G17" i="8"/>
  <c r="L17" i="8"/>
  <c r="P17" i="8"/>
  <c r="R17" i="8"/>
  <c r="S17" i="8" s="1"/>
  <c r="G18" i="8"/>
  <c r="L18" i="8"/>
  <c r="P18" i="8"/>
  <c r="R18" i="8"/>
  <c r="S18" i="8" s="1"/>
  <c r="G19" i="8"/>
  <c r="L19" i="8"/>
  <c r="P19" i="8"/>
  <c r="R19" i="8"/>
  <c r="S19" i="8" s="1"/>
  <c r="G20" i="8"/>
  <c r="L20" i="8"/>
  <c r="P20" i="8"/>
  <c r="R20" i="8"/>
  <c r="S20" i="8" s="1"/>
  <c r="G21" i="8"/>
  <c r="L21" i="8"/>
  <c r="P21" i="8"/>
  <c r="R21" i="8"/>
  <c r="S21" i="8" s="1"/>
  <c r="G22" i="8"/>
  <c r="L22" i="8"/>
  <c r="P22" i="8"/>
  <c r="R22" i="8"/>
  <c r="S22" i="8" s="1"/>
  <c r="G23" i="8"/>
  <c r="L23" i="8"/>
  <c r="P23" i="8"/>
  <c r="R23" i="8"/>
  <c r="S23" i="8" s="1"/>
  <c r="G24" i="8"/>
  <c r="L24" i="8"/>
  <c r="P24" i="8"/>
  <c r="R24" i="8"/>
  <c r="S24" i="8" s="1"/>
  <c r="G25" i="8"/>
  <c r="L25" i="8"/>
  <c r="P25" i="8"/>
  <c r="R25" i="8"/>
  <c r="S25" i="8" s="1"/>
  <c r="G26" i="8"/>
  <c r="L26" i="8"/>
  <c r="P26" i="8"/>
  <c r="R26" i="8"/>
  <c r="S26" i="8" s="1"/>
  <c r="G27" i="8"/>
  <c r="L27" i="8"/>
  <c r="P27" i="8"/>
  <c r="R27" i="8"/>
  <c r="S27" i="8" s="1"/>
  <c r="G28" i="8"/>
  <c r="L28" i="8"/>
  <c r="P28" i="8"/>
  <c r="R28" i="8"/>
  <c r="S28" i="8" s="1"/>
  <c r="G29" i="8"/>
  <c r="L29" i="8"/>
  <c r="P29" i="8"/>
  <c r="R29" i="8"/>
  <c r="S29" i="8" s="1"/>
  <c r="G30" i="8"/>
  <c r="L30" i="8"/>
  <c r="P30" i="8"/>
  <c r="R30" i="8"/>
  <c r="G31" i="8"/>
  <c r="L31" i="8"/>
  <c r="P31" i="8"/>
  <c r="R31" i="8"/>
  <c r="S31" i="8" s="1"/>
  <c r="G32" i="8"/>
  <c r="L32" i="8"/>
  <c r="P32" i="8"/>
  <c r="R32" i="8"/>
  <c r="S32" i="8" s="1"/>
  <c r="G33" i="8"/>
  <c r="L33" i="8"/>
  <c r="P33" i="8"/>
  <c r="R33" i="8"/>
  <c r="S33" i="8" s="1"/>
  <c r="G34" i="8"/>
  <c r="L34" i="8"/>
  <c r="P34" i="8"/>
  <c r="R34" i="8"/>
  <c r="S34" i="8" s="1"/>
  <c r="G35" i="8"/>
  <c r="L35" i="8"/>
  <c r="P35" i="8"/>
  <c r="R35" i="8"/>
  <c r="S35" i="8" s="1"/>
  <c r="G36" i="8"/>
  <c r="L36" i="8"/>
  <c r="P36" i="8"/>
  <c r="R36" i="8"/>
  <c r="S36" i="8" s="1"/>
  <c r="G37" i="8"/>
  <c r="L37" i="8"/>
  <c r="P37" i="8"/>
  <c r="R37" i="8"/>
  <c r="S37" i="8" s="1"/>
  <c r="G38" i="8"/>
  <c r="L38" i="8"/>
  <c r="P38" i="8"/>
  <c r="R38" i="8"/>
  <c r="S38" i="8" s="1"/>
  <c r="G39" i="8"/>
  <c r="L39" i="8"/>
  <c r="P39" i="8"/>
  <c r="R39" i="8"/>
  <c r="S39" i="8" s="1"/>
  <c r="G40" i="8"/>
  <c r="L40" i="8"/>
  <c r="P40" i="8"/>
  <c r="R40" i="8"/>
  <c r="S40" i="8" s="1"/>
  <c r="G41" i="8"/>
  <c r="L41" i="8"/>
  <c r="P41" i="8"/>
  <c r="M41" i="8" s="1"/>
  <c r="R41" i="8"/>
  <c r="S41" i="8" s="1"/>
  <c r="G42" i="8"/>
  <c r="L42" i="8"/>
  <c r="P42" i="8"/>
  <c r="R42" i="8"/>
  <c r="S42" i="8" s="1"/>
  <c r="G43" i="8"/>
  <c r="L43" i="8"/>
  <c r="P43" i="8"/>
  <c r="R43" i="8"/>
  <c r="S43" i="8" s="1"/>
  <c r="G44" i="8"/>
  <c r="L44" i="8"/>
  <c r="P44" i="8"/>
  <c r="R44" i="8"/>
  <c r="G45" i="8"/>
  <c r="L45" i="8"/>
  <c r="P45" i="8"/>
  <c r="R45" i="8"/>
  <c r="S45" i="8" s="1"/>
  <c r="G46" i="8"/>
  <c r="L46" i="8"/>
  <c r="P46" i="8"/>
  <c r="R46" i="8"/>
  <c r="G47" i="8"/>
  <c r="L47" i="8"/>
  <c r="P47" i="8"/>
  <c r="R47" i="8"/>
  <c r="G48" i="8"/>
  <c r="L48" i="8"/>
  <c r="P48" i="8"/>
  <c r="R48" i="8"/>
  <c r="S48" i="8" s="1"/>
  <c r="G49" i="8"/>
  <c r="L49" i="8"/>
  <c r="P49" i="8"/>
  <c r="R49" i="8"/>
  <c r="S49" i="8" s="1"/>
  <c r="G50" i="8"/>
  <c r="L50" i="8"/>
  <c r="P50" i="8"/>
  <c r="R50" i="8"/>
  <c r="S50" i="8" s="1"/>
  <c r="G51" i="8"/>
  <c r="L51" i="8"/>
  <c r="P51" i="8"/>
  <c r="R51" i="8"/>
  <c r="S51" i="8" s="1"/>
  <c r="G52" i="8"/>
  <c r="L52" i="8"/>
  <c r="P52" i="8"/>
  <c r="R52" i="8"/>
  <c r="S52" i="8" s="1"/>
  <c r="G53" i="8"/>
  <c r="L53" i="8"/>
  <c r="P53" i="8"/>
  <c r="R53" i="8"/>
  <c r="S53" i="8" s="1"/>
  <c r="G54" i="8"/>
  <c r="L54" i="8"/>
  <c r="P54" i="8"/>
  <c r="R54" i="8"/>
  <c r="S54" i="8" s="1"/>
  <c r="G55" i="8"/>
  <c r="L55" i="8"/>
  <c r="P55" i="8"/>
  <c r="R55" i="8"/>
  <c r="G56" i="8"/>
  <c r="L56" i="8"/>
  <c r="P56" i="8"/>
  <c r="R56" i="8"/>
  <c r="G57" i="8"/>
  <c r="L57" i="8"/>
  <c r="P57" i="8"/>
  <c r="R57" i="8"/>
  <c r="S57" i="8" s="1"/>
  <c r="G58" i="8"/>
  <c r="L58" i="8"/>
  <c r="P58" i="8"/>
  <c r="R58" i="8"/>
  <c r="S58" i="8" s="1"/>
  <c r="G59" i="8"/>
  <c r="L59" i="8"/>
  <c r="P59" i="8"/>
  <c r="R59" i="8"/>
  <c r="S59" i="8" s="1"/>
  <c r="G60" i="8"/>
  <c r="L60" i="8"/>
  <c r="P60" i="8"/>
  <c r="R60" i="8"/>
  <c r="S60" i="8" s="1"/>
  <c r="G61" i="8"/>
  <c r="L61" i="8"/>
  <c r="P61" i="8"/>
  <c r="R61" i="8"/>
  <c r="S61" i="8" s="1"/>
  <c r="G62" i="8"/>
  <c r="L62" i="8"/>
  <c r="P62" i="8"/>
  <c r="R62" i="8"/>
  <c r="S62" i="8" s="1"/>
  <c r="G63" i="8"/>
  <c r="L63" i="8"/>
  <c r="P63" i="8"/>
  <c r="R63" i="8"/>
  <c r="S63" i="8" s="1"/>
  <c r="G64" i="8"/>
  <c r="L64" i="8"/>
  <c r="P64" i="8"/>
  <c r="R64" i="8"/>
  <c r="S64" i="8" s="1"/>
  <c r="G65" i="8"/>
  <c r="L65" i="8"/>
  <c r="P65" i="8"/>
  <c r="R65" i="8"/>
  <c r="S65" i="8" s="1"/>
  <c r="G66" i="8"/>
  <c r="L66" i="8"/>
  <c r="P66" i="8"/>
  <c r="R66" i="8"/>
  <c r="S66" i="8" s="1"/>
  <c r="G67" i="8"/>
  <c r="L67" i="8"/>
  <c r="P67" i="8"/>
  <c r="R67" i="8"/>
  <c r="G68" i="8"/>
  <c r="L68" i="8"/>
  <c r="P68" i="8"/>
  <c r="R68" i="8"/>
  <c r="S68" i="8" s="1"/>
  <c r="G69" i="8"/>
  <c r="L69" i="8"/>
  <c r="P69" i="8"/>
  <c r="R69" i="8"/>
  <c r="G70" i="8"/>
  <c r="L70" i="8"/>
  <c r="P70" i="8"/>
  <c r="R70" i="8"/>
  <c r="S70" i="8" s="1"/>
  <c r="G71" i="8"/>
  <c r="L71" i="8"/>
  <c r="P71" i="8"/>
  <c r="R71" i="8"/>
  <c r="S71" i="8" s="1"/>
  <c r="G72" i="8"/>
  <c r="L72" i="8"/>
  <c r="P72" i="8"/>
  <c r="R72" i="8"/>
  <c r="S72" i="8" s="1"/>
  <c r="G73" i="8"/>
  <c r="L73" i="8"/>
  <c r="P73" i="8"/>
  <c r="R73" i="8"/>
  <c r="S73" i="8" s="1"/>
  <c r="G74" i="8"/>
  <c r="L74" i="8"/>
  <c r="P74" i="8"/>
  <c r="R74" i="8"/>
  <c r="S74" i="8" s="1"/>
  <c r="G75" i="8"/>
  <c r="L75" i="8"/>
  <c r="P75" i="8"/>
  <c r="R75" i="8"/>
  <c r="S75" i="8" s="1"/>
  <c r="G76" i="8"/>
  <c r="L76" i="8"/>
  <c r="P76" i="8"/>
  <c r="R76" i="8"/>
  <c r="S76" i="8" s="1"/>
  <c r="G77" i="8"/>
  <c r="L77" i="8"/>
  <c r="P77" i="8"/>
  <c r="R77" i="8"/>
  <c r="S77" i="8" s="1"/>
  <c r="G78" i="8"/>
  <c r="L78" i="8"/>
  <c r="P78" i="8"/>
  <c r="R78" i="8"/>
  <c r="S78" i="8" s="1"/>
  <c r="G79" i="8"/>
  <c r="L79" i="8"/>
  <c r="P79" i="8"/>
  <c r="R79" i="8"/>
  <c r="S79" i="8" s="1"/>
  <c r="G80" i="8"/>
  <c r="L80" i="8"/>
  <c r="P80" i="8"/>
  <c r="R80" i="8"/>
  <c r="S80" i="8" s="1"/>
  <c r="G81" i="8"/>
  <c r="L81" i="8"/>
  <c r="P81" i="8"/>
  <c r="R81" i="8"/>
  <c r="S81" i="8" s="1"/>
  <c r="G82" i="8"/>
  <c r="L82" i="8"/>
  <c r="P82" i="8"/>
  <c r="R82" i="8"/>
  <c r="S82" i="8" s="1"/>
  <c r="G83" i="8"/>
  <c r="L83" i="8"/>
  <c r="P83" i="8"/>
  <c r="R83" i="8"/>
  <c r="S83" i="8" s="1"/>
  <c r="G84" i="8"/>
  <c r="L84" i="8"/>
  <c r="P84" i="8"/>
  <c r="R84" i="8"/>
  <c r="S84" i="8" s="1"/>
  <c r="G85" i="8"/>
  <c r="L85" i="8"/>
  <c r="P85" i="8"/>
  <c r="M85" i="8" s="1"/>
  <c r="R85" i="8"/>
  <c r="S85" i="8" s="1"/>
  <c r="G86" i="8"/>
  <c r="L86" i="8"/>
  <c r="P86" i="8"/>
  <c r="R86" i="8"/>
  <c r="S86" i="8" s="1"/>
  <c r="G87" i="8"/>
  <c r="L87" i="8"/>
  <c r="P87" i="8"/>
  <c r="R87" i="8"/>
  <c r="S87" i="8" s="1"/>
  <c r="G88" i="8"/>
  <c r="L88" i="8"/>
  <c r="P88" i="8"/>
  <c r="R88" i="8"/>
  <c r="S88" i="8" s="1"/>
  <c r="G89" i="8"/>
  <c r="L89" i="8"/>
  <c r="P89" i="8"/>
  <c r="R89" i="8"/>
  <c r="S89" i="8" s="1"/>
  <c r="G90" i="8"/>
  <c r="L90" i="8"/>
  <c r="P90" i="8"/>
  <c r="R90" i="8"/>
  <c r="G91" i="8"/>
  <c r="L91" i="8"/>
  <c r="P91" i="8"/>
  <c r="R91" i="8"/>
  <c r="S91" i="8" s="1"/>
  <c r="G92" i="8"/>
  <c r="L92" i="8"/>
  <c r="P92" i="8"/>
  <c r="R92" i="8"/>
  <c r="G93" i="8"/>
  <c r="L93" i="8"/>
  <c r="P93" i="8"/>
  <c r="R93" i="8"/>
  <c r="S93" i="8" s="1"/>
  <c r="G94" i="8"/>
  <c r="L94" i="8"/>
  <c r="P94" i="8"/>
  <c r="R94" i="8"/>
  <c r="S94" i="8" s="1"/>
  <c r="G95" i="8"/>
  <c r="L95" i="8"/>
  <c r="P95" i="8"/>
  <c r="R95" i="8"/>
  <c r="S95" i="8" s="1"/>
  <c r="G96" i="8"/>
  <c r="L96" i="8"/>
  <c r="P96" i="8"/>
  <c r="R96" i="8"/>
  <c r="S96" i="8" s="1"/>
  <c r="G97" i="8"/>
  <c r="L97" i="8"/>
  <c r="P97" i="8"/>
  <c r="R97" i="8"/>
  <c r="S97" i="8" s="1"/>
  <c r="G98" i="8"/>
  <c r="L98" i="8"/>
  <c r="P98" i="8"/>
  <c r="R98" i="8"/>
  <c r="S98" i="8" s="1"/>
  <c r="G99" i="8"/>
  <c r="L99" i="8"/>
  <c r="P99" i="8"/>
  <c r="R99" i="8"/>
  <c r="G100" i="8"/>
  <c r="L100" i="8"/>
  <c r="P100" i="8"/>
  <c r="R100" i="8"/>
  <c r="S100" i="8" s="1"/>
  <c r="G101" i="8"/>
  <c r="L101" i="8"/>
  <c r="P101" i="8"/>
  <c r="R101" i="8"/>
  <c r="S101" i="8" s="1"/>
  <c r="G102" i="8"/>
  <c r="L102" i="8"/>
  <c r="P102" i="8"/>
  <c r="R102" i="8"/>
  <c r="G103" i="8"/>
  <c r="L103" i="8"/>
  <c r="P103" i="8"/>
  <c r="R103" i="8"/>
  <c r="S103" i="8" s="1"/>
  <c r="G104" i="8"/>
  <c r="L104" i="8"/>
  <c r="P104" i="8"/>
  <c r="R104" i="8"/>
  <c r="S104" i="8" s="1"/>
  <c r="G105" i="8"/>
  <c r="L105" i="8"/>
  <c r="P105" i="8"/>
  <c r="R105" i="8"/>
  <c r="S105" i="8" s="1"/>
  <c r="G106" i="8"/>
  <c r="L106" i="8"/>
  <c r="P106" i="8"/>
  <c r="R106" i="8"/>
  <c r="S106" i="8" s="1"/>
  <c r="G107" i="8"/>
  <c r="L107" i="8"/>
  <c r="P107" i="8"/>
  <c r="R107" i="8"/>
  <c r="S107" i="8" s="1"/>
  <c r="G108" i="8"/>
  <c r="L108" i="8"/>
  <c r="P108" i="8"/>
  <c r="R108" i="8"/>
  <c r="S108" i="8" s="1"/>
  <c r="G109" i="8"/>
  <c r="L109" i="8"/>
  <c r="P109" i="8"/>
  <c r="R109" i="8"/>
  <c r="S109" i="8" s="1"/>
  <c r="G110" i="8"/>
  <c r="L110" i="8"/>
  <c r="P110" i="8"/>
  <c r="R110" i="8"/>
  <c r="S110" i="8" s="1"/>
  <c r="G111" i="8"/>
  <c r="L111" i="8"/>
  <c r="P111" i="8"/>
  <c r="R111" i="8"/>
  <c r="S111" i="8" s="1"/>
  <c r="G112" i="8"/>
  <c r="L112" i="8"/>
  <c r="P112" i="8"/>
  <c r="R112" i="8"/>
  <c r="S112" i="8" s="1"/>
  <c r="G113" i="8"/>
  <c r="L113" i="8"/>
  <c r="P113" i="8"/>
  <c r="R113" i="8"/>
  <c r="G114" i="8"/>
  <c r="L114" i="8"/>
  <c r="P114" i="8"/>
  <c r="R114" i="8"/>
  <c r="S114" i="8" s="1"/>
  <c r="G115" i="8"/>
  <c r="L115" i="8"/>
  <c r="P115" i="8"/>
  <c r="R115" i="8"/>
  <c r="S115" i="8" s="1"/>
  <c r="G116" i="8"/>
  <c r="L116" i="8"/>
  <c r="P116" i="8"/>
  <c r="R116" i="8"/>
  <c r="S116" i="8" s="1"/>
  <c r="G117" i="8"/>
  <c r="L117" i="8"/>
  <c r="P117" i="8"/>
  <c r="R117" i="8"/>
  <c r="S117" i="8" s="1"/>
  <c r="G118" i="8"/>
  <c r="L118" i="8"/>
  <c r="P118" i="8"/>
  <c r="R118" i="8"/>
  <c r="S118" i="8" s="1"/>
  <c r="G119" i="8"/>
  <c r="L119" i="8"/>
  <c r="P119" i="8"/>
  <c r="R119" i="8"/>
  <c r="S119" i="8" s="1"/>
  <c r="G120" i="8"/>
  <c r="L120" i="8"/>
  <c r="P120" i="8"/>
  <c r="R120" i="8"/>
  <c r="S120" i="8" s="1"/>
  <c r="G121" i="8"/>
  <c r="L121" i="8"/>
  <c r="P121" i="8"/>
  <c r="R121" i="8"/>
  <c r="S121" i="8" s="1"/>
  <c r="G122" i="8"/>
  <c r="L122" i="8"/>
  <c r="P122" i="8"/>
  <c r="R122" i="8"/>
  <c r="S122" i="8" s="1"/>
  <c r="G123" i="8"/>
  <c r="L123" i="8"/>
  <c r="P123" i="8"/>
  <c r="R123" i="8"/>
  <c r="S123" i="8" s="1"/>
  <c r="G124" i="8"/>
  <c r="L124" i="8"/>
  <c r="P124" i="8"/>
  <c r="R124" i="8"/>
  <c r="S124" i="8" s="1"/>
  <c r="G125" i="8"/>
  <c r="L125" i="8"/>
  <c r="P125" i="8"/>
  <c r="R125" i="8"/>
  <c r="S125" i="8" s="1"/>
  <c r="G126" i="8"/>
  <c r="L126" i="8"/>
  <c r="P126" i="8"/>
  <c r="R126" i="8"/>
  <c r="S126" i="8" s="1"/>
  <c r="G127" i="8"/>
  <c r="L127" i="8"/>
  <c r="P127" i="8"/>
  <c r="R127" i="8"/>
  <c r="S127" i="8" s="1"/>
  <c r="G128" i="8"/>
  <c r="L128" i="8"/>
  <c r="P128" i="8"/>
  <c r="R128" i="8"/>
  <c r="S128" i="8" s="1"/>
  <c r="G129" i="8"/>
  <c r="L129" i="8"/>
  <c r="P129" i="8"/>
  <c r="R129" i="8"/>
  <c r="S129" i="8" s="1"/>
  <c r="G130" i="8"/>
  <c r="L130" i="8"/>
  <c r="P130" i="8"/>
  <c r="R130" i="8"/>
  <c r="S130" i="8" s="1"/>
  <c r="G131" i="8"/>
  <c r="L131" i="8"/>
  <c r="P131" i="8"/>
  <c r="R131" i="8"/>
  <c r="S131" i="8" s="1"/>
  <c r="G132" i="8"/>
  <c r="L132" i="8"/>
  <c r="P132" i="8"/>
  <c r="R132" i="8"/>
  <c r="S132" i="8" s="1"/>
  <c r="G133" i="8"/>
  <c r="L133" i="8"/>
  <c r="P133" i="8"/>
  <c r="R133" i="8"/>
  <c r="S133" i="8" s="1"/>
  <c r="G134" i="8"/>
  <c r="L134" i="8"/>
  <c r="P134" i="8"/>
  <c r="R134" i="8"/>
  <c r="S134" i="8" s="1"/>
  <c r="G135" i="8"/>
  <c r="L135" i="8"/>
  <c r="P135" i="8"/>
  <c r="R135" i="8"/>
  <c r="S135" i="8" s="1"/>
  <c r="G136" i="8"/>
  <c r="L136" i="8"/>
  <c r="P136" i="8"/>
  <c r="R136" i="8"/>
  <c r="S136" i="8" s="1"/>
  <c r="G137" i="8"/>
  <c r="L137" i="8"/>
  <c r="P137" i="8"/>
  <c r="R137" i="8"/>
  <c r="S137" i="8" s="1"/>
  <c r="G138" i="8"/>
  <c r="L138" i="8"/>
  <c r="P138" i="8"/>
  <c r="R138" i="8"/>
  <c r="S138" i="8" s="1"/>
  <c r="G139" i="8"/>
  <c r="L139" i="8"/>
  <c r="P139" i="8"/>
  <c r="R139" i="8"/>
  <c r="S139" i="8" s="1"/>
  <c r="G140" i="8"/>
  <c r="L140" i="8"/>
  <c r="P140" i="8"/>
  <c r="R140" i="8"/>
  <c r="S140" i="8" s="1"/>
  <c r="G141" i="8"/>
  <c r="L141" i="8"/>
  <c r="P141" i="8"/>
  <c r="R141" i="8"/>
  <c r="S141" i="8" s="1"/>
  <c r="G142" i="8"/>
  <c r="L142" i="8"/>
  <c r="P142" i="8"/>
  <c r="R142" i="8"/>
  <c r="S142" i="8" s="1"/>
  <c r="G143" i="8"/>
  <c r="L143" i="8"/>
  <c r="P143" i="8"/>
  <c r="R143" i="8"/>
  <c r="S143" i="8" s="1"/>
  <c r="G144" i="8"/>
  <c r="L144" i="8"/>
  <c r="P144" i="8"/>
  <c r="R144" i="8"/>
  <c r="S144" i="8" s="1"/>
  <c r="G145" i="8"/>
  <c r="L145" i="8"/>
  <c r="P145" i="8"/>
  <c r="R145" i="8"/>
  <c r="S145" i="8" s="1"/>
  <c r="G146" i="8"/>
  <c r="L146" i="8"/>
  <c r="P146" i="8"/>
  <c r="R146" i="8"/>
  <c r="S146" i="8" s="1"/>
  <c r="G147" i="8"/>
  <c r="L147" i="8"/>
  <c r="P147" i="8"/>
  <c r="R147" i="8"/>
  <c r="S147" i="8" s="1"/>
  <c r="G148" i="8"/>
  <c r="L148" i="8"/>
  <c r="P148" i="8"/>
  <c r="R148" i="8"/>
  <c r="S148" i="8" s="1"/>
  <c r="G149" i="8"/>
  <c r="L149" i="8"/>
  <c r="P149" i="8"/>
  <c r="R149" i="8"/>
  <c r="S149" i="8" s="1"/>
  <c r="G150" i="8"/>
  <c r="L150" i="8"/>
  <c r="P150" i="8"/>
  <c r="R150" i="8"/>
  <c r="S150" i="8" s="1"/>
  <c r="G151" i="8"/>
  <c r="L151" i="8"/>
  <c r="P151" i="8"/>
  <c r="R151" i="8"/>
  <c r="S151" i="8" s="1"/>
  <c r="G152" i="8"/>
  <c r="L152" i="8"/>
  <c r="P152" i="8"/>
  <c r="R152" i="8"/>
  <c r="G153" i="8"/>
  <c r="L153" i="8"/>
  <c r="P153" i="8"/>
  <c r="R153" i="8"/>
  <c r="S153" i="8" s="1"/>
  <c r="G154" i="8"/>
  <c r="L154" i="8"/>
  <c r="P154" i="8"/>
  <c r="R154" i="8"/>
  <c r="S154" i="8" s="1"/>
  <c r="G155" i="8"/>
  <c r="L155" i="8"/>
  <c r="P155" i="8"/>
  <c r="R155" i="8"/>
  <c r="S155" i="8" s="1"/>
  <c r="G156" i="8"/>
  <c r="L156" i="8"/>
  <c r="P156" i="8"/>
  <c r="R156" i="8"/>
  <c r="S156" i="8" s="1"/>
  <c r="G157" i="8"/>
  <c r="L157" i="8"/>
  <c r="P157" i="8"/>
  <c r="R157" i="8"/>
  <c r="S157" i="8" s="1"/>
  <c r="G158" i="8"/>
  <c r="L158" i="8"/>
  <c r="P158" i="8"/>
  <c r="R158" i="8"/>
  <c r="S158" i="8" s="1"/>
  <c r="G159" i="8"/>
  <c r="L159" i="8"/>
  <c r="P159" i="8"/>
  <c r="R159" i="8"/>
  <c r="S159" i="8" s="1"/>
  <c r="G160" i="8"/>
  <c r="L160" i="8"/>
  <c r="P160" i="8"/>
  <c r="R160" i="8"/>
  <c r="S160" i="8" s="1"/>
  <c r="G161" i="8"/>
  <c r="L161" i="8"/>
  <c r="P161" i="8"/>
  <c r="R161" i="8"/>
  <c r="S161" i="8" s="1"/>
  <c r="G162" i="8"/>
  <c r="L162" i="8"/>
  <c r="P162" i="8"/>
  <c r="R162" i="8"/>
  <c r="S162" i="8" s="1"/>
  <c r="G163" i="8"/>
  <c r="L163" i="8"/>
  <c r="P163" i="8"/>
  <c r="R163" i="8"/>
  <c r="S163" i="8" s="1"/>
  <c r="G164" i="8"/>
  <c r="L164" i="8"/>
  <c r="P164" i="8"/>
  <c r="R164" i="8"/>
  <c r="S164" i="8" s="1"/>
  <c r="G165" i="8"/>
  <c r="L165" i="8"/>
  <c r="P165" i="8"/>
  <c r="R165" i="8"/>
  <c r="S165" i="8" s="1"/>
  <c r="G166" i="8"/>
  <c r="L166" i="8"/>
  <c r="P166" i="8"/>
  <c r="R166" i="8"/>
  <c r="S166" i="8" s="1"/>
  <c r="G167" i="8"/>
  <c r="L167" i="8"/>
  <c r="P167" i="8"/>
  <c r="R167" i="8"/>
  <c r="S167" i="8" s="1"/>
  <c r="G168" i="8"/>
  <c r="L168" i="8"/>
  <c r="P168" i="8"/>
  <c r="R168" i="8"/>
  <c r="S168" i="8" s="1"/>
  <c r="G169" i="8"/>
  <c r="L169" i="8"/>
  <c r="P169" i="8"/>
  <c r="R169" i="8"/>
  <c r="S169" i="8" s="1"/>
  <c r="G170" i="8"/>
  <c r="L170" i="8"/>
  <c r="P170" i="8"/>
  <c r="R170" i="8"/>
  <c r="S170" i="8" s="1"/>
  <c r="G171" i="8"/>
  <c r="L171" i="8"/>
  <c r="P171" i="8"/>
  <c r="R171" i="8"/>
  <c r="S171" i="8" s="1"/>
  <c r="G172" i="8"/>
  <c r="L172" i="8"/>
  <c r="P172" i="8"/>
  <c r="R172" i="8"/>
  <c r="S172" i="8" s="1"/>
  <c r="G173" i="8"/>
  <c r="L173" i="8"/>
  <c r="P173" i="8"/>
  <c r="R173" i="8"/>
  <c r="S173" i="8" s="1"/>
  <c r="G174" i="8"/>
  <c r="L174" i="8"/>
  <c r="P174" i="8"/>
  <c r="R174" i="8"/>
  <c r="S174" i="8" s="1"/>
  <c r="G175" i="8"/>
  <c r="L175" i="8"/>
  <c r="P175" i="8"/>
  <c r="R175" i="8"/>
  <c r="S175" i="8" s="1"/>
  <c r="G176" i="8"/>
  <c r="L176" i="8"/>
  <c r="P176" i="8"/>
  <c r="R176" i="8"/>
  <c r="S176" i="8" s="1"/>
  <c r="G177" i="8"/>
  <c r="L177" i="8"/>
  <c r="P177" i="8"/>
  <c r="R177" i="8"/>
  <c r="S177" i="8" s="1"/>
  <c r="G178" i="8"/>
  <c r="L178" i="8"/>
  <c r="P178" i="8"/>
  <c r="R178" i="8"/>
  <c r="S178" i="8" s="1"/>
  <c r="G179" i="8"/>
  <c r="L179" i="8"/>
  <c r="P179" i="8"/>
  <c r="R179" i="8"/>
  <c r="S179" i="8" s="1"/>
  <c r="G180" i="8"/>
  <c r="L180" i="8"/>
  <c r="P180" i="8"/>
  <c r="M180" i="8" s="1"/>
  <c r="R180" i="8"/>
  <c r="S180" i="8" s="1"/>
  <c r="G181" i="8"/>
  <c r="L181" i="8"/>
  <c r="P181" i="8"/>
  <c r="R181" i="8"/>
  <c r="S181" i="8" s="1"/>
  <c r="G182" i="8"/>
  <c r="L182" i="8"/>
  <c r="P182" i="8"/>
  <c r="R182" i="8"/>
  <c r="S182" i="8" s="1"/>
  <c r="G183" i="8"/>
  <c r="L183" i="8"/>
  <c r="P183" i="8"/>
  <c r="R183" i="8"/>
  <c r="S183" i="8" s="1"/>
  <c r="E57" i="8"/>
  <c r="E58" i="8"/>
  <c r="E59" i="8"/>
  <c r="E60" i="8"/>
  <c r="E61" i="8"/>
  <c r="E62" i="8"/>
  <c r="E63" i="8"/>
  <c r="E64" i="8"/>
  <c r="E65" i="8"/>
  <c r="E66" i="8"/>
  <c r="E67" i="8"/>
  <c r="G18" i="5" s="1" a="1"/>
  <c r="G18" i="5" s="1"/>
  <c r="E68" i="8"/>
  <c r="E69" i="8"/>
  <c r="E70" i="8"/>
  <c r="E71" i="8"/>
  <c r="E72" i="8"/>
  <c r="E73" i="8"/>
  <c r="G23" i="5" s="1" a="1"/>
  <c r="G23" i="5" s="1"/>
  <c r="E74" i="8"/>
  <c r="E75" i="8"/>
  <c r="E76" i="8"/>
  <c r="G15" i="5" s="1" a="1"/>
  <c r="G15" i="5" s="1"/>
  <c r="E77" i="8"/>
  <c r="G16" i="5" s="1" a="1"/>
  <c r="G16" i="5" s="1"/>
  <c r="E78" i="8"/>
  <c r="G17" i="5" s="1" a="1"/>
  <c r="G17" i="5" s="1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G12" i="5" s="1" a="1"/>
  <c r="G12" i="5" s="1"/>
  <c r="E97" i="8"/>
  <c r="E98" i="8"/>
  <c r="E99" i="8"/>
  <c r="E100" i="8"/>
  <c r="E101" i="8"/>
  <c r="E102" i="8"/>
  <c r="G22" i="5" s="1" a="1"/>
  <c r="G22" i="5" s="1"/>
  <c r="E103" i="8"/>
  <c r="E104" i="8"/>
  <c r="E105" i="8"/>
  <c r="E106" i="8"/>
  <c r="E107" i="8"/>
  <c r="E108" i="8"/>
  <c r="E109" i="8"/>
  <c r="E110" i="8"/>
  <c r="E111" i="8"/>
  <c r="G14" i="5" s="1" a="1"/>
  <c r="G14" i="5" s="1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G9" i="5" s="1" a="1"/>
  <c r="G9" i="5" s="1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G184" i="8"/>
  <c r="L184" i="8"/>
  <c r="P184" i="8"/>
  <c r="R184" i="8"/>
  <c r="S184" i="8" s="1"/>
  <c r="E53" i="8"/>
  <c r="E54" i="8"/>
  <c r="E55" i="8"/>
  <c r="E56" i="8"/>
  <c r="E24" i="8"/>
  <c r="E25" i="8"/>
  <c r="E26" i="8"/>
  <c r="E27" i="8"/>
  <c r="E28" i="8"/>
  <c r="E29" i="8"/>
  <c r="E30" i="8"/>
  <c r="E31" i="8"/>
  <c r="E32" i="8"/>
  <c r="E33" i="8"/>
  <c r="E34" i="8"/>
  <c r="E35" i="8"/>
  <c r="G13" i="5" s="1" a="1"/>
  <c r="G13" i="5" s="1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A2" i="5"/>
  <c r="K3" i="10" a="1"/>
  <c r="K3" i="10" s="1"/>
  <c r="D1" i="1"/>
  <c r="C1" i="1"/>
  <c r="S152" i="8" l="1"/>
  <c r="J20" i="5"/>
  <c r="K20" i="5" s="1"/>
  <c r="M129" i="8"/>
  <c r="S55" i="8"/>
  <c r="J19" i="5"/>
  <c r="K19" i="5" s="1"/>
  <c r="S47" i="8"/>
  <c r="J21" i="5"/>
  <c r="K21" i="5" s="1"/>
  <c r="M125" i="8"/>
  <c r="M121" i="8"/>
  <c r="M113" i="8"/>
  <c r="S102" i="8"/>
  <c r="J22" i="5"/>
  <c r="K22" i="5" s="1"/>
  <c r="M77" i="8"/>
  <c r="M73" i="8"/>
  <c r="S67" i="8"/>
  <c r="J18" i="5"/>
  <c r="K18" i="5" s="1"/>
  <c r="M53" i="8"/>
  <c r="M49" i="8"/>
  <c r="D18" i="5"/>
  <c r="D19" i="5"/>
  <c r="D20" i="5"/>
  <c r="D21" i="5"/>
  <c r="D22" i="5"/>
  <c r="D23" i="5"/>
  <c r="D24" i="5"/>
  <c r="D25" i="5"/>
  <c r="D26" i="5"/>
  <c r="D27" i="5"/>
  <c r="D28" i="5"/>
  <c r="J23" i="5"/>
  <c r="K23" i="5" s="1"/>
  <c r="J24" i="5"/>
  <c r="K24" i="5" s="1"/>
  <c r="J25" i="5"/>
  <c r="K25" i="5" s="1"/>
  <c r="J26" i="5"/>
  <c r="K26" i="5" s="1"/>
  <c r="J27" i="5"/>
  <c r="K27" i="5" s="1"/>
  <c r="J28" i="5"/>
  <c r="K28" i="5" s="1"/>
  <c r="D9" i="5"/>
  <c r="D16" i="5"/>
  <c r="D15" i="5"/>
  <c r="D17" i="5"/>
  <c r="D14" i="5"/>
  <c r="D10" i="5"/>
  <c r="D11" i="5"/>
  <c r="D13" i="5"/>
  <c r="D12" i="5"/>
  <c r="J14" i="5"/>
  <c r="K14" i="5" s="1"/>
  <c r="J11" i="5"/>
  <c r="K11" i="5" s="1"/>
  <c r="J13" i="5"/>
  <c r="K13" i="5" s="1"/>
  <c r="J10" i="5"/>
  <c r="K10" i="5" s="1"/>
  <c r="J12" i="5"/>
  <c r="K12" i="5" s="1"/>
  <c r="J17" i="5"/>
  <c r="K17" i="5" s="1"/>
  <c r="J9" i="5"/>
  <c r="K9" i="5" s="1"/>
  <c r="J16" i="5"/>
  <c r="K16" i="5" s="1"/>
  <c r="J15" i="5"/>
  <c r="K15" i="5" s="1"/>
  <c r="M124" i="8"/>
  <c r="M20" i="8"/>
  <c r="M176" i="8"/>
  <c r="M170" i="8"/>
  <c r="M158" i="8"/>
  <c r="M134" i="8"/>
  <c r="M130" i="8"/>
  <c r="M106" i="8"/>
  <c r="M78" i="8"/>
  <c r="M74" i="8"/>
  <c r="M42" i="8"/>
  <c r="M38" i="8"/>
  <c r="M22" i="8"/>
  <c r="M139" i="8"/>
  <c r="M135" i="8"/>
  <c r="L1" i="8"/>
  <c r="M108" i="8"/>
  <c r="M131" i="8"/>
  <c r="M149" i="8"/>
  <c r="M145" i="8"/>
  <c r="M152" i="8"/>
  <c r="M5" i="8"/>
  <c r="M183" i="8"/>
  <c r="M175" i="8"/>
  <c r="M171" i="8"/>
  <c r="M167" i="8"/>
  <c r="M159" i="8"/>
  <c r="M115" i="8"/>
  <c r="M87" i="8"/>
  <c r="M147" i="8"/>
  <c r="M110" i="8"/>
  <c r="M181" i="8"/>
  <c r="M161" i="8"/>
  <c r="M144" i="8"/>
  <c r="M140" i="8"/>
  <c r="M163" i="8"/>
  <c r="M116" i="8"/>
  <c r="M112" i="8"/>
  <c r="M136" i="8"/>
  <c r="M127" i="8"/>
  <c r="M179" i="8"/>
  <c r="M182" i="8"/>
  <c r="M123" i="8"/>
  <c r="M126" i="8"/>
  <c r="M165" i="8"/>
  <c r="M153" i="8"/>
  <c r="M117" i="8"/>
  <c r="M155" i="8"/>
  <c r="M133" i="8"/>
  <c r="M118" i="8"/>
  <c r="M80" i="8"/>
  <c r="M174" i="8"/>
  <c r="M111" i="8"/>
  <c r="M32" i="8"/>
  <c r="M166" i="8"/>
  <c r="M177" i="8"/>
  <c r="M151" i="8"/>
  <c r="M114" i="8"/>
  <c r="M107" i="8"/>
  <c r="M99" i="8"/>
  <c r="M184" i="8"/>
  <c r="M173" i="8"/>
  <c r="M169" i="8"/>
  <c r="M143" i="8"/>
  <c r="M132" i="8"/>
  <c r="M47" i="8"/>
  <c r="M39" i="8"/>
  <c r="M35" i="8"/>
  <c r="M27" i="8"/>
  <c r="M15" i="8"/>
  <c r="M11" i="8"/>
  <c r="M94" i="8"/>
  <c r="M142" i="8"/>
  <c r="M120" i="8"/>
  <c r="M172" i="8"/>
  <c r="M168" i="8"/>
  <c r="M157" i="8"/>
  <c r="M164" i="8"/>
  <c r="M160" i="8"/>
  <c r="M109" i="8"/>
  <c r="M97" i="8"/>
  <c r="M150" i="8"/>
  <c r="M128" i="8"/>
  <c r="M119" i="8"/>
  <c r="M81" i="8"/>
  <c r="M156" i="8"/>
  <c r="M141" i="8"/>
  <c r="M148" i="8"/>
  <c r="M137" i="8"/>
  <c r="M96" i="8"/>
  <c r="M88" i="8"/>
  <c r="M162" i="8"/>
  <c r="M83" i="8"/>
  <c r="M44" i="8"/>
  <c r="M40" i="8"/>
  <c r="M178" i="8"/>
  <c r="M90" i="8"/>
  <c r="M75" i="8"/>
  <c r="M122" i="8"/>
  <c r="M67" i="8"/>
  <c r="M138" i="8"/>
  <c r="M101" i="8"/>
  <c r="M19" i="8"/>
  <c r="M154" i="8"/>
  <c r="M54" i="8"/>
  <c r="M50" i="8"/>
  <c r="M46" i="8"/>
  <c r="M84" i="8"/>
  <c r="M69" i="8"/>
  <c r="M65" i="8"/>
  <c r="M61" i="8"/>
  <c r="M57" i="8"/>
  <c r="M45" i="8"/>
  <c r="M37" i="8"/>
  <c r="M29" i="8"/>
  <c r="M21" i="8"/>
  <c r="M146" i="8"/>
  <c r="M91" i="8"/>
  <c r="M17" i="8"/>
  <c r="M9" i="8"/>
  <c r="M105" i="8"/>
  <c r="M104" i="8"/>
  <c r="M103" i="8"/>
  <c r="S7" i="8"/>
  <c r="S3" i="8"/>
  <c r="S46" i="8"/>
  <c r="S30" i="8"/>
  <c r="S90" i="8"/>
  <c r="S92" i="8"/>
  <c r="S113" i="8"/>
  <c r="S69" i="8"/>
  <c r="J8" i="5"/>
  <c r="S99" i="8"/>
  <c r="S56" i="8"/>
  <c r="S44" i="8"/>
  <c r="M31" i="8"/>
  <c r="M102" i="8"/>
  <c r="M93" i="8"/>
  <c r="M100" i="8"/>
  <c r="M95" i="8"/>
  <c r="M92" i="8"/>
  <c r="M98" i="8"/>
  <c r="M76" i="8"/>
  <c r="M86" i="8"/>
  <c r="M89" i="8"/>
  <c r="M79" i="8"/>
  <c r="M71" i="8"/>
  <c r="M70" i="8"/>
  <c r="M72" i="8"/>
  <c r="M82" i="8"/>
  <c r="M60" i="8"/>
  <c r="M64" i="8"/>
  <c r="M68" i="8"/>
  <c r="M63" i="8"/>
  <c r="M59" i="8"/>
  <c r="M62" i="8"/>
  <c r="M56" i="8"/>
  <c r="M66" i="8"/>
  <c r="M58" i="8"/>
  <c r="M55" i="8"/>
  <c r="M51" i="8"/>
  <c r="M48" i="8"/>
  <c r="M52" i="8"/>
  <c r="M43" i="8"/>
  <c r="M36" i="8"/>
  <c r="M33" i="8"/>
  <c r="M30" i="8"/>
  <c r="M34" i="8"/>
  <c r="M24" i="8"/>
  <c r="M13" i="8"/>
  <c r="M16" i="8"/>
  <c r="M12" i="8"/>
  <c r="M23" i="8"/>
  <c r="M8" i="8"/>
  <c r="M7" i="8"/>
  <c r="M28" i="8"/>
  <c r="M14" i="8"/>
  <c r="M25" i="8"/>
  <c r="M18" i="8"/>
  <c r="M26" i="8"/>
  <c r="M10" i="8"/>
  <c r="M4" i="8"/>
  <c r="M3" i="8"/>
  <c r="M6" i="8"/>
  <c r="B8" i="1" a="1"/>
  <c r="B8" i="1" s="1"/>
  <c r="I8" i="5"/>
  <c r="D106" i="2" l="1"/>
  <c r="D122" i="2"/>
  <c r="D138" i="2"/>
  <c r="D154" i="2"/>
  <c r="D148" i="2"/>
  <c r="D137" i="2"/>
  <c r="D107" i="2"/>
  <c r="D123" i="2"/>
  <c r="D139" i="2"/>
  <c r="D155" i="2"/>
  <c r="D147" i="2"/>
  <c r="D151" i="2"/>
  <c r="D108" i="2"/>
  <c r="D124" i="2"/>
  <c r="D140" i="2"/>
  <c r="D156" i="2"/>
  <c r="D131" i="2"/>
  <c r="D121" i="2"/>
  <c r="D109" i="2"/>
  <c r="D125" i="2"/>
  <c r="D141" i="2"/>
  <c r="D157" i="2"/>
  <c r="D120" i="2"/>
  <c r="D110" i="2"/>
  <c r="D126" i="2"/>
  <c r="D142" i="2"/>
  <c r="D146" i="2"/>
  <c r="D134" i="2"/>
  <c r="D111" i="2"/>
  <c r="D127" i="2"/>
  <c r="D143" i="2"/>
  <c r="D144" i="2"/>
  <c r="D118" i="2"/>
  <c r="D112" i="2"/>
  <c r="D128" i="2"/>
  <c r="D135" i="2"/>
  <c r="D113" i="2"/>
  <c r="D129" i="2"/>
  <c r="D145" i="2"/>
  <c r="D130" i="2"/>
  <c r="D133" i="2"/>
  <c r="D152" i="2"/>
  <c r="D114" i="2"/>
  <c r="D136" i="2"/>
  <c r="D115" i="2"/>
  <c r="D150" i="2"/>
  <c r="D116" i="2"/>
  <c r="D132" i="2"/>
  <c r="D119" i="2"/>
  <c r="D117" i="2"/>
  <c r="D149" i="2"/>
  <c r="D153" i="2"/>
  <c r="D860" i="2"/>
  <c r="D876" i="2"/>
  <c r="D892" i="2"/>
  <c r="D908" i="2"/>
  <c r="D924" i="2"/>
  <c r="D940" i="2"/>
  <c r="D956" i="2"/>
  <c r="D972" i="2"/>
  <c r="D988" i="2"/>
  <c r="D861" i="2"/>
  <c r="D877" i="2"/>
  <c r="D893" i="2"/>
  <c r="D909" i="2"/>
  <c r="D925" i="2"/>
  <c r="D941" i="2"/>
  <c r="D957" i="2"/>
  <c r="D973" i="2"/>
  <c r="D989" i="2"/>
  <c r="D862" i="2"/>
  <c r="D878" i="2"/>
  <c r="D894" i="2"/>
  <c r="D910" i="2"/>
  <c r="D926" i="2"/>
  <c r="D942" i="2"/>
  <c r="D958" i="2"/>
  <c r="D974" i="2"/>
  <c r="D990" i="2"/>
  <c r="D863" i="2"/>
  <c r="D879" i="2"/>
  <c r="D895" i="2"/>
  <c r="D911" i="2"/>
  <c r="D927" i="2"/>
  <c r="D943" i="2"/>
  <c r="D959" i="2"/>
  <c r="D975" i="2"/>
  <c r="D991" i="2"/>
  <c r="D864" i="2"/>
  <c r="D880" i="2"/>
  <c r="D896" i="2"/>
  <c r="D912" i="2"/>
  <c r="D928" i="2"/>
  <c r="D944" i="2"/>
  <c r="D960" i="2"/>
  <c r="D976" i="2"/>
  <c r="D992" i="2"/>
  <c r="D865" i="2"/>
  <c r="D881" i="2"/>
  <c r="D897" i="2"/>
  <c r="D913" i="2"/>
  <c r="D929" i="2"/>
  <c r="D945" i="2"/>
  <c r="D961" i="2"/>
  <c r="D977" i="2"/>
  <c r="D993" i="2"/>
  <c r="D954" i="2"/>
  <c r="D859" i="2"/>
  <c r="D923" i="2"/>
  <c r="D987" i="2"/>
  <c r="D866" i="2"/>
  <c r="D882" i="2"/>
  <c r="D898" i="2"/>
  <c r="D914" i="2"/>
  <c r="D930" i="2"/>
  <c r="D946" i="2"/>
  <c r="D962" i="2"/>
  <c r="D978" i="2"/>
  <c r="D994" i="2"/>
  <c r="D983" i="2"/>
  <c r="D867" i="2"/>
  <c r="D883" i="2"/>
  <c r="D899" i="2"/>
  <c r="D915" i="2"/>
  <c r="D931" i="2"/>
  <c r="D947" i="2"/>
  <c r="D963" i="2"/>
  <c r="D979" i="2"/>
  <c r="D874" i="2"/>
  <c r="D986" i="2"/>
  <c r="D891" i="2"/>
  <c r="D955" i="2"/>
  <c r="D868" i="2"/>
  <c r="D884" i="2"/>
  <c r="D900" i="2"/>
  <c r="D916" i="2"/>
  <c r="D932" i="2"/>
  <c r="D948" i="2"/>
  <c r="D964" i="2"/>
  <c r="D980" i="2"/>
  <c r="D967" i="2"/>
  <c r="D890" i="2"/>
  <c r="D970" i="2"/>
  <c r="D907" i="2"/>
  <c r="D971" i="2"/>
  <c r="D853" i="2"/>
  <c r="D869" i="2"/>
  <c r="D885" i="2"/>
  <c r="D901" i="2"/>
  <c r="D917" i="2"/>
  <c r="D933" i="2"/>
  <c r="D949" i="2"/>
  <c r="D965" i="2"/>
  <c r="D981" i="2"/>
  <c r="D854" i="2"/>
  <c r="D870" i="2"/>
  <c r="D886" i="2"/>
  <c r="D902" i="2"/>
  <c r="D918" i="2"/>
  <c r="D934" i="2"/>
  <c r="D950" i="2"/>
  <c r="D966" i="2"/>
  <c r="D982" i="2"/>
  <c r="D858" i="2"/>
  <c r="D938" i="2"/>
  <c r="D875" i="2"/>
  <c r="D939" i="2"/>
  <c r="D855" i="2"/>
  <c r="D871" i="2"/>
  <c r="D887" i="2"/>
  <c r="D903" i="2"/>
  <c r="D919" i="2"/>
  <c r="D935" i="2"/>
  <c r="D951" i="2"/>
  <c r="D856" i="2"/>
  <c r="D872" i="2"/>
  <c r="D888" i="2"/>
  <c r="D904" i="2"/>
  <c r="D920" i="2"/>
  <c r="D936" i="2"/>
  <c r="D952" i="2"/>
  <c r="D968" i="2"/>
  <c r="D984" i="2"/>
  <c r="D906" i="2"/>
  <c r="D857" i="2"/>
  <c r="D873" i="2"/>
  <c r="D889" i="2"/>
  <c r="D905" i="2"/>
  <c r="D921" i="2"/>
  <c r="D937" i="2"/>
  <c r="D953" i="2"/>
  <c r="D969" i="2"/>
  <c r="D985" i="2"/>
  <c r="D922" i="2"/>
  <c r="I6" i="5"/>
  <c r="J6" i="5"/>
  <c r="E23" i="8"/>
  <c r="E22" i="8"/>
  <c r="C7" i="1"/>
  <c r="C6" i="1" s="1"/>
  <c r="C8" i="1" l="1" a="1"/>
  <c r="C8" i="1" s="1"/>
  <c r="C21" i="1" a="1"/>
  <c r="C21" i="1" s="1"/>
  <c r="C24" i="1" a="1"/>
  <c r="C24" i="1" s="1"/>
  <c r="C25" i="1" a="1"/>
  <c r="C25" i="1" s="1"/>
  <c r="C26" i="1" a="1"/>
  <c r="C26" i="1" s="1"/>
  <c r="C23" i="1" a="1"/>
  <c r="C23" i="1" s="1"/>
  <c r="C22" i="1" a="1"/>
  <c r="C22" i="1" s="1"/>
  <c r="C27" i="1" a="1"/>
  <c r="C27" i="1" s="1"/>
  <c r="C28" i="1" a="1"/>
  <c r="C28" i="1" s="1"/>
  <c r="C30" i="1" a="1"/>
  <c r="C30" i="1" s="1"/>
  <c r="C29" i="1" a="1"/>
  <c r="C29" i="1" s="1"/>
  <c r="C31" i="1" a="1"/>
  <c r="C31" i="1" s="1"/>
  <c r="C20" i="1" a="1"/>
  <c r="C20" i="1" s="1"/>
  <c r="C19" i="1" a="1"/>
  <c r="C19" i="1" s="1"/>
  <c r="C18" i="1" a="1"/>
  <c r="C18" i="1" s="1"/>
  <c r="D7" i="1"/>
  <c r="D6" i="1" s="1"/>
  <c r="C17" i="1" a="1"/>
  <c r="C17" i="1" s="1"/>
  <c r="C16" i="1" a="1"/>
  <c r="C16" i="1" s="1"/>
  <c r="D476" i="2" l="1"/>
  <c r="D477" i="2"/>
  <c r="D478" i="2"/>
  <c r="D474" i="2"/>
  <c r="D475" i="2"/>
  <c r="D22" i="1" a="1"/>
  <c r="D22" i="1" s="1"/>
  <c r="D29" i="1" a="1"/>
  <c r="D29" i="1" s="1"/>
  <c r="D21" i="1" a="1"/>
  <c r="D21" i="1" s="1"/>
  <c r="D24" i="1" a="1"/>
  <c r="D24" i="1" s="1"/>
  <c r="D25" i="1" a="1"/>
  <c r="D25" i="1" s="1"/>
  <c r="D23" i="1" a="1"/>
  <c r="D23" i="1" s="1"/>
  <c r="D26" i="1" a="1"/>
  <c r="D26" i="1" s="1"/>
  <c r="D27" i="1" a="1"/>
  <c r="D27" i="1" s="1"/>
  <c r="D28" i="1" a="1"/>
  <c r="D28" i="1" s="1"/>
  <c r="D30" i="1" a="1"/>
  <c r="D30" i="1" s="1"/>
  <c r="D31" i="1" a="1"/>
  <c r="D31" i="1" s="1"/>
  <c r="E7" i="1"/>
  <c r="D17" i="1" a="1"/>
  <c r="D17" i="1" s="1"/>
  <c r="D20" i="1" a="1"/>
  <c r="D20" i="1" s="1"/>
  <c r="D19" i="1" a="1"/>
  <c r="D19" i="1" s="1"/>
  <c r="D16" i="1" a="1"/>
  <c r="D16" i="1" s="1"/>
  <c r="D18" i="1" a="1"/>
  <c r="D18" i="1" s="1"/>
  <c r="E16" i="1" l="1" a="1"/>
  <c r="E16" i="1" s="1"/>
  <c r="E6" i="1"/>
  <c r="E17" i="1" a="1"/>
  <c r="E17" i="1" s="1"/>
  <c r="E23" i="1" a="1"/>
  <c r="E23" i="1" s="1"/>
  <c r="E28" i="1" a="1"/>
  <c r="E28" i="1" s="1"/>
  <c r="E22" i="1" a="1"/>
  <c r="E22" i="1" s="1"/>
  <c r="E27" i="1" a="1"/>
  <c r="E27" i="1" s="1"/>
  <c r="E24" i="1" a="1"/>
  <c r="E24" i="1" s="1"/>
  <c r="E25" i="1" a="1"/>
  <c r="E25" i="1" s="1"/>
  <c r="E21" i="1" a="1"/>
  <c r="E21" i="1" s="1"/>
  <c r="E26" i="1" a="1"/>
  <c r="E26" i="1" s="1"/>
  <c r="E30" i="1" a="1"/>
  <c r="E30" i="1" s="1"/>
  <c r="E29" i="1" a="1"/>
  <c r="E29" i="1" s="1"/>
  <c r="E31" i="1" a="1"/>
  <c r="E31" i="1" s="1"/>
  <c r="E20" i="1" a="1"/>
  <c r="E20" i="1" s="1"/>
  <c r="E19" i="1" a="1"/>
  <c r="E19" i="1" s="1"/>
  <c r="E18" i="1" a="1"/>
  <c r="E18" i="1" s="1"/>
  <c r="F7" i="1"/>
  <c r="F6" i="1" s="1"/>
  <c r="F21" i="1" l="1" a="1"/>
  <c r="F21" i="1" s="1"/>
  <c r="F24" i="1" a="1"/>
  <c r="F24" i="1" s="1"/>
  <c r="F26" i="1" a="1"/>
  <c r="F26" i="1" s="1"/>
  <c r="F23" i="1" a="1"/>
  <c r="F23" i="1" s="1"/>
  <c r="F22" i="1" a="1"/>
  <c r="F22" i="1" s="1"/>
  <c r="F27" i="1" a="1"/>
  <c r="F27" i="1" s="1"/>
  <c r="F28" i="1" a="1"/>
  <c r="F28" i="1" s="1"/>
  <c r="F29" i="1" a="1"/>
  <c r="F29" i="1" s="1"/>
  <c r="F31" i="1" a="1"/>
  <c r="F31" i="1" s="1"/>
  <c r="F30" i="1" a="1"/>
  <c r="F30" i="1" s="1"/>
  <c r="F25" i="1" a="1"/>
  <c r="F25" i="1" s="1"/>
  <c r="F16" i="1" a="1"/>
  <c r="F16" i="1" s="1"/>
  <c r="F17" i="1" a="1"/>
  <c r="F17" i="1" s="1"/>
  <c r="F18" i="1" a="1"/>
  <c r="F18" i="1" s="1"/>
  <c r="F20" i="1" a="1"/>
  <c r="F20" i="1" s="1"/>
  <c r="F19" i="1" a="1"/>
  <c r="F19" i="1" s="1"/>
  <c r="G7" i="1"/>
  <c r="G6" i="1" s="1"/>
  <c r="D604" i="2" l="1"/>
  <c r="D610" i="2"/>
  <c r="D606" i="2"/>
  <c r="D608" i="2"/>
  <c r="D603" i="2"/>
  <c r="D605" i="2"/>
  <c r="D607" i="2"/>
  <c r="D609" i="2"/>
  <c r="G27" i="1" a="1"/>
  <c r="G27" i="1" s="1"/>
  <c r="G21" i="1" a="1"/>
  <c r="G21" i="1" s="1"/>
  <c r="G24" i="1" a="1"/>
  <c r="G24" i="1" s="1"/>
  <c r="G25" i="1" a="1"/>
  <c r="G25" i="1" s="1"/>
  <c r="G26" i="1" a="1"/>
  <c r="G26" i="1" s="1"/>
  <c r="G23" i="1" a="1"/>
  <c r="G23" i="1" s="1"/>
  <c r="G30" i="1" a="1"/>
  <c r="G30" i="1" s="1"/>
  <c r="G28" i="1" a="1"/>
  <c r="G28" i="1" s="1"/>
  <c r="G22" i="1" a="1"/>
  <c r="G22" i="1" s="1"/>
  <c r="G31" i="1" a="1"/>
  <c r="G31" i="1" s="1"/>
  <c r="G29" i="1" a="1"/>
  <c r="G29" i="1" s="1"/>
  <c r="G16" i="1" a="1"/>
  <c r="G16" i="1" s="1"/>
  <c r="G18" i="1" a="1"/>
  <c r="G18" i="1" s="1"/>
  <c r="G20" i="1" a="1"/>
  <c r="G20" i="1" s="1"/>
  <c r="G17" i="1" a="1"/>
  <c r="G17" i="1" s="1"/>
  <c r="G19" i="1" a="1"/>
  <c r="G19" i="1" s="1"/>
  <c r="H7" i="1"/>
  <c r="H6" i="1" s="1"/>
  <c r="D613" i="2" l="1"/>
  <c r="D614" i="2"/>
  <c r="D612" i="2"/>
  <c r="D615" i="2"/>
  <c r="D611" i="2"/>
  <c r="D577" i="2"/>
  <c r="D576" i="2"/>
  <c r="D578" i="2"/>
  <c r="H29" i="1" a="1"/>
  <c r="H29" i="1" s="1"/>
  <c r="H22" i="1" a="1"/>
  <c r="H22" i="1" s="1"/>
  <c r="H27" i="1" a="1"/>
  <c r="H27" i="1" s="1"/>
  <c r="H28" i="1" a="1"/>
  <c r="H28" i="1" s="1"/>
  <c r="H21" i="1" a="1"/>
  <c r="H21" i="1" s="1"/>
  <c r="H24" i="1" a="1"/>
  <c r="H24" i="1" s="1"/>
  <c r="H25" i="1" a="1"/>
  <c r="H25" i="1" s="1"/>
  <c r="H26" i="1" a="1"/>
  <c r="H26" i="1" s="1"/>
  <c r="H31" i="1" a="1"/>
  <c r="H31" i="1" s="1"/>
  <c r="H23" i="1" a="1"/>
  <c r="H23" i="1" s="1"/>
  <c r="H30" i="1" a="1"/>
  <c r="H30" i="1" s="1"/>
  <c r="H19" i="1" a="1"/>
  <c r="H19" i="1" s="1"/>
  <c r="H16" i="1" a="1"/>
  <c r="H16" i="1" s="1"/>
  <c r="H18" i="1" a="1"/>
  <c r="H18" i="1" s="1"/>
  <c r="H20" i="1" a="1"/>
  <c r="H20" i="1" s="1"/>
  <c r="H17" i="1" a="1"/>
  <c r="H17" i="1" s="1"/>
  <c r="I7" i="1"/>
  <c r="I6" i="1" s="1"/>
  <c r="D616" i="2" l="1"/>
  <c r="D620" i="2"/>
  <c r="D626" i="2"/>
  <c r="D629" i="2"/>
  <c r="D622" i="2"/>
  <c r="D625" i="2"/>
  <c r="D624" i="2"/>
  <c r="D618" i="2"/>
  <c r="D621" i="2"/>
  <c r="D619" i="2"/>
  <c r="D630" i="2"/>
  <c r="D623" i="2"/>
  <c r="D627" i="2"/>
  <c r="D617" i="2"/>
  <c r="D628" i="2"/>
  <c r="D581" i="2"/>
  <c r="D585" i="2"/>
  <c r="D579" i="2"/>
  <c r="D583" i="2"/>
  <c r="D584" i="2"/>
  <c r="D582" i="2"/>
  <c r="D580" i="2"/>
  <c r="I26" i="1" a="1"/>
  <c r="I26" i="1" s="1"/>
  <c r="I23" i="1" a="1"/>
  <c r="I23" i="1" s="1"/>
  <c r="I22" i="1" a="1"/>
  <c r="I22" i="1" s="1"/>
  <c r="I27" i="1" a="1"/>
  <c r="I27" i="1" s="1"/>
  <c r="I28" i="1" a="1"/>
  <c r="I28" i="1" s="1"/>
  <c r="I29" i="1" a="1"/>
  <c r="I29" i="1" s="1"/>
  <c r="I25" i="1" a="1"/>
  <c r="I25" i="1" s="1"/>
  <c r="I31" i="1" a="1"/>
  <c r="I31" i="1" s="1"/>
  <c r="I21" i="1" a="1"/>
  <c r="I21" i="1" s="1"/>
  <c r="I30" i="1" a="1"/>
  <c r="I30" i="1" s="1"/>
  <c r="I24" i="1" a="1"/>
  <c r="I24" i="1" s="1"/>
  <c r="I16" i="1" a="1"/>
  <c r="I16" i="1" s="1"/>
  <c r="I17" i="1" a="1"/>
  <c r="I17" i="1" s="1"/>
  <c r="I19" i="1" a="1"/>
  <c r="I19" i="1" s="1"/>
  <c r="I18" i="1" a="1"/>
  <c r="I18" i="1" s="1"/>
  <c r="I20" i="1" a="1"/>
  <c r="I20" i="1" s="1"/>
  <c r="J7" i="1"/>
  <c r="J6" i="1" s="1"/>
  <c r="D632" i="2" l="1"/>
  <c r="D636" i="2"/>
  <c r="D638" i="2"/>
  <c r="D635" i="2"/>
  <c r="D640" i="2"/>
  <c r="D634" i="2"/>
  <c r="D633" i="2"/>
  <c r="D637" i="2"/>
  <c r="D631" i="2"/>
  <c r="D639" i="2"/>
  <c r="D641" i="2"/>
  <c r="D588" i="2"/>
  <c r="D586" i="2"/>
  <c r="D587" i="2"/>
  <c r="J21" i="1" a="1"/>
  <c r="J21" i="1" s="1"/>
  <c r="J25" i="1" a="1"/>
  <c r="J25" i="1" s="1"/>
  <c r="J24" i="1" a="1"/>
  <c r="J24" i="1" s="1"/>
  <c r="J26" i="1" a="1"/>
  <c r="J26" i="1" s="1"/>
  <c r="J23" i="1" a="1"/>
  <c r="J23" i="1" s="1"/>
  <c r="J30" i="1" a="1"/>
  <c r="J30" i="1" s="1"/>
  <c r="J29" i="1" a="1"/>
  <c r="J29" i="1" s="1"/>
  <c r="J28" i="1" a="1"/>
  <c r="J28" i="1" s="1"/>
  <c r="J31" i="1" a="1"/>
  <c r="J31" i="1" s="1"/>
  <c r="J22" i="1" a="1"/>
  <c r="J22" i="1" s="1"/>
  <c r="J27" i="1" a="1"/>
  <c r="J27" i="1" s="1"/>
  <c r="J16" i="1" a="1"/>
  <c r="J16" i="1" s="1"/>
  <c r="J18" i="1" a="1"/>
  <c r="J18" i="1" s="1"/>
  <c r="J20" i="1" a="1"/>
  <c r="J20" i="1" s="1"/>
  <c r="J17" i="1" a="1"/>
  <c r="J17" i="1" s="1"/>
  <c r="J19" i="1" a="1"/>
  <c r="J19" i="1" s="1"/>
  <c r="K7" i="1"/>
  <c r="K6" i="1" s="1"/>
  <c r="K22" i="1" l="1" a="1"/>
  <c r="K22" i="1" s="1"/>
  <c r="K28" i="1" a="1"/>
  <c r="K28" i="1" s="1"/>
  <c r="K29" i="1" a="1"/>
  <c r="K29" i="1" s="1"/>
  <c r="K21" i="1" a="1"/>
  <c r="K21" i="1" s="1"/>
  <c r="K27" i="1" a="1"/>
  <c r="K27" i="1" s="1"/>
  <c r="K24" i="1" a="1"/>
  <c r="K24" i="1" s="1"/>
  <c r="K25" i="1" a="1"/>
  <c r="K25" i="1" s="1"/>
  <c r="K26" i="1" a="1"/>
  <c r="K26" i="1" s="1"/>
  <c r="K30" i="1" a="1"/>
  <c r="K30" i="1" s="1"/>
  <c r="K31" i="1" a="1"/>
  <c r="K31" i="1" s="1"/>
  <c r="K23" i="1" a="1"/>
  <c r="K23" i="1" s="1"/>
  <c r="K16" i="1" a="1"/>
  <c r="K16" i="1" s="1"/>
  <c r="K19" i="1" a="1"/>
  <c r="K19" i="1" s="1"/>
  <c r="K18" i="1" a="1"/>
  <c r="K18" i="1" s="1"/>
  <c r="K20" i="1" a="1"/>
  <c r="K20" i="1" s="1"/>
  <c r="K17" i="1" a="1"/>
  <c r="K17" i="1" s="1"/>
  <c r="L7" i="1"/>
  <c r="L6" i="1" s="1"/>
  <c r="L23" i="1" l="1" a="1"/>
  <c r="L23" i="1" s="1"/>
  <c r="L26" i="1" a="1"/>
  <c r="L26" i="1" s="1"/>
  <c r="L22" i="1" a="1"/>
  <c r="L22" i="1" s="1"/>
  <c r="L21" i="1" a="1"/>
  <c r="L21" i="1" s="1"/>
  <c r="L27" i="1" a="1"/>
  <c r="L27" i="1" s="1"/>
  <c r="L28" i="1" a="1"/>
  <c r="L28" i="1" s="1"/>
  <c r="L24" i="1" a="1"/>
  <c r="L24" i="1" s="1"/>
  <c r="L25" i="1" a="1"/>
  <c r="L25" i="1" s="1"/>
  <c r="L29" i="1" a="1"/>
  <c r="L29" i="1" s="1"/>
  <c r="L31" i="1" a="1"/>
  <c r="L31" i="1" s="1"/>
  <c r="L30" i="1" a="1"/>
  <c r="L30" i="1" s="1"/>
  <c r="L19" i="1" a="1"/>
  <c r="L19" i="1" s="1"/>
  <c r="L17" i="1" a="1"/>
  <c r="L17" i="1" s="1"/>
  <c r="L16" i="1" a="1"/>
  <c r="L16" i="1" s="1"/>
  <c r="L18" i="1" a="1"/>
  <c r="L18" i="1" s="1"/>
  <c r="L20" i="1" a="1"/>
  <c r="L20" i="1" s="1"/>
  <c r="M7" i="1"/>
  <c r="M6" i="1" s="1"/>
  <c r="M24" i="1" l="1" a="1"/>
  <c r="M24" i="1" s="1"/>
  <c r="M25" i="1" a="1"/>
  <c r="M25" i="1" s="1"/>
  <c r="M27" i="1" a="1"/>
  <c r="M27" i="1" s="1"/>
  <c r="M23" i="1" a="1"/>
  <c r="M23" i="1" s="1"/>
  <c r="M26" i="1" a="1"/>
  <c r="M26" i="1" s="1"/>
  <c r="M22" i="1" a="1"/>
  <c r="M22" i="1" s="1"/>
  <c r="M29" i="1" a="1"/>
  <c r="M29" i="1" s="1"/>
  <c r="M31" i="1" a="1"/>
  <c r="M31" i="1" s="1"/>
  <c r="M30" i="1" a="1"/>
  <c r="M30" i="1" s="1"/>
  <c r="M21" i="1" a="1"/>
  <c r="M21" i="1" s="1"/>
  <c r="M28" i="1" a="1"/>
  <c r="M28" i="1" s="1"/>
  <c r="M16" i="1" a="1"/>
  <c r="M16" i="1" s="1"/>
  <c r="M17" i="1" a="1"/>
  <c r="M17" i="1" s="1"/>
  <c r="M19" i="1" a="1"/>
  <c r="M19" i="1" s="1"/>
  <c r="M18" i="1" a="1"/>
  <c r="M18" i="1" s="1"/>
  <c r="M20" i="1" a="1"/>
  <c r="M20" i="1" s="1"/>
  <c r="N7" i="1"/>
  <c r="N6" i="1" s="1"/>
  <c r="D644" i="2" l="1"/>
  <c r="D648" i="2"/>
  <c r="D642" i="2"/>
  <c r="D645" i="2"/>
  <c r="D649" i="2"/>
  <c r="D643" i="2"/>
  <c r="D646" i="2"/>
  <c r="D647" i="2"/>
  <c r="N21" i="1" a="1"/>
  <c r="N21" i="1" s="1"/>
  <c r="N28" i="1" a="1"/>
  <c r="N28" i="1" s="1"/>
  <c r="N24" i="1" a="1"/>
  <c r="N24" i="1" s="1"/>
  <c r="N25" i="1" a="1"/>
  <c r="N25" i="1" s="1"/>
  <c r="N27" i="1" a="1"/>
  <c r="N27" i="1" s="1"/>
  <c r="N23" i="1" a="1"/>
  <c r="N23" i="1" s="1"/>
  <c r="N26" i="1" a="1"/>
  <c r="N26" i="1" s="1"/>
  <c r="N30" i="1" a="1"/>
  <c r="N30" i="1" s="1"/>
  <c r="N31" i="1" a="1"/>
  <c r="N31" i="1" s="1"/>
  <c r="N29" i="1" a="1"/>
  <c r="N29" i="1" s="1"/>
  <c r="N22" i="1" a="1"/>
  <c r="N22" i="1" s="1"/>
  <c r="N16" i="1" a="1"/>
  <c r="N16" i="1" s="1"/>
  <c r="N17" i="1" a="1"/>
  <c r="N17" i="1" s="1"/>
  <c r="N18" i="1" a="1"/>
  <c r="N18" i="1" s="1"/>
  <c r="N20" i="1" a="1"/>
  <c r="N20" i="1" s="1"/>
  <c r="N19" i="1" a="1"/>
  <c r="N19" i="1" s="1"/>
  <c r="O7" i="1"/>
  <c r="O6" i="1" s="1"/>
  <c r="D589" i="2" l="1"/>
  <c r="D652" i="2"/>
  <c r="D650" i="2"/>
  <c r="D654" i="2"/>
  <c r="D651" i="2"/>
  <c r="D653" i="2"/>
  <c r="O22" i="1" a="1"/>
  <c r="O22" i="1" s="1"/>
  <c r="O29" i="1" a="1"/>
  <c r="O29" i="1" s="1"/>
  <c r="O21" i="1" a="1"/>
  <c r="O21" i="1" s="1"/>
  <c r="O28" i="1" a="1"/>
  <c r="O28" i="1" s="1"/>
  <c r="O24" i="1" a="1"/>
  <c r="O24" i="1" s="1"/>
  <c r="O25" i="1" a="1"/>
  <c r="O25" i="1" s="1"/>
  <c r="O23" i="1" a="1"/>
  <c r="O23" i="1" s="1"/>
  <c r="O30" i="1" a="1"/>
  <c r="O30" i="1" s="1"/>
  <c r="O27" i="1" a="1"/>
  <c r="O27" i="1" s="1"/>
  <c r="O31" i="1" a="1"/>
  <c r="O31" i="1" s="1"/>
  <c r="O26" i="1" a="1"/>
  <c r="O26" i="1" s="1"/>
  <c r="O16" i="1" a="1"/>
  <c r="O16" i="1" s="1"/>
  <c r="O17" i="1" a="1"/>
  <c r="O17" i="1" s="1"/>
  <c r="O18" i="1" a="1"/>
  <c r="O18" i="1" s="1"/>
  <c r="O20" i="1" a="1"/>
  <c r="O20" i="1" s="1"/>
  <c r="O19" i="1" a="1"/>
  <c r="O19" i="1" s="1"/>
  <c r="P7" i="1"/>
  <c r="P6" i="1" s="1"/>
  <c r="D657" i="2" l="1"/>
  <c r="D658" i="2"/>
  <c r="D656" i="2"/>
  <c r="D655" i="2"/>
  <c r="D590" i="2"/>
  <c r="D593" i="2"/>
  <c r="D595" i="2"/>
  <c r="D592" i="2"/>
  <c r="D594" i="2"/>
  <c r="D591" i="2"/>
  <c r="P23" i="1" a="1"/>
  <c r="P23" i="1" s="1"/>
  <c r="P26" i="1" a="1"/>
  <c r="P26" i="1" s="1"/>
  <c r="P27" i="1" a="1"/>
  <c r="P27" i="1" s="1"/>
  <c r="P22" i="1" a="1"/>
  <c r="P22" i="1" s="1"/>
  <c r="P21" i="1" a="1"/>
  <c r="P21" i="1" s="1"/>
  <c r="P24" i="1" a="1"/>
  <c r="P24" i="1" s="1"/>
  <c r="P30" i="1" a="1"/>
  <c r="P30" i="1" s="1"/>
  <c r="P28" i="1" a="1"/>
  <c r="P28" i="1" s="1"/>
  <c r="P29" i="1" a="1"/>
  <c r="P29" i="1" s="1"/>
  <c r="P31" i="1" a="1"/>
  <c r="P31" i="1" s="1"/>
  <c r="P25" i="1" a="1"/>
  <c r="P25" i="1" s="1"/>
  <c r="P16" i="1" a="1"/>
  <c r="P16" i="1" s="1"/>
  <c r="P19" i="1" a="1"/>
  <c r="P19" i="1" s="1"/>
  <c r="P17" i="1" a="1"/>
  <c r="P17" i="1" s="1"/>
  <c r="P18" i="1" a="1"/>
  <c r="P18" i="1" s="1"/>
  <c r="P20" i="1" a="1"/>
  <c r="P20" i="1" s="1"/>
  <c r="Q7" i="1"/>
  <c r="Q6" i="1" s="1"/>
  <c r="D660" i="2" l="1"/>
  <c r="D659" i="2"/>
  <c r="D664" i="2"/>
  <c r="D668" i="2"/>
  <c r="D661" i="2"/>
  <c r="D666" i="2"/>
  <c r="D667" i="2"/>
  <c r="D663" i="2"/>
  <c r="D662" i="2"/>
  <c r="D669" i="2"/>
  <c r="D665" i="2"/>
  <c r="D597" i="2"/>
  <c r="D598" i="2"/>
  <c r="D599" i="2"/>
  <c r="D601" i="2"/>
  <c r="D600" i="2"/>
  <c r="D596" i="2"/>
  <c r="D602" i="2"/>
  <c r="Q24" i="1" a="1"/>
  <c r="Q24" i="1" s="1"/>
  <c r="Q25" i="1" a="1"/>
  <c r="Q25" i="1" s="1"/>
  <c r="Q28" i="1" a="1"/>
  <c r="Q28" i="1" s="1"/>
  <c r="Q23" i="1" a="1"/>
  <c r="Q23" i="1" s="1"/>
  <c r="Q26" i="1" a="1"/>
  <c r="Q26" i="1" s="1"/>
  <c r="Q27" i="1" a="1"/>
  <c r="Q27" i="1" s="1"/>
  <c r="Q22" i="1" a="1"/>
  <c r="Q22" i="1" s="1"/>
  <c r="Q29" i="1" a="1"/>
  <c r="Q29" i="1" s="1"/>
  <c r="Q31" i="1" a="1"/>
  <c r="Q31" i="1" s="1"/>
  <c r="Q30" i="1" a="1"/>
  <c r="Q30" i="1" s="1"/>
  <c r="Q21" i="1" a="1"/>
  <c r="Q21" i="1" s="1"/>
  <c r="Q18" i="1" a="1"/>
  <c r="Q18" i="1" s="1"/>
  <c r="Q20" i="1" a="1"/>
  <c r="Q20" i="1" s="1"/>
  <c r="Q16" i="1" a="1"/>
  <c r="Q16" i="1" s="1"/>
  <c r="Q19" i="1" a="1"/>
  <c r="Q19" i="1" s="1"/>
  <c r="Q17" i="1" a="1"/>
  <c r="Q17" i="1" s="1"/>
  <c r="R7" i="1"/>
  <c r="R6" i="1" s="1"/>
  <c r="R21" i="1" l="1" a="1"/>
  <c r="R21" i="1" s="1"/>
  <c r="R24" i="1" a="1"/>
  <c r="R24" i="1" s="1"/>
  <c r="R25" i="1" a="1"/>
  <c r="R25" i="1" s="1"/>
  <c r="R28" i="1" a="1"/>
  <c r="R28" i="1" s="1"/>
  <c r="R23" i="1" a="1"/>
  <c r="R23" i="1" s="1"/>
  <c r="R27" i="1" a="1"/>
  <c r="R27" i="1" s="1"/>
  <c r="R22" i="1" a="1"/>
  <c r="R22" i="1" s="1"/>
  <c r="R26" i="1" a="1"/>
  <c r="R26" i="1" s="1"/>
  <c r="R30" i="1" a="1"/>
  <c r="R30" i="1" s="1"/>
  <c r="R31" i="1" a="1"/>
  <c r="R31" i="1" s="1"/>
  <c r="R29" i="1" a="1"/>
  <c r="R29" i="1" s="1"/>
  <c r="R16" i="1" a="1"/>
  <c r="R16" i="1" s="1"/>
  <c r="R18" i="1" a="1"/>
  <c r="R18" i="1" s="1"/>
  <c r="R20" i="1" a="1"/>
  <c r="R20" i="1" s="1"/>
  <c r="R17" i="1" a="1"/>
  <c r="R17" i="1" s="1"/>
  <c r="R19" i="1" a="1"/>
  <c r="R19" i="1" s="1"/>
  <c r="S7" i="1"/>
  <c r="S6" i="1" s="1"/>
  <c r="S22" i="1" l="1" a="1"/>
  <c r="S22" i="1" s="1"/>
  <c r="S26" i="1" a="1"/>
  <c r="S26" i="1" s="1"/>
  <c r="S27" i="1" a="1"/>
  <c r="S27" i="1" s="1"/>
  <c r="S21" i="1" a="1"/>
  <c r="S21" i="1" s="1"/>
  <c r="S24" i="1" a="1"/>
  <c r="S24" i="1" s="1"/>
  <c r="S28" i="1" a="1"/>
  <c r="S28" i="1" s="1"/>
  <c r="S23" i="1" a="1"/>
  <c r="S23" i="1" s="1"/>
  <c r="S25" i="1" a="1"/>
  <c r="S25" i="1" s="1"/>
  <c r="S30" i="1" a="1"/>
  <c r="S30" i="1" s="1"/>
  <c r="S29" i="1" a="1"/>
  <c r="S29" i="1" s="1"/>
  <c r="S31" i="1" a="1"/>
  <c r="S31" i="1" s="1"/>
  <c r="S18" i="1" a="1"/>
  <c r="S18" i="1" s="1"/>
  <c r="S20" i="1" a="1"/>
  <c r="S20" i="1" s="1"/>
  <c r="S16" i="1" a="1"/>
  <c r="S16" i="1" s="1"/>
  <c r="S17" i="1" a="1"/>
  <c r="S17" i="1" s="1"/>
  <c r="S19" i="1" a="1"/>
  <c r="S19" i="1" s="1"/>
  <c r="T7" i="1"/>
  <c r="T6" i="1" s="1"/>
  <c r="T23" i="1" l="1" a="1"/>
  <c r="T23" i="1" s="1"/>
  <c r="T25" i="1" a="1"/>
  <c r="T25" i="1" s="1"/>
  <c r="T27" i="1" a="1"/>
  <c r="T27" i="1" s="1"/>
  <c r="T22" i="1" a="1"/>
  <c r="T22" i="1" s="1"/>
  <c r="T26" i="1" a="1"/>
  <c r="T26" i="1" s="1"/>
  <c r="T29" i="1" a="1"/>
  <c r="T29" i="1" s="1"/>
  <c r="T21" i="1" a="1"/>
  <c r="T21" i="1" s="1"/>
  <c r="T28" i="1" a="1"/>
  <c r="T28" i="1" s="1"/>
  <c r="T24" i="1" a="1"/>
  <c r="T24" i="1" s="1"/>
  <c r="T30" i="1" a="1"/>
  <c r="T30" i="1" s="1"/>
  <c r="T31" i="1" a="1"/>
  <c r="T31" i="1" s="1"/>
  <c r="T16" i="1" a="1"/>
  <c r="T16" i="1" s="1"/>
  <c r="T19" i="1" a="1"/>
  <c r="T19" i="1" s="1"/>
  <c r="T18" i="1" a="1"/>
  <c r="T18" i="1" s="1"/>
  <c r="T20" i="1" a="1"/>
  <c r="T20" i="1" s="1"/>
  <c r="T17" i="1" a="1"/>
  <c r="T17" i="1" s="1"/>
  <c r="U7" i="1"/>
  <c r="U6" i="1" s="1"/>
  <c r="D673" i="2" l="1"/>
  <c r="D674" i="2"/>
  <c r="D670" i="2"/>
  <c r="D672" i="2"/>
  <c r="D671" i="2"/>
  <c r="D675" i="2"/>
  <c r="U21" i="1" a="1"/>
  <c r="U21" i="1" s="1"/>
  <c r="U24" i="1" a="1"/>
  <c r="U24" i="1" s="1"/>
  <c r="U28" i="1" a="1"/>
  <c r="U28" i="1" s="1"/>
  <c r="U25" i="1" a="1"/>
  <c r="U25" i="1" s="1"/>
  <c r="U23" i="1" a="1"/>
  <c r="U23" i="1" s="1"/>
  <c r="U31" i="1" a="1"/>
  <c r="U31" i="1" s="1"/>
  <c r="U22" i="1" a="1"/>
  <c r="U22" i="1" s="1"/>
  <c r="U26" i="1" a="1"/>
  <c r="U26" i="1" s="1"/>
  <c r="U29" i="1" a="1"/>
  <c r="U29" i="1" s="1"/>
  <c r="U30" i="1" a="1"/>
  <c r="U30" i="1" s="1"/>
  <c r="U27" i="1" a="1"/>
  <c r="U27" i="1" s="1"/>
  <c r="U17" i="1" a="1"/>
  <c r="U17" i="1" s="1"/>
  <c r="U19" i="1" a="1"/>
  <c r="U19" i="1" s="1"/>
  <c r="U18" i="1" a="1"/>
  <c r="U18" i="1" s="1"/>
  <c r="U20" i="1" a="1"/>
  <c r="U20" i="1" s="1"/>
  <c r="U16" i="1" a="1"/>
  <c r="U16" i="1" s="1"/>
  <c r="V7" i="1"/>
  <c r="V6" i="1" s="1"/>
  <c r="D687" i="2" l="1"/>
  <c r="D681" i="2"/>
  <c r="D682" i="2"/>
  <c r="D679" i="2"/>
  <c r="D676" i="2"/>
  <c r="D685" i="2"/>
  <c r="D680" i="2"/>
  <c r="D678" i="2"/>
  <c r="D684" i="2"/>
  <c r="D677" i="2"/>
  <c r="D686" i="2"/>
  <c r="D683" i="2"/>
  <c r="V22" i="1" a="1"/>
  <c r="V22" i="1" s="1"/>
  <c r="V26" i="1" a="1"/>
  <c r="V26" i="1" s="1"/>
  <c r="V27" i="1" a="1"/>
  <c r="V27" i="1" s="1"/>
  <c r="V21" i="1" a="1"/>
  <c r="V21" i="1" s="1"/>
  <c r="V28" i="1" a="1"/>
  <c r="V28" i="1" s="1"/>
  <c r="V24" i="1" a="1"/>
  <c r="V24" i="1" s="1"/>
  <c r="V25" i="1" a="1"/>
  <c r="V25" i="1" s="1"/>
  <c r="V29" i="1" a="1"/>
  <c r="V29" i="1" s="1"/>
  <c r="V30" i="1" a="1"/>
  <c r="V30" i="1" s="1"/>
  <c r="V31" i="1" a="1"/>
  <c r="V31" i="1" s="1"/>
  <c r="V23" i="1" a="1"/>
  <c r="V23" i="1" s="1"/>
  <c r="V16" i="1" a="1"/>
  <c r="V16" i="1" s="1"/>
  <c r="V18" i="1" a="1"/>
  <c r="V18" i="1" s="1"/>
  <c r="V20" i="1" a="1"/>
  <c r="V20" i="1" s="1"/>
  <c r="V17" i="1" a="1"/>
  <c r="V17" i="1" s="1"/>
  <c r="V19" i="1" a="1"/>
  <c r="V19" i="1" s="1"/>
  <c r="W7" i="1"/>
  <c r="W6" i="1" s="1"/>
  <c r="D691" i="2" l="1"/>
  <c r="D689" i="2"/>
  <c r="D692" i="2"/>
  <c r="D694" i="2"/>
  <c r="D696" i="2"/>
  <c r="D690" i="2"/>
  <c r="D693" i="2"/>
  <c r="D688" i="2"/>
  <c r="D695" i="2"/>
  <c r="W23" i="1" a="1"/>
  <c r="W23" i="1" s="1"/>
  <c r="W25" i="1" a="1"/>
  <c r="W25" i="1" s="1"/>
  <c r="W22" i="1" a="1"/>
  <c r="W22" i="1" s="1"/>
  <c r="W26" i="1" a="1"/>
  <c r="W26" i="1" s="1"/>
  <c r="W27" i="1" a="1"/>
  <c r="W27" i="1" s="1"/>
  <c r="W21" i="1" a="1"/>
  <c r="W21" i="1" s="1"/>
  <c r="W28" i="1" a="1"/>
  <c r="W28" i="1" s="1"/>
  <c r="W29" i="1" a="1"/>
  <c r="W29" i="1" s="1"/>
  <c r="W30" i="1" a="1"/>
  <c r="W30" i="1" s="1"/>
  <c r="W31" i="1" a="1"/>
  <c r="W31" i="1" s="1"/>
  <c r="W24" i="1" a="1"/>
  <c r="W24" i="1" s="1"/>
  <c r="W16" i="1" a="1"/>
  <c r="W16" i="1" s="1"/>
  <c r="W19" i="1" a="1"/>
  <c r="W19" i="1" s="1"/>
  <c r="W18" i="1" a="1"/>
  <c r="W18" i="1" s="1"/>
  <c r="W20" i="1" a="1"/>
  <c r="W20" i="1" s="1"/>
  <c r="W17" i="1" a="1"/>
  <c r="W17" i="1" s="1"/>
  <c r="X7" i="1"/>
  <c r="X6" i="1" s="1"/>
  <c r="D698" i="2" l="1"/>
  <c r="D700" i="2"/>
  <c r="D699" i="2"/>
  <c r="D702" i="2"/>
  <c r="D701" i="2"/>
  <c r="D697" i="2"/>
  <c r="X24" i="1" a="1"/>
  <c r="X24" i="1" s="1"/>
  <c r="X28" i="1" a="1"/>
  <c r="X28" i="1" s="1"/>
  <c r="X23" i="1" a="1"/>
  <c r="X23" i="1" s="1"/>
  <c r="X25" i="1" a="1"/>
  <c r="X25" i="1" s="1"/>
  <c r="X26" i="1" a="1"/>
  <c r="X26" i="1" s="1"/>
  <c r="X27" i="1" a="1"/>
  <c r="X27" i="1" s="1"/>
  <c r="X29" i="1" a="1"/>
  <c r="X29" i="1" s="1"/>
  <c r="X21" i="1" a="1"/>
  <c r="X21" i="1" s="1"/>
  <c r="X31" i="1" a="1"/>
  <c r="X31" i="1" s="1"/>
  <c r="X22" i="1" a="1"/>
  <c r="X22" i="1" s="1"/>
  <c r="X30" i="1" a="1"/>
  <c r="X30" i="1" s="1"/>
  <c r="X19" i="1" a="1"/>
  <c r="X19" i="1" s="1"/>
  <c r="X17" i="1" a="1"/>
  <c r="X17" i="1" s="1"/>
  <c r="X16" i="1" a="1"/>
  <c r="X16" i="1" s="1"/>
  <c r="X18" i="1" a="1"/>
  <c r="X18" i="1" s="1"/>
  <c r="X20" i="1" a="1"/>
  <c r="X20" i="1" s="1"/>
  <c r="Y7" i="1"/>
  <c r="Y6" i="1" s="1"/>
  <c r="Y21" i="1" l="1" a="1"/>
  <c r="Y21" i="1" s="1"/>
  <c r="Y22" i="1" a="1"/>
  <c r="Y22" i="1" s="1"/>
  <c r="Y24" i="1" a="1"/>
  <c r="Y24" i="1" s="1"/>
  <c r="Y28" i="1" a="1"/>
  <c r="Y28" i="1" s="1"/>
  <c r="Y25" i="1" a="1"/>
  <c r="Y25" i="1" s="1"/>
  <c r="Y27" i="1" a="1"/>
  <c r="Y27" i="1" s="1"/>
  <c r="Y31" i="1" a="1"/>
  <c r="Y31" i="1" s="1"/>
  <c r="Y29" i="1" a="1"/>
  <c r="Y29" i="1" s="1"/>
  <c r="Y30" i="1" a="1"/>
  <c r="Y30" i="1" s="1"/>
  <c r="Y26" i="1" a="1"/>
  <c r="Y26" i="1" s="1"/>
  <c r="Y23" i="1" a="1"/>
  <c r="Y23" i="1" s="1"/>
  <c r="Y16" i="1" a="1"/>
  <c r="Y16" i="1" s="1"/>
  <c r="Y17" i="1" a="1"/>
  <c r="Y17" i="1" s="1"/>
  <c r="Y19" i="1" a="1"/>
  <c r="Y19" i="1" s="1"/>
  <c r="Y18" i="1" a="1"/>
  <c r="Y18" i="1" s="1"/>
  <c r="Y20" i="1" a="1"/>
  <c r="Y20" i="1" s="1"/>
  <c r="Z7" i="1"/>
  <c r="Z6" i="1" s="1"/>
  <c r="Z23" i="1" l="1" a="1"/>
  <c r="Z23" i="1" s="1"/>
  <c r="Z27" i="1" a="1"/>
  <c r="Z27" i="1" s="1"/>
  <c r="Z21" i="1" a="1"/>
  <c r="Z21" i="1" s="1"/>
  <c r="Z22" i="1" a="1"/>
  <c r="Z22" i="1" s="1"/>
  <c r="Z26" i="1" a="1"/>
  <c r="Z26" i="1" s="1"/>
  <c r="Z28" i="1" a="1"/>
  <c r="Z28" i="1" s="1"/>
  <c r="Z24" i="1" a="1"/>
  <c r="Z24" i="1" s="1"/>
  <c r="Z29" i="1" a="1"/>
  <c r="Z29" i="1" s="1"/>
  <c r="Z30" i="1" a="1"/>
  <c r="Z30" i="1" s="1"/>
  <c r="Z25" i="1" a="1"/>
  <c r="Z25" i="1" s="1"/>
  <c r="Z31" i="1" a="1"/>
  <c r="Z31" i="1" s="1"/>
  <c r="Z18" i="1" a="1"/>
  <c r="Z18" i="1" s="1"/>
  <c r="Z20" i="1" a="1"/>
  <c r="Z20" i="1" s="1"/>
  <c r="Z16" i="1" a="1"/>
  <c r="Z16" i="1" s="1"/>
  <c r="Z17" i="1" a="1"/>
  <c r="Z17" i="1" s="1"/>
  <c r="Z19" i="1" a="1"/>
  <c r="Z19" i="1" s="1"/>
  <c r="AA7" i="1"/>
  <c r="AA6" i="1" s="1"/>
  <c r="AA24" i="1" l="1" a="1"/>
  <c r="AA24" i="1" s="1"/>
  <c r="AA23" i="1" a="1"/>
  <c r="AA23" i="1" s="1"/>
  <c r="AA25" i="1" a="1"/>
  <c r="AA25" i="1" s="1"/>
  <c r="AA21" i="1" a="1"/>
  <c r="AA21" i="1" s="1"/>
  <c r="AA22" i="1" a="1"/>
  <c r="AA22" i="1" s="1"/>
  <c r="AA26" i="1" a="1"/>
  <c r="AA26" i="1" s="1"/>
  <c r="AA27" i="1" a="1"/>
  <c r="AA27" i="1" s="1"/>
  <c r="AA29" i="1" a="1"/>
  <c r="AA29" i="1" s="1"/>
  <c r="AA30" i="1" a="1"/>
  <c r="AA30" i="1" s="1"/>
  <c r="AA28" i="1" a="1"/>
  <c r="AA28" i="1" s="1"/>
  <c r="AA31" i="1" a="1"/>
  <c r="AA31" i="1" s="1"/>
  <c r="AA16" i="1" a="1"/>
  <c r="AA16" i="1" s="1"/>
  <c r="AA18" i="1" a="1"/>
  <c r="AA18" i="1" s="1"/>
  <c r="AA20" i="1" a="1"/>
  <c r="AA20" i="1" s="1"/>
  <c r="AA17" i="1" a="1"/>
  <c r="AA17" i="1" s="1"/>
  <c r="AA19" i="1" a="1"/>
  <c r="AA19" i="1" s="1"/>
  <c r="AB7" i="1"/>
  <c r="AB6" i="1" s="1"/>
  <c r="D703" i="2" l="1"/>
  <c r="D707" i="2"/>
  <c r="D705" i="2"/>
  <c r="D706" i="2"/>
  <c r="D704" i="2"/>
  <c r="AB28" i="1" a="1"/>
  <c r="AB28" i="1" s="1"/>
  <c r="AB24" i="1" a="1"/>
  <c r="AB24" i="1" s="1"/>
  <c r="AB23" i="1" a="1"/>
  <c r="AB23" i="1" s="1"/>
  <c r="AB25" i="1" a="1"/>
  <c r="AB25" i="1" s="1"/>
  <c r="AB27" i="1" a="1"/>
  <c r="AB27" i="1" s="1"/>
  <c r="AB29" i="1" a="1"/>
  <c r="AB29" i="1" s="1"/>
  <c r="AB26" i="1" a="1"/>
  <c r="AB26" i="1" s="1"/>
  <c r="AB31" i="1" a="1"/>
  <c r="AB31" i="1" s="1"/>
  <c r="AB21" i="1" a="1"/>
  <c r="AB21" i="1" s="1"/>
  <c r="AB30" i="1" a="1"/>
  <c r="AB30" i="1" s="1"/>
  <c r="AB22" i="1" a="1"/>
  <c r="AB22" i="1" s="1"/>
  <c r="AB17" i="1" a="1"/>
  <c r="AB17" i="1" s="1"/>
  <c r="AB19" i="1" a="1"/>
  <c r="AB19" i="1" s="1"/>
  <c r="AB16" i="1" a="1"/>
  <c r="AB16" i="1" s="1"/>
  <c r="AB18" i="1" a="1"/>
  <c r="AB18" i="1" s="1"/>
  <c r="AB20" i="1" a="1"/>
  <c r="AB20" i="1" s="1"/>
  <c r="AC7" i="1"/>
  <c r="AC6" i="1" s="1"/>
  <c r="D711" i="2" l="1"/>
  <c r="D708" i="2"/>
  <c r="D709" i="2"/>
  <c r="D710" i="2"/>
  <c r="AC22" i="1" a="1"/>
  <c r="AC22" i="1" s="1"/>
  <c r="AC26" i="1" a="1"/>
  <c r="AC26" i="1" s="1"/>
  <c r="AC27" i="1" a="1"/>
  <c r="AC27" i="1" s="1"/>
  <c r="AC21" i="1" a="1"/>
  <c r="AC21" i="1" s="1"/>
  <c r="AC28" i="1" a="1"/>
  <c r="AC28" i="1" s="1"/>
  <c r="AC24" i="1" a="1"/>
  <c r="AC24" i="1" s="1"/>
  <c r="AC23" i="1" a="1"/>
  <c r="AC23" i="1" s="1"/>
  <c r="AC31" i="1" a="1"/>
  <c r="AC31" i="1" s="1"/>
  <c r="AC30" i="1" a="1"/>
  <c r="AC30" i="1" s="1"/>
  <c r="AC25" i="1" a="1"/>
  <c r="AC25" i="1" s="1"/>
  <c r="AC29" i="1" a="1"/>
  <c r="AC29" i="1" s="1"/>
  <c r="AC16" i="1" a="1"/>
  <c r="AC16" i="1" s="1"/>
  <c r="AC18" i="1" a="1"/>
  <c r="AC18" i="1" s="1"/>
  <c r="AC20" i="1" a="1"/>
  <c r="AC20" i="1" s="1"/>
  <c r="AC17" i="1" a="1"/>
  <c r="AC17" i="1" s="1"/>
  <c r="AC19" i="1" a="1"/>
  <c r="AC19" i="1" s="1"/>
  <c r="AD7" i="1"/>
  <c r="AD6" i="1" s="1"/>
  <c r="D717" i="2" l="1"/>
  <c r="D713" i="2"/>
  <c r="D712" i="2"/>
  <c r="D716" i="2"/>
  <c r="D714" i="2"/>
  <c r="D715" i="2"/>
  <c r="AD23" i="1" a="1"/>
  <c r="AD23" i="1" s="1"/>
  <c r="AD25" i="1" a="1"/>
  <c r="AD25" i="1" s="1"/>
  <c r="AD22" i="1" a="1"/>
  <c r="AD22" i="1" s="1"/>
  <c r="AD27" i="1" a="1"/>
  <c r="AD27" i="1" s="1"/>
  <c r="AD21" i="1" a="1"/>
  <c r="AD21" i="1" s="1"/>
  <c r="AD26" i="1" a="1"/>
  <c r="AD26" i="1" s="1"/>
  <c r="AD28" i="1" a="1"/>
  <c r="AD28" i="1" s="1"/>
  <c r="AD30" i="1" a="1"/>
  <c r="AD30" i="1" s="1"/>
  <c r="AD24" i="1" a="1"/>
  <c r="AD24" i="1" s="1"/>
  <c r="AD29" i="1" a="1"/>
  <c r="AD29" i="1" s="1"/>
  <c r="AD31" i="1" a="1"/>
  <c r="AD31" i="1" s="1"/>
  <c r="AD16" i="1" a="1"/>
  <c r="AD16" i="1" s="1"/>
  <c r="AD18" i="1" a="1"/>
  <c r="AD18" i="1" s="1"/>
  <c r="AD20" i="1" a="1"/>
  <c r="AD20" i="1" s="1"/>
  <c r="AD17" i="1" a="1"/>
  <c r="AD17" i="1" s="1"/>
  <c r="AD19" i="1" a="1"/>
  <c r="AD19" i="1" s="1"/>
  <c r="AE7" i="1"/>
  <c r="AE6" i="1" s="1"/>
  <c r="D726" i="2" l="1"/>
  <c r="D727" i="2"/>
  <c r="D719" i="2"/>
  <c r="D723" i="2"/>
  <c r="D721" i="2"/>
  <c r="D724" i="2"/>
  <c r="D722" i="2"/>
  <c r="D725" i="2"/>
  <c r="D718" i="2"/>
  <c r="D720" i="2"/>
  <c r="AE24" i="1" a="1"/>
  <c r="AE24" i="1" s="1"/>
  <c r="AE23" i="1" a="1"/>
  <c r="AE23" i="1" s="1"/>
  <c r="AE25" i="1" a="1"/>
  <c r="AE25" i="1" s="1"/>
  <c r="AE22" i="1" a="1"/>
  <c r="AE22" i="1" s="1"/>
  <c r="AE29" i="1" a="1"/>
  <c r="AE29" i="1" s="1"/>
  <c r="AE26" i="1" a="1"/>
  <c r="AE26" i="1" s="1"/>
  <c r="AE30" i="1" a="1"/>
  <c r="AE30" i="1" s="1"/>
  <c r="AE28" i="1" a="1"/>
  <c r="AE28" i="1" s="1"/>
  <c r="AE27" i="1" a="1"/>
  <c r="AE27" i="1" s="1"/>
  <c r="AE31" i="1" a="1"/>
  <c r="AE31" i="1" s="1"/>
  <c r="AE21" i="1" a="1"/>
  <c r="AE21" i="1" s="1"/>
  <c r="AE16" i="1" a="1"/>
  <c r="AE16" i="1" s="1"/>
  <c r="AE18" i="1" a="1"/>
  <c r="AE18" i="1" s="1"/>
  <c r="AE20" i="1" a="1"/>
  <c r="AE20" i="1" s="1"/>
  <c r="AE17" i="1" a="1"/>
  <c r="AE17" i="1" s="1"/>
  <c r="AE19" i="1" a="1"/>
  <c r="AE19" i="1" s="1"/>
  <c r="AF7" i="1"/>
  <c r="AF6" i="1" s="1"/>
  <c r="AF21" i="1" l="1" a="1"/>
  <c r="AF21" i="1" s="1"/>
  <c r="AF26" i="1" a="1"/>
  <c r="AF26" i="1" s="1"/>
  <c r="AF27" i="1" a="1"/>
  <c r="AF27" i="1" s="1"/>
  <c r="AF24" i="1" a="1"/>
  <c r="AF24" i="1" s="1"/>
  <c r="AF28" i="1" a="1"/>
  <c r="AF28" i="1" s="1"/>
  <c r="AF23" i="1" a="1"/>
  <c r="AF23" i="1" s="1"/>
  <c r="AF25" i="1" a="1"/>
  <c r="AF25" i="1" s="1"/>
  <c r="AF22" i="1" a="1"/>
  <c r="AF22" i="1" s="1"/>
  <c r="AF29" i="1" a="1"/>
  <c r="AF29" i="1" s="1"/>
  <c r="AF31" i="1" a="1"/>
  <c r="AF31" i="1" s="1"/>
  <c r="AF30" i="1" a="1"/>
  <c r="AF30" i="1" s="1"/>
  <c r="AF16" i="1" a="1"/>
  <c r="AF16" i="1" s="1"/>
  <c r="AF17" i="1" a="1"/>
  <c r="AF17" i="1" s="1"/>
  <c r="AF19" i="1" a="1"/>
  <c r="AF19" i="1" s="1"/>
  <c r="AF18" i="1" a="1"/>
  <c r="AF18" i="1" s="1"/>
  <c r="AF20" i="1" a="1"/>
  <c r="AF20" i="1" s="1"/>
  <c r="AG7" i="1"/>
  <c r="AG6" i="1" s="1"/>
  <c r="AG22" i="1" l="1" a="1"/>
  <c r="AG22" i="1" s="1"/>
  <c r="AG21" i="1" a="1"/>
  <c r="AG21" i="1" s="1"/>
  <c r="AG26" i="1" a="1"/>
  <c r="AG26" i="1" s="1"/>
  <c r="AG27" i="1" a="1"/>
  <c r="AG27" i="1" s="1"/>
  <c r="AG24" i="1" a="1"/>
  <c r="AG24" i="1" s="1"/>
  <c r="AG28" i="1" a="1"/>
  <c r="AG28" i="1" s="1"/>
  <c r="AG31" i="1" a="1"/>
  <c r="AG31" i="1" s="1"/>
  <c r="AG23" i="1" a="1"/>
  <c r="AG23" i="1" s="1"/>
  <c r="AG25" i="1" a="1"/>
  <c r="AG25" i="1" s="1"/>
  <c r="AG30" i="1" a="1"/>
  <c r="AG30" i="1" s="1"/>
  <c r="AG29" i="1" a="1"/>
  <c r="AG29" i="1" s="1"/>
  <c r="AG17" i="1" a="1"/>
  <c r="AG17" i="1" s="1"/>
  <c r="AG19" i="1" a="1"/>
  <c r="AG19" i="1" s="1"/>
  <c r="AG16" i="1" a="1"/>
  <c r="AG16" i="1" s="1"/>
  <c r="AG18" i="1" a="1"/>
  <c r="AG18" i="1" s="1"/>
  <c r="AG20" i="1" a="1"/>
  <c r="AG20" i="1" s="1"/>
  <c r="A20" i="1" l="1" a="1"/>
  <c r="A20" i="1" s="1"/>
  <c r="AH20" i="1"/>
  <c r="A17" i="1" a="1"/>
  <c r="A17" i="1" s="1"/>
  <c r="AH17" i="1"/>
  <c r="A23" i="1" a="1"/>
  <c r="A23" i="1" s="1"/>
  <c r="AH23" i="1"/>
  <c r="A27" i="1" a="1"/>
  <c r="A27" i="1" s="1"/>
  <c r="AH27" i="1"/>
  <c r="A18" i="1" a="1"/>
  <c r="A18" i="1" s="1"/>
  <c r="AH18" i="1"/>
  <c r="A29" i="1" a="1"/>
  <c r="A29" i="1" s="1"/>
  <c r="AH29" i="1"/>
  <c r="A31" i="1" a="1"/>
  <c r="A31" i="1" s="1"/>
  <c r="AH31" i="1"/>
  <c r="A26" i="1" a="1"/>
  <c r="A26" i="1" s="1"/>
  <c r="AH26" i="1"/>
  <c r="A16" i="1" a="1"/>
  <c r="A16" i="1" s="1"/>
  <c r="AH16" i="1"/>
  <c r="A30" i="1" a="1"/>
  <c r="A30" i="1" s="1"/>
  <c r="AH30" i="1"/>
  <c r="A28" i="1" a="1"/>
  <c r="A28" i="1" s="1"/>
  <c r="AH28" i="1"/>
  <c r="A21" i="1" a="1"/>
  <c r="A21" i="1" s="1"/>
  <c r="AH21" i="1"/>
  <c r="A19" i="1" a="1"/>
  <c r="A19" i="1" s="1"/>
  <c r="AH19" i="1"/>
  <c r="A25" i="1" a="1"/>
  <c r="A25" i="1" s="1"/>
  <c r="AH25" i="1"/>
  <c r="A24" i="1" a="1"/>
  <c r="A24" i="1" s="1"/>
  <c r="AH24" i="1"/>
  <c r="A22" i="1" a="1"/>
  <c r="A22" i="1" s="1"/>
  <c r="AH22" i="1"/>
  <c r="E3" i="8"/>
  <c r="G10" i="5" s="1" a="1"/>
  <c r="G10" i="5" s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G11" i="5" s="1" a="1"/>
  <c r="G11" i="5" s="1"/>
  <c r="E20" i="8"/>
  <c r="E21" i="8"/>
  <c r="Q1" i="8"/>
  <c r="F1" i="8"/>
  <c r="BS20" i="1"/>
  <c r="BR20" i="1"/>
  <c r="BS19" i="1"/>
  <c r="BR19" i="1"/>
  <c r="BS18" i="1"/>
  <c r="BR18" i="1"/>
  <c r="BS17" i="1"/>
  <c r="BR17" i="1"/>
  <c r="BS16" i="1"/>
  <c r="BR16" i="1"/>
  <c r="BS15" i="1"/>
  <c r="BR15" i="1"/>
  <c r="BS14" i="1"/>
  <c r="BR14" i="1"/>
  <c r="BS13" i="1"/>
  <c r="BR13" i="1"/>
  <c r="BS12" i="1"/>
  <c r="BR12" i="1"/>
  <c r="BS11" i="1"/>
  <c r="BR11" i="1"/>
  <c r="BS10" i="1"/>
  <c r="BR10" i="1"/>
  <c r="BS9" i="1"/>
  <c r="BR9" i="1"/>
  <c r="BS8" i="1"/>
  <c r="BR8" i="1"/>
  <c r="G24" i="5" l="1" a="1"/>
  <c r="G24" i="5" s="1"/>
  <c r="G25" i="5" a="1"/>
  <c r="G25" i="5" s="1"/>
  <c r="G26" i="5" a="1"/>
  <c r="G26" i="5" s="1"/>
  <c r="G27" i="5" a="1"/>
  <c r="G27" i="5" s="1"/>
  <c r="G28" i="5" a="1"/>
  <c r="G28" i="5" s="1"/>
  <c r="AI19" i="1"/>
  <c r="AI16" i="1"/>
  <c r="AI20" i="1"/>
  <c r="AI18" i="1"/>
  <c r="AI23" i="1"/>
  <c r="AI28" i="1"/>
  <c r="AI24" i="1"/>
  <c r="AI31" i="1"/>
  <c r="AI25" i="1"/>
  <c r="AI30" i="1"/>
  <c r="AI21" i="1"/>
  <c r="AI27" i="1"/>
  <c r="AI17" i="1"/>
  <c r="AI26" i="1"/>
  <c r="AI22" i="1"/>
  <c r="AI29" i="1"/>
  <c r="K8" i="5"/>
  <c r="C15" i="1" a="1"/>
  <c r="C15" i="1" s="1"/>
  <c r="D15" i="1" a="1"/>
  <c r="D15" i="1" s="1"/>
  <c r="E15" i="1" a="1"/>
  <c r="E15" i="1" s="1"/>
  <c r="D833" i="2" s="1"/>
  <c r="F15" i="1" a="1"/>
  <c r="F15" i="1" s="1"/>
  <c r="G15" i="1" a="1"/>
  <c r="G15" i="1" s="1"/>
  <c r="H15" i="1" a="1"/>
  <c r="H15" i="1" s="1"/>
  <c r="I15" i="1" a="1"/>
  <c r="I15" i="1" s="1"/>
  <c r="J15" i="1" a="1"/>
  <c r="J15" i="1" s="1"/>
  <c r="K15" i="1" a="1"/>
  <c r="K15" i="1" s="1"/>
  <c r="L15" i="1" a="1"/>
  <c r="L15" i="1" s="1"/>
  <c r="M15" i="1" a="1"/>
  <c r="M15" i="1" s="1"/>
  <c r="N15" i="1" a="1"/>
  <c r="N15" i="1" s="1"/>
  <c r="O15" i="1" a="1"/>
  <c r="O15" i="1" s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D834" i="2" s="1"/>
  <c r="U15" i="1" a="1"/>
  <c r="U15" i="1" s="1"/>
  <c r="D835" i="2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AA15" i="1" a="1"/>
  <c r="AA15" i="1" s="1"/>
  <c r="AB15" i="1" a="1"/>
  <c r="AB15" i="1" s="1"/>
  <c r="AC15" i="1" a="1"/>
  <c r="AC15" i="1" s="1"/>
  <c r="AD15" i="1" a="1"/>
  <c r="AD15" i="1" s="1"/>
  <c r="AE15" i="1" a="1"/>
  <c r="AE15" i="1" s="1"/>
  <c r="AF15" i="1" a="1"/>
  <c r="AF15" i="1" s="1"/>
  <c r="AG15" i="1" a="1"/>
  <c r="AG15" i="1" s="1"/>
  <c r="G8" i="5" a="1"/>
  <c r="G8" i="5" s="1"/>
  <c r="C14" i="1" a="1"/>
  <c r="C14" i="1" s="1"/>
  <c r="D14" i="1" a="1"/>
  <c r="D14" i="1" s="1"/>
  <c r="E14" i="1" a="1"/>
  <c r="E14" i="1" s="1"/>
  <c r="F14" i="1" a="1"/>
  <c r="F14" i="1" s="1"/>
  <c r="G14" i="1" a="1"/>
  <c r="G14" i="1" s="1"/>
  <c r="H14" i="1" a="1"/>
  <c r="H14" i="1" s="1"/>
  <c r="I14" i="1" a="1"/>
  <c r="I14" i="1" s="1"/>
  <c r="J14" i="1" a="1"/>
  <c r="J14" i="1" s="1"/>
  <c r="K14" i="1" a="1"/>
  <c r="K14" i="1" s="1"/>
  <c r="L14" i="1" a="1"/>
  <c r="L14" i="1" s="1"/>
  <c r="M14" i="1" a="1"/>
  <c r="M14" i="1" s="1"/>
  <c r="N14" i="1" a="1"/>
  <c r="N14" i="1" s="1"/>
  <c r="O14" i="1" a="1"/>
  <c r="O14" i="1" s="1"/>
  <c r="P14" i="1" a="1"/>
  <c r="P14" i="1" s="1"/>
  <c r="Q14" i="1" a="1"/>
  <c r="Q14" i="1" s="1"/>
  <c r="R14" i="1" a="1"/>
  <c r="R14" i="1" s="1"/>
  <c r="S14" i="1" a="1"/>
  <c r="S14" i="1" s="1"/>
  <c r="T14" i="1" a="1"/>
  <c r="T14" i="1" s="1"/>
  <c r="U14" i="1" a="1"/>
  <c r="U14" i="1" s="1"/>
  <c r="V14" i="1" a="1"/>
  <c r="V14" i="1" s="1"/>
  <c r="W14" i="1" a="1"/>
  <c r="W14" i="1" s="1"/>
  <c r="X14" i="1" a="1"/>
  <c r="X14" i="1" s="1"/>
  <c r="Y14" i="1" a="1"/>
  <c r="Y14" i="1" s="1"/>
  <c r="Z14" i="1" a="1"/>
  <c r="Z14" i="1" s="1"/>
  <c r="AA14" i="1" a="1"/>
  <c r="AA14" i="1" s="1"/>
  <c r="AB14" i="1" a="1"/>
  <c r="AB14" i="1" s="1"/>
  <c r="AC14" i="1" a="1"/>
  <c r="AC14" i="1" s="1"/>
  <c r="AD14" i="1" a="1"/>
  <c r="AD14" i="1" s="1"/>
  <c r="AE14" i="1" a="1"/>
  <c r="AE14" i="1" s="1"/>
  <c r="AF14" i="1" a="1"/>
  <c r="AF14" i="1" s="1"/>
  <c r="AG14" i="1" a="1"/>
  <c r="AG14" i="1" s="1"/>
  <c r="H8" i="5" a="1"/>
  <c r="H8" i="5" s="1"/>
  <c r="R8" i="5" s="1"/>
  <c r="D8" i="5"/>
  <c r="C13" i="1" a="1"/>
  <c r="C13" i="1" s="1"/>
  <c r="D13" i="1" a="1"/>
  <c r="D13" i="1" s="1"/>
  <c r="E13" i="1" a="1"/>
  <c r="E13" i="1" s="1"/>
  <c r="F13" i="1" a="1"/>
  <c r="F13" i="1" s="1"/>
  <c r="G13" i="1" a="1"/>
  <c r="G13" i="1" s="1"/>
  <c r="H13" i="1" a="1"/>
  <c r="H13" i="1" s="1"/>
  <c r="I13" i="1" a="1"/>
  <c r="I13" i="1" s="1"/>
  <c r="J13" i="1" a="1"/>
  <c r="J13" i="1" s="1"/>
  <c r="K13" i="1" a="1"/>
  <c r="K13" i="1" s="1"/>
  <c r="L13" i="1" a="1"/>
  <c r="L13" i="1" s="1"/>
  <c r="M13" i="1" a="1"/>
  <c r="M13" i="1" s="1"/>
  <c r="N13" i="1" a="1"/>
  <c r="N13" i="1" s="1"/>
  <c r="O13" i="1" a="1"/>
  <c r="O13" i="1" s="1"/>
  <c r="P13" i="1" a="1"/>
  <c r="P13" i="1" s="1"/>
  <c r="Q13" i="1" a="1"/>
  <c r="Q13" i="1" s="1"/>
  <c r="R13" i="1" a="1"/>
  <c r="R13" i="1" s="1"/>
  <c r="S13" i="1" a="1"/>
  <c r="S13" i="1" s="1"/>
  <c r="T13" i="1" a="1"/>
  <c r="T13" i="1" s="1"/>
  <c r="U13" i="1" a="1"/>
  <c r="U13" i="1" s="1"/>
  <c r="V13" i="1" a="1"/>
  <c r="V13" i="1" s="1"/>
  <c r="W13" i="1" a="1"/>
  <c r="W13" i="1" s="1"/>
  <c r="X13" i="1" a="1"/>
  <c r="X13" i="1" s="1"/>
  <c r="Y13" i="1" a="1"/>
  <c r="Y13" i="1" s="1"/>
  <c r="Z13" i="1" a="1"/>
  <c r="Z13" i="1" s="1"/>
  <c r="AA13" i="1" a="1"/>
  <c r="AA13" i="1" s="1"/>
  <c r="AB13" i="1" a="1"/>
  <c r="AB13" i="1" s="1"/>
  <c r="AC13" i="1" a="1"/>
  <c r="AC13" i="1" s="1"/>
  <c r="AD13" i="1" a="1"/>
  <c r="AD13" i="1" s="1"/>
  <c r="AE13" i="1" a="1"/>
  <c r="AE13" i="1" s="1"/>
  <c r="AF13" i="1" a="1"/>
  <c r="AF13" i="1" s="1"/>
  <c r="AG13" i="1" a="1"/>
  <c r="AG13" i="1" s="1"/>
  <c r="C12" i="1" a="1"/>
  <c r="C12" i="1" s="1"/>
  <c r="E12" i="1" a="1"/>
  <c r="E12" i="1" s="1"/>
  <c r="D12" i="1" a="1"/>
  <c r="D12" i="1" s="1"/>
  <c r="F12" i="1" a="1"/>
  <c r="F12" i="1" s="1"/>
  <c r="G12" i="1" a="1"/>
  <c r="G12" i="1" s="1"/>
  <c r="H12" i="1" a="1"/>
  <c r="H12" i="1" s="1"/>
  <c r="I12" i="1" a="1"/>
  <c r="I12" i="1" s="1"/>
  <c r="J12" i="1" a="1"/>
  <c r="J12" i="1" s="1"/>
  <c r="K12" i="1" a="1"/>
  <c r="K12" i="1" s="1"/>
  <c r="L12" i="1" a="1"/>
  <c r="L12" i="1" s="1"/>
  <c r="M12" i="1" a="1"/>
  <c r="M12" i="1" s="1"/>
  <c r="N12" i="1" a="1"/>
  <c r="N12" i="1" s="1"/>
  <c r="O12" i="1" a="1"/>
  <c r="O12" i="1" s="1"/>
  <c r="P12" i="1" a="1"/>
  <c r="P12" i="1" s="1"/>
  <c r="Q12" i="1" a="1"/>
  <c r="Q12" i="1" s="1"/>
  <c r="R12" i="1" a="1"/>
  <c r="R12" i="1" s="1"/>
  <c r="S12" i="1" a="1"/>
  <c r="S12" i="1" s="1"/>
  <c r="T12" i="1" a="1"/>
  <c r="T12" i="1" s="1"/>
  <c r="U12" i="1" a="1"/>
  <c r="U12" i="1" s="1"/>
  <c r="V12" i="1" a="1"/>
  <c r="V12" i="1" s="1"/>
  <c r="W12" i="1" a="1"/>
  <c r="W12" i="1" s="1"/>
  <c r="X12" i="1" a="1"/>
  <c r="X12" i="1" s="1"/>
  <c r="Y12" i="1" a="1"/>
  <c r="Y12" i="1" s="1"/>
  <c r="Z12" i="1" a="1"/>
  <c r="Z12" i="1" s="1"/>
  <c r="AA12" i="1" a="1"/>
  <c r="AA12" i="1" s="1"/>
  <c r="AB12" i="1" a="1"/>
  <c r="AB12" i="1" s="1"/>
  <c r="AC12" i="1" a="1"/>
  <c r="AC12" i="1" s="1"/>
  <c r="AD12" i="1" a="1"/>
  <c r="AD12" i="1" s="1"/>
  <c r="AE12" i="1" a="1"/>
  <c r="AE12" i="1" s="1"/>
  <c r="AF12" i="1" a="1"/>
  <c r="AF12" i="1" s="1"/>
  <c r="AG12" i="1" a="1"/>
  <c r="AG12" i="1" s="1"/>
  <c r="C9" i="1" a="1"/>
  <c r="C9" i="1" s="1"/>
  <c r="C10" i="1" a="1"/>
  <c r="C10" i="1" s="1"/>
  <c r="C11" i="1" a="1"/>
  <c r="C11" i="1" s="1"/>
  <c r="D9" i="1" a="1"/>
  <c r="D9" i="1" s="1"/>
  <c r="D10" i="1" a="1"/>
  <c r="D10" i="1" s="1"/>
  <c r="D11" i="1" a="1"/>
  <c r="D11" i="1" s="1"/>
  <c r="E10" i="1" a="1"/>
  <c r="E10" i="1" s="1"/>
  <c r="E11" i="1" a="1"/>
  <c r="E11" i="1" s="1"/>
  <c r="E9" i="1" a="1"/>
  <c r="E9" i="1" s="1"/>
  <c r="F9" i="1" a="1"/>
  <c r="F9" i="1" s="1"/>
  <c r="F11" i="1" a="1"/>
  <c r="F11" i="1" s="1"/>
  <c r="F10" i="1" a="1"/>
  <c r="F10" i="1" s="1"/>
  <c r="G10" i="1" a="1"/>
  <c r="G10" i="1" s="1"/>
  <c r="G11" i="1" a="1"/>
  <c r="G11" i="1" s="1"/>
  <c r="G9" i="1" a="1"/>
  <c r="G9" i="1" s="1"/>
  <c r="H10" i="1" a="1"/>
  <c r="H10" i="1" s="1"/>
  <c r="H9" i="1" a="1"/>
  <c r="H9" i="1" s="1"/>
  <c r="H11" i="1" a="1"/>
  <c r="H11" i="1" s="1"/>
  <c r="I9" i="1" a="1"/>
  <c r="I9" i="1" s="1"/>
  <c r="I11" i="1" a="1"/>
  <c r="I11" i="1" s="1"/>
  <c r="I10" i="1" a="1"/>
  <c r="I10" i="1" s="1"/>
  <c r="J9" i="1" a="1"/>
  <c r="J9" i="1" s="1"/>
  <c r="J10" i="1" a="1"/>
  <c r="J10" i="1" s="1"/>
  <c r="J11" i="1" a="1"/>
  <c r="J11" i="1" s="1"/>
  <c r="K10" i="1" a="1"/>
  <c r="K10" i="1" s="1"/>
  <c r="K9" i="1" a="1"/>
  <c r="K9" i="1" s="1"/>
  <c r="K11" i="1" a="1"/>
  <c r="K11" i="1" s="1"/>
  <c r="L9" i="1" a="1"/>
  <c r="L9" i="1" s="1"/>
  <c r="L10" i="1" a="1"/>
  <c r="L10" i="1" s="1"/>
  <c r="L11" i="1" a="1"/>
  <c r="L11" i="1" s="1"/>
  <c r="M9" i="1" a="1"/>
  <c r="M9" i="1" s="1"/>
  <c r="M11" i="1" a="1"/>
  <c r="M11" i="1" s="1"/>
  <c r="M10" i="1" a="1"/>
  <c r="M10" i="1" s="1"/>
  <c r="N11" i="1" a="1"/>
  <c r="N11" i="1" s="1"/>
  <c r="N10" i="1" a="1"/>
  <c r="N10" i="1" s="1"/>
  <c r="N9" i="1" a="1"/>
  <c r="N9" i="1" s="1"/>
  <c r="O10" i="1" a="1"/>
  <c r="O10" i="1" s="1"/>
  <c r="O9" i="1" a="1"/>
  <c r="O9" i="1" s="1"/>
  <c r="O11" i="1" a="1"/>
  <c r="O11" i="1" s="1"/>
  <c r="P11" i="1" a="1"/>
  <c r="P11" i="1" s="1"/>
  <c r="P9" i="1" a="1"/>
  <c r="P9" i="1" s="1"/>
  <c r="P10" i="1" a="1"/>
  <c r="P10" i="1" s="1"/>
  <c r="Q10" i="1" a="1"/>
  <c r="Q10" i="1" s="1"/>
  <c r="Q11" i="1" a="1"/>
  <c r="Q11" i="1" s="1"/>
  <c r="Q9" i="1" a="1"/>
  <c r="Q9" i="1" s="1"/>
  <c r="R11" i="1" a="1"/>
  <c r="R11" i="1" s="1"/>
  <c r="R10" i="1" a="1"/>
  <c r="R10" i="1" s="1"/>
  <c r="R9" i="1" a="1"/>
  <c r="R9" i="1" s="1"/>
  <c r="S9" i="1" a="1"/>
  <c r="S9" i="1" s="1"/>
  <c r="S11" i="1" a="1"/>
  <c r="S11" i="1" s="1"/>
  <c r="S10" i="1" a="1"/>
  <c r="S10" i="1" s="1"/>
  <c r="T10" i="1" a="1"/>
  <c r="T10" i="1" s="1"/>
  <c r="T9" i="1" a="1"/>
  <c r="T9" i="1" s="1"/>
  <c r="T11" i="1" a="1"/>
  <c r="T11" i="1" s="1"/>
  <c r="U10" i="1" a="1"/>
  <c r="U10" i="1" s="1"/>
  <c r="U11" i="1" a="1"/>
  <c r="U11" i="1" s="1"/>
  <c r="U9" i="1" a="1"/>
  <c r="U9" i="1" s="1"/>
  <c r="V9" i="1" a="1"/>
  <c r="V9" i="1" s="1"/>
  <c r="V10" i="1" a="1"/>
  <c r="V10" i="1" s="1"/>
  <c r="V11" i="1" a="1"/>
  <c r="V11" i="1" s="1"/>
  <c r="W10" i="1" a="1"/>
  <c r="W10" i="1" s="1"/>
  <c r="W11" i="1" a="1"/>
  <c r="W11" i="1" s="1"/>
  <c r="W9" i="1" a="1"/>
  <c r="W9" i="1" s="1"/>
  <c r="X10" i="1" a="1"/>
  <c r="X10" i="1" s="1"/>
  <c r="X9" i="1" a="1"/>
  <c r="X9" i="1" s="1"/>
  <c r="X11" i="1" a="1"/>
  <c r="X11" i="1" s="1"/>
  <c r="Y9" i="1" a="1"/>
  <c r="Y9" i="1" s="1"/>
  <c r="Y11" i="1" a="1"/>
  <c r="Y11" i="1" s="1"/>
  <c r="Y10" i="1" a="1"/>
  <c r="Y10" i="1" s="1"/>
  <c r="Z9" i="1" a="1"/>
  <c r="Z9" i="1" s="1"/>
  <c r="Z10" i="1" a="1"/>
  <c r="Z10" i="1" s="1"/>
  <c r="Z11" i="1" a="1"/>
  <c r="Z11" i="1" s="1"/>
  <c r="AA9" i="1" a="1"/>
  <c r="AA9" i="1" s="1"/>
  <c r="AA11" i="1" a="1"/>
  <c r="AA11" i="1" s="1"/>
  <c r="AA10" i="1" a="1"/>
  <c r="AA10" i="1" s="1"/>
  <c r="AB10" i="1" a="1"/>
  <c r="AB10" i="1" s="1"/>
  <c r="AB11" i="1" a="1"/>
  <c r="AB11" i="1" s="1"/>
  <c r="AB9" i="1" a="1"/>
  <c r="AB9" i="1" s="1"/>
  <c r="AC9" i="1" a="1"/>
  <c r="AC9" i="1" s="1"/>
  <c r="AC11" i="1" a="1"/>
  <c r="AC11" i="1" s="1"/>
  <c r="AC10" i="1" a="1"/>
  <c r="AC10" i="1" s="1"/>
  <c r="AD11" i="1" a="1"/>
  <c r="AD11" i="1" s="1"/>
  <c r="AD10" i="1" a="1"/>
  <c r="AD10" i="1" s="1"/>
  <c r="AD9" i="1" a="1"/>
  <c r="AD9" i="1" s="1"/>
  <c r="AE10" i="1" a="1"/>
  <c r="AE10" i="1" s="1"/>
  <c r="AE9" i="1" a="1"/>
  <c r="AE9" i="1" s="1"/>
  <c r="AE11" i="1" a="1"/>
  <c r="AE11" i="1" s="1"/>
  <c r="AF9" i="1" a="1"/>
  <c r="AF9" i="1" s="1"/>
  <c r="AF10" i="1" a="1"/>
  <c r="AF10" i="1" s="1"/>
  <c r="AF11" i="1" a="1"/>
  <c r="AF11" i="1" s="1"/>
  <c r="AG10" i="1" a="1"/>
  <c r="AG10" i="1" s="1"/>
  <c r="AG11" i="1" a="1"/>
  <c r="AG11" i="1" s="1"/>
  <c r="AG9" i="1" a="1"/>
  <c r="AG9" i="1" s="1"/>
  <c r="D842" i="2" l="1"/>
  <c r="D852" i="2"/>
  <c r="D841" i="2"/>
  <c r="D850" i="2"/>
  <c r="D837" i="2"/>
  <c r="D838" i="2"/>
  <c r="D844" i="2"/>
  <c r="D851" i="2"/>
  <c r="D845" i="2"/>
  <c r="D839" i="2"/>
  <c r="D846" i="2"/>
  <c r="D847" i="2"/>
  <c r="D848" i="2"/>
  <c r="D840" i="2"/>
  <c r="D849" i="2"/>
  <c r="D836" i="2"/>
  <c r="D843" i="2"/>
  <c r="D739" i="2"/>
  <c r="D746" i="2"/>
  <c r="D741" i="2"/>
  <c r="D742" i="2"/>
  <c r="D748" i="2"/>
  <c r="D755" i="2"/>
  <c r="D757" i="2"/>
  <c r="D758" i="2"/>
  <c r="D749" i="2"/>
  <c r="D750" i="2"/>
  <c r="D754" i="2"/>
  <c r="D751" i="2"/>
  <c r="D752" i="2"/>
  <c r="D737" i="2"/>
  <c r="D744" i="2"/>
  <c r="D753" i="2"/>
  <c r="D743" i="2"/>
  <c r="D740" i="2"/>
  <c r="D745" i="2"/>
  <c r="D747" i="2"/>
  <c r="D756" i="2"/>
  <c r="D738" i="2"/>
  <c r="D732" i="2"/>
  <c r="D733" i="2"/>
  <c r="D734" i="2"/>
  <c r="D735" i="2"/>
  <c r="D736" i="2"/>
  <c r="D802" i="2"/>
  <c r="D818" i="2"/>
  <c r="D789" i="2"/>
  <c r="D790" i="2"/>
  <c r="D795" i="2"/>
  <c r="D796" i="2"/>
  <c r="D803" i="2"/>
  <c r="D805" i="2"/>
  <c r="D806" i="2"/>
  <c r="D812" i="2"/>
  <c r="D797" i="2"/>
  <c r="D810" i="2"/>
  <c r="D808" i="2"/>
  <c r="D813" i="2"/>
  <c r="D798" i="2"/>
  <c r="D791" i="2"/>
  <c r="D814" i="2"/>
  <c r="D799" i="2"/>
  <c r="D809" i="2"/>
  <c r="D815" i="2"/>
  <c r="D800" i="2"/>
  <c r="D792" i="2"/>
  <c r="D816" i="2"/>
  <c r="D801" i="2"/>
  <c r="D794" i="2"/>
  <c r="D817" i="2"/>
  <c r="D811" i="2"/>
  <c r="D807" i="2"/>
  <c r="D793" i="2"/>
  <c r="D804" i="2"/>
  <c r="D731" i="2"/>
  <c r="D728" i="2"/>
  <c r="D730" i="2"/>
  <c r="D729" i="2"/>
  <c r="D827" i="2"/>
  <c r="D828" i="2"/>
  <c r="D829" i="2"/>
  <c r="D830" i="2"/>
  <c r="D831" i="2"/>
  <c r="D832" i="2"/>
  <c r="D770" i="2"/>
  <c r="D778" i="2"/>
  <c r="D786" i="2"/>
  <c r="D762" i="2"/>
  <c r="D764" i="2"/>
  <c r="D771" i="2"/>
  <c r="D773" i="2"/>
  <c r="D774" i="2"/>
  <c r="D780" i="2"/>
  <c r="D765" i="2"/>
  <c r="D787" i="2"/>
  <c r="D781" i="2"/>
  <c r="D766" i="2"/>
  <c r="D779" i="2"/>
  <c r="D761" i="2"/>
  <c r="D782" i="2"/>
  <c r="D767" i="2"/>
  <c r="D783" i="2"/>
  <c r="D768" i="2"/>
  <c r="D760" i="2"/>
  <c r="D784" i="2"/>
  <c r="D769" i="2"/>
  <c r="D759" i="2"/>
  <c r="D776" i="2"/>
  <c r="D785" i="2"/>
  <c r="D775" i="2"/>
  <c r="D772" i="2"/>
  <c r="D777" i="2"/>
  <c r="D788" i="2"/>
  <c r="D763" i="2"/>
  <c r="D826" i="2"/>
  <c r="D824" i="2"/>
  <c r="D823" i="2"/>
  <c r="D825" i="2"/>
  <c r="D819" i="2"/>
  <c r="D821" i="2"/>
  <c r="D822" i="2"/>
  <c r="D820" i="2"/>
  <c r="D540" i="2"/>
  <c r="D535" i="2"/>
  <c r="D539" i="2"/>
  <c r="D538" i="2"/>
  <c r="D537" i="2"/>
  <c r="D541" i="2"/>
  <c r="D536" i="2"/>
  <c r="D532" i="2"/>
  <c r="D531" i="2"/>
  <c r="D530" i="2"/>
  <c r="D534" i="2"/>
  <c r="D533" i="2"/>
  <c r="D553" i="2"/>
  <c r="D556" i="2"/>
  <c r="D555" i="2"/>
  <c r="D551" i="2"/>
  <c r="D554" i="2"/>
  <c r="D557" i="2"/>
  <c r="D552" i="2"/>
  <c r="D550" i="2"/>
  <c r="D545" i="2"/>
  <c r="D548" i="2"/>
  <c r="D544" i="2"/>
  <c r="D543" i="2"/>
  <c r="D549" i="2"/>
  <c r="D542" i="2"/>
  <c r="D547" i="2"/>
  <c r="D546" i="2"/>
  <c r="D570" i="2"/>
  <c r="D569" i="2"/>
  <c r="D572" i="2"/>
  <c r="D568" i="2"/>
  <c r="D567" i="2"/>
  <c r="D573" i="2"/>
  <c r="D575" i="2"/>
  <c r="D574" i="2"/>
  <c r="D571" i="2"/>
  <c r="D565" i="2"/>
  <c r="D561" i="2"/>
  <c r="D564" i="2"/>
  <c r="D560" i="2"/>
  <c r="D559" i="2"/>
  <c r="D558" i="2"/>
  <c r="D563" i="2"/>
  <c r="D562" i="2"/>
  <c r="D566" i="2"/>
  <c r="D396" i="2"/>
  <c r="D395" i="2"/>
  <c r="D391" i="2"/>
  <c r="D393" i="2"/>
  <c r="D387" i="2"/>
  <c r="D389" i="2"/>
  <c r="D392" i="2"/>
  <c r="D394" i="2"/>
  <c r="D390" i="2"/>
  <c r="D388" i="2"/>
  <c r="D380" i="2"/>
  <c r="D385" i="2"/>
  <c r="D383" i="2"/>
  <c r="D381" i="2"/>
  <c r="D379" i="2"/>
  <c r="D384" i="2"/>
  <c r="D386" i="2"/>
  <c r="D382" i="2"/>
  <c r="D448" i="2"/>
  <c r="D450" i="2"/>
  <c r="D454" i="2"/>
  <c r="D446" i="2"/>
  <c r="D443" i="2"/>
  <c r="D452" i="2"/>
  <c r="D444" i="2"/>
  <c r="D459" i="2"/>
  <c r="D460" i="2"/>
  <c r="D458" i="2"/>
  <c r="D455" i="2"/>
  <c r="D449" i="2"/>
  <c r="D447" i="2"/>
  <c r="D457" i="2"/>
  <c r="D451" i="2"/>
  <c r="D453" i="2"/>
  <c r="D445" i="2"/>
  <c r="D456" i="2"/>
  <c r="D375" i="2"/>
  <c r="D369" i="2"/>
  <c r="D377" i="2"/>
  <c r="D371" i="2"/>
  <c r="D373" i="2"/>
  <c r="D376" i="2"/>
  <c r="D378" i="2"/>
  <c r="D370" i="2"/>
  <c r="D374" i="2"/>
  <c r="D372" i="2"/>
  <c r="D438" i="2"/>
  <c r="D440" i="2"/>
  <c r="D439" i="2"/>
  <c r="D441" i="2"/>
  <c r="D437" i="2"/>
  <c r="D442" i="2"/>
  <c r="D434" i="2"/>
  <c r="D432" i="2"/>
  <c r="D430" i="2"/>
  <c r="D436" i="2"/>
  <c r="D428" i="2"/>
  <c r="D427" i="2"/>
  <c r="D433" i="2"/>
  <c r="D431" i="2"/>
  <c r="D435" i="2"/>
  <c r="D429" i="2"/>
  <c r="D420" i="2"/>
  <c r="D422" i="2"/>
  <c r="D426" i="2"/>
  <c r="D418" i="2"/>
  <c r="D423" i="2"/>
  <c r="D417" i="2"/>
  <c r="D425" i="2"/>
  <c r="D419" i="2"/>
  <c r="D421" i="2"/>
  <c r="D424" i="2"/>
  <c r="D416" i="2"/>
  <c r="D464" i="2"/>
  <c r="D462" i="2"/>
  <c r="D465" i="2"/>
  <c r="D463" i="2"/>
  <c r="D461" i="2"/>
  <c r="D466" i="2"/>
  <c r="D470" i="2"/>
  <c r="D468" i="2"/>
  <c r="D473" i="2"/>
  <c r="D471" i="2"/>
  <c r="D467" i="2"/>
  <c r="D469" i="2"/>
  <c r="D472" i="2"/>
  <c r="D414" i="2"/>
  <c r="D412" i="2"/>
  <c r="D407" i="2"/>
  <c r="D409" i="2"/>
  <c r="D410" i="2"/>
  <c r="D415" i="2"/>
  <c r="D403" i="2"/>
  <c r="D405" i="2"/>
  <c r="D413" i="2"/>
  <c r="D408" i="2"/>
  <c r="D406" i="2"/>
  <c r="D411" i="2"/>
  <c r="D404" i="2"/>
  <c r="D401" i="2"/>
  <c r="D399" i="2"/>
  <c r="D398" i="2"/>
  <c r="D397" i="2"/>
  <c r="D400" i="2"/>
  <c r="D402" i="2"/>
  <c r="D362" i="2"/>
  <c r="D363" i="2"/>
  <c r="D360" i="2"/>
  <c r="D361" i="2"/>
  <c r="D357" i="2"/>
  <c r="D358" i="2"/>
  <c r="D359" i="2"/>
  <c r="D321" i="2"/>
  <c r="D324" i="2"/>
  <c r="D328" i="2"/>
  <c r="D334" i="2"/>
  <c r="D327" i="2"/>
  <c r="D325" i="2"/>
  <c r="D331" i="2"/>
  <c r="D333" i="2"/>
  <c r="D329" i="2"/>
  <c r="D323" i="2"/>
  <c r="D326" i="2"/>
  <c r="D320" i="2"/>
  <c r="D335" i="2"/>
  <c r="D330" i="2"/>
  <c r="D322" i="2"/>
  <c r="D332" i="2"/>
  <c r="D319" i="2"/>
  <c r="D337" i="2"/>
  <c r="D340" i="2"/>
  <c r="D336" i="2"/>
  <c r="D339" i="2"/>
  <c r="D338" i="2"/>
  <c r="D313" i="2"/>
  <c r="D318" i="2"/>
  <c r="D316" i="2"/>
  <c r="D314" i="2"/>
  <c r="D311" i="2"/>
  <c r="D317" i="2"/>
  <c r="D312" i="2"/>
  <c r="D315" i="2"/>
  <c r="D310" i="2"/>
  <c r="D301" i="2"/>
  <c r="D300" i="2"/>
  <c r="D298" i="2"/>
  <c r="D299" i="2"/>
  <c r="D302" i="2"/>
  <c r="D273" i="2"/>
  <c r="D343" i="2"/>
  <c r="D344" i="2"/>
  <c r="D342" i="2"/>
  <c r="D341" i="2"/>
  <c r="D303" i="2"/>
  <c r="D307" i="2"/>
  <c r="D305" i="2"/>
  <c r="D304" i="2"/>
  <c r="D306" i="2"/>
  <c r="D309" i="2"/>
  <c r="D308" i="2"/>
  <c r="D356" i="2"/>
  <c r="D355" i="2"/>
  <c r="D354" i="2"/>
  <c r="D294" i="2"/>
  <c r="D292" i="2"/>
  <c r="D295" i="2"/>
  <c r="D297" i="2"/>
  <c r="D293" i="2"/>
  <c r="D296" i="2"/>
  <c r="D347" i="2"/>
  <c r="D350" i="2"/>
  <c r="D348" i="2"/>
  <c r="D346" i="2"/>
  <c r="D349" i="2"/>
  <c r="D345" i="2"/>
  <c r="D286" i="2"/>
  <c r="D288" i="2"/>
  <c r="D287" i="2"/>
  <c r="D285" i="2"/>
  <c r="D289" i="2"/>
  <c r="D290" i="2"/>
  <c r="D291" i="2"/>
  <c r="D353" i="2"/>
  <c r="D352" i="2"/>
  <c r="D351" i="2"/>
  <c r="D226" i="2"/>
  <c r="D270" i="2"/>
  <c r="D271" i="2"/>
  <c r="D269" i="2"/>
  <c r="D272" i="2"/>
  <c r="D267" i="2"/>
  <c r="D268" i="2"/>
  <c r="D263" i="2"/>
  <c r="D266" i="2"/>
  <c r="D265" i="2"/>
  <c r="D264" i="2"/>
  <c r="D281" i="2"/>
  <c r="D282" i="2"/>
  <c r="D283" i="2"/>
  <c r="D284" i="2"/>
  <c r="D278" i="2"/>
  <c r="D279" i="2"/>
  <c r="D280" i="2"/>
  <c r="D274" i="2"/>
  <c r="D277" i="2"/>
  <c r="D275" i="2"/>
  <c r="D276" i="2"/>
  <c r="D231" i="2"/>
  <c r="D234" i="2"/>
  <c r="D233" i="2"/>
  <c r="D236" i="2"/>
  <c r="D232" i="2"/>
  <c r="D235" i="2"/>
  <c r="D227" i="2"/>
  <c r="D230" i="2"/>
  <c r="D228" i="2"/>
  <c r="D229" i="2"/>
  <c r="D243" i="2"/>
  <c r="D245" i="2"/>
  <c r="D244" i="2"/>
  <c r="D259" i="2"/>
  <c r="D260" i="2"/>
  <c r="D258" i="2"/>
  <c r="D262" i="2"/>
  <c r="D257" i="2"/>
  <c r="D261" i="2"/>
  <c r="D219" i="2"/>
  <c r="D225" i="2"/>
  <c r="D222" i="2"/>
  <c r="D220" i="2"/>
  <c r="D223" i="2"/>
  <c r="D221" i="2"/>
  <c r="D218" i="2"/>
  <c r="D224" i="2"/>
  <c r="D240" i="2"/>
  <c r="D241" i="2"/>
  <c r="D239" i="2"/>
  <c r="D242" i="2"/>
  <c r="D237" i="2"/>
  <c r="D238" i="2"/>
  <c r="D216" i="2"/>
  <c r="D217" i="2"/>
  <c r="D215" i="2"/>
  <c r="D214" i="2"/>
  <c r="D248" i="2"/>
  <c r="D249" i="2"/>
  <c r="D246" i="2"/>
  <c r="D247" i="2"/>
  <c r="D213" i="2"/>
  <c r="D211" i="2"/>
  <c r="D212" i="2"/>
  <c r="D253" i="2"/>
  <c r="D254" i="2"/>
  <c r="D256" i="2"/>
  <c r="D255" i="2"/>
  <c r="D250" i="2"/>
  <c r="D251" i="2"/>
  <c r="D252" i="2"/>
  <c r="D171" i="2"/>
  <c r="D170" i="2"/>
  <c r="D193" i="2"/>
  <c r="D192" i="2"/>
  <c r="D194" i="2"/>
  <c r="D174" i="2"/>
  <c r="D200" i="2"/>
  <c r="D202" i="2"/>
  <c r="D173" i="2"/>
  <c r="D201" i="2"/>
  <c r="D199" i="2"/>
  <c r="D197" i="2"/>
  <c r="D172" i="2"/>
  <c r="D198" i="2"/>
  <c r="D190" i="2"/>
  <c r="D191" i="2"/>
  <c r="D164" i="2"/>
  <c r="D163" i="2"/>
  <c r="D186" i="2"/>
  <c r="D165" i="2"/>
  <c r="D196" i="2"/>
  <c r="D195" i="2"/>
  <c r="D169" i="2"/>
  <c r="D209" i="2"/>
  <c r="D180" i="2"/>
  <c r="D179" i="2"/>
  <c r="D210" i="2"/>
  <c r="D181" i="2"/>
  <c r="D208" i="2"/>
  <c r="D184" i="2"/>
  <c r="D185" i="2"/>
  <c r="D162" i="2"/>
  <c r="D206" i="2"/>
  <c r="D178" i="2"/>
  <c r="D207" i="2"/>
  <c r="D188" i="2"/>
  <c r="D189" i="2"/>
  <c r="D166" i="2"/>
  <c r="D167" i="2"/>
  <c r="D187" i="2"/>
  <c r="D168" i="2"/>
  <c r="D203" i="2"/>
  <c r="D176" i="2"/>
  <c r="D175" i="2"/>
  <c r="D204" i="2"/>
  <c r="D205" i="2"/>
  <c r="D160" i="2"/>
  <c r="D161" i="2"/>
  <c r="D177" i="2"/>
  <c r="D183" i="2"/>
  <c r="D159" i="2"/>
  <c r="D158" i="2"/>
  <c r="D182" i="2"/>
  <c r="R6" i="5"/>
  <c r="K6" i="5"/>
  <c r="AH10" i="1"/>
  <c r="AH12" i="1"/>
  <c r="AH9" i="1"/>
  <c r="AH11" i="1"/>
  <c r="AH13" i="1"/>
  <c r="AH14" i="1"/>
  <c r="AH15" i="1"/>
  <c r="A15" i="1" a="1"/>
  <c r="A15" i="1" s="1"/>
  <c r="A14" i="1" a="1"/>
  <c r="A14" i="1" s="1"/>
  <c r="A13" i="1" a="1"/>
  <c r="A13" i="1" s="1"/>
  <c r="A12" i="1" a="1"/>
  <c r="A12" i="1" s="1"/>
  <c r="A11" i="1" a="1"/>
  <c r="A11" i="1" s="1"/>
  <c r="A10" i="1" a="1"/>
  <c r="A10" i="1" s="1"/>
  <c r="A9" i="1" a="1"/>
  <c r="A9" i="1" s="1"/>
  <c r="D8" i="1" a="1"/>
  <c r="D8" i="1" s="1"/>
  <c r="E8" i="1" a="1"/>
  <c r="E8" i="1" s="1"/>
  <c r="F8" i="1" a="1"/>
  <c r="F8" i="1" s="1"/>
  <c r="G8" i="1" a="1"/>
  <c r="G8" i="1" s="1"/>
  <c r="H8" i="1" a="1"/>
  <c r="H8" i="1" s="1"/>
  <c r="I8" i="1" a="1"/>
  <c r="I8" i="1" s="1"/>
  <c r="J8" i="1" a="1"/>
  <c r="J8" i="1" s="1"/>
  <c r="K8" i="1" a="1"/>
  <c r="K8" i="1" s="1"/>
  <c r="L8" i="1" a="1"/>
  <c r="L8" i="1" s="1"/>
  <c r="M8" i="1" a="1"/>
  <c r="M8" i="1" s="1"/>
  <c r="N8" i="1" a="1"/>
  <c r="N8" i="1" s="1"/>
  <c r="O8" i="1" a="1"/>
  <c r="O8" i="1" s="1"/>
  <c r="P8" i="1" a="1"/>
  <c r="P8" i="1" s="1"/>
  <c r="Q8" i="1" a="1"/>
  <c r="Q8" i="1" s="1"/>
  <c r="R8" i="1" a="1"/>
  <c r="R8" i="1" s="1"/>
  <c r="S8" i="1" a="1"/>
  <c r="S8" i="1" s="1"/>
  <c r="T8" i="1" a="1"/>
  <c r="T8" i="1" s="1"/>
  <c r="U8" i="1" a="1"/>
  <c r="U8" i="1" s="1"/>
  <c r="V8" i="1" a="1"/>
  <c r="V8" i="1" s="1"/>
  <c r="W8" i="1" a="1"/>
  <c r="W8" i="1" s="1"/>
  <c r="X8" i="1" a="1"/>
  <c r="X8" i="1" s="1"/>
  <c r="Y8" i="1" a="1"/>
  <c r="Y8" i="1" s="1"/>
  <c r="Z8" i="1" a="1"/>
  <c r="Z8" i="1" s="1"/>
  <c r="AA8" i="1" a="1"/>
  <c r="AA8" i="1" s="1"/>
  <c r="AB8" i="1" a="1"/>
  <c r="AB8" i="1" s="1"/>
  <c r="AC8" i="1" a="1"/>
  <c r="AC8" i="1" s="1"/>
  <c r="AD8" i="1" a="1"/>
  <c r="AD8" i="1" s="1"/>
  <c r="AE8" i="1" a="1"/>
  <c r="AE8" i="1" s="1"/>
  <c r="AF8" i="1" a="1"/>
  <c r="AF8" i="1" s="1"/>
  <c r="AG8" i="1" a="1"/>
  <c r="AG8" i="1" s="1"/>
  <c r="D508" i="2" l="1"/>
  <c r="D509" i="2"/>
  <c r="D510" i="2"/>
  <c r="D511" i="2"/>
  <c r="D512" i="2"/>
  <c r="D514" i="2"/>
  <c r="D513" i="2"/>
  <c r="D515" i="2"/>
  <c r="D487" i="2"/>
  <c r="D479" i="2"/>
  <c r="D485" i="2"/>
  <c r="D486" i="2"/>
  <c r="D480" i="2"/>
  <c r="D482" i="2"/>
  <c r="D484" i="2"/>
  <c r="D481" i="2"/>
  <c r="D483" i="2"/>
  <c r="D488" i="2"/>
  <c r="D503" i="2"/>
  <c r="D504" i="2"/>
  <c r="D506" i="2"/>
  <c r="D501" i="2"/>
  <c r="D502" i="2"/>
  <c r="D505" i="2"/>
  <c r="D507" i="2"/>
  <c r="D494" i="2"/>
  <c r="D495" i="2"/>
  <c r="D496" i="2"/>
  <c r="D498" i="2"/>
  <c r="D500" i="2"/>
  <c r="D497" i="2"/>
  <c r="D499" i="2"/>
  <c r="D492" i="2"/>
  <c r="D493" i="2"/>
  <c r="D490" i="2"/>
  <c r="D489" i="2"/>
  <c r="D491" i="2"/>
  <c r="D520" i="2"/>
  <c r="D519" i="2"/>
  <c r="D524" i="2"/>
  <c r="D525" i="2"/>
  <c r="D526" i="2"/>
  <c r="D517" i="2"/>
  <c r="D518" i="2"/>
  <c r="D521" i="2"/>
  <c r="D527" i="2"/>
  <c r="D522" i="2"/>
  <c r="D516" i="2"/>
  <c r="D528" i="2"/>
  <c r="D529" i="2"/>
  <c r="D523" i="2"/>
  <c r="D366" i="2"/>
  <c r="D368" i="2"/>
  <c r="D367" i="2"/>
  <c r="D364" i="2"/>
  <c r="D365" i="2"/>
  <c r="D41" i="2"/>
  <c r="D42" i="2"/>
  <c r="D45" i="2"/>
  <c r="D47" i="2"/>
  <c r="D51" i="2"/>
  <c r="D50" i="2"/>
  <c r="D44" i="2"/>
  <c r="D43" i="2"/>
  <c r="D46" i="2"/>
  <c r="D48" i="2"/>
  <c r="D49" i="2"/>
  <c r="D52" i="2"/>
  <c r="D37" i="2"/>
  <c r="D34" i="2"/>
  <c r="D36" i="2"/>
  <c r="D38" i="2"/>
  <c r="D40" i="2"/>
  <c r="D35" i="2"/>
  <c r="D39" i="2"/>
  <c r="D33" i="2"/>
  <c r="D32" i="2"/>
  <c r="D31" i="2"/>
  <c r="D28" i="2"/>
  <c r="D30" i="2"/>
  <c r="D26" i="2"/>
  <c r="D27" i="2"/>
  <c r="D29" i="2"/>
  <c r="D85" i="2"/>
  <c r="D86" i="2"/>
  <c r="D89" i="2"/>
  <c r="D88" i="2"/>
  <c r="D84" i="2"/>
  <c r="D87" i="2"/>
  <c r="D83" i="2"/>
  <c r="D81" i="2"/>
  <c r="D82" i="2"/>
  <c r="D25" i="2"/>
  <c r="D23" i="2"/>
  <c r="D16" i="2"/>
  <c r="D20" i="2"/>
  <c r="D24" i="2"/>
  <c r="D18" i="2"/>
  <c r="D22" i="2"/>
  <c r="D15" i="2"/>
  <c r="D17" i="2"/>
  <c r="D19" i="2"/>
  <c r="D21" i="2"/>
  <c r="D12" i="2"/>
  <c r="D10" i="2"/>
  <c r="D14" i="2"/>
  <c r="D9" i="2"/>
  <c r="D11" i="2"/>
  <c r="D13" i="2"/>
  <c r="D80" i="2"/>
  <c r="D76" i="2"/>
  <c r="D75" i="2"/>
  <c r="D79" i="2"/>
  <c r="D78" i="2"/>
  <c r="D77" i="2"/>
  <c r="D8" i="2"/>
  <c r="D6" i="2"/>
  <c r="D7" i="2"/>
  <c r="D74" i="2"/>
  <c r="D67" i="2"/>
  <c r="D73" i="2"/>
  <c r="D68" i="2"/>
  <c r="D69" i="2"/>
  <c r="D71" i="2"/>
  <c r="D70" i="2"/>
  <c r="D72" i="2"/>
  <c r="D4" i="2"/>
  <c r="D3" i="2"/>
  <c r="D5" i="2"/>
  <c r="D96" i="2"/>
  <c r="D93" i="2"/>
  <c r="D90" i="2"/>
  <c r="D95" i="2"/>
  <c r="D91" i="2"/>
  <c r="D92" i="2"/>
  <c r="D94" i="2"/>
  <c r="D58" i="2"/>
  <c r="D66" i="2"/>
  <c r="D59" i="2"/>
  <c r="D60" i="2"/>
  <c r="D61" i="2"/>
  <c r="D62" i="2"/>
  <c r="D64" i="2"/>
  <c r="D65" i="2"/>
  <c r="D63" i="2"/>
  <c r="D98" i="2"/>
  <c r="D103" i="2"/>
  <c r="D105" i="2"/>
  <c r="D104" i="2"/>
  <c r="D99" i="2"/>
  <c r="D102" i="2"/>
  <c r="D101" i="2"/>
  <c r="D97" i="2"/>
  <c r="D100" i="2"/>
  <c r="D56" i="2"/>
  <c r="D57" i="2"/>
  <c r="D53" i="2"/>
  <c r="D54" i="2"/>
  <c r="D55" i="2"/>
  <c r="AI12" i="1"/>
  <c r="AI10" i="1"/>
  <c r="AI15" i="1"/>
  <c r="AI11" i="1"/>
  <c r="AI14" i="1"/>
  <c r="AI13" i="1"/>
  <c r="AH8" i="1"/>
  <c r="AI9" i="1"/>
  <c r="AM22" i="1"/>
  <c r="A8" i="1" a="1"/>
  <c r="A8" i="1" s="1"/>
  <c r="AL5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AM7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AM6" i="1"/>
  <c r="N11" i="5" l="1"/>
  <c r="L15" i="5"/>
  <c r="L8" i="5"/>
  <c r="N8" i="5" s="1"/>
  <c r="M8" i="5"/>
  <c r="M19" i="5"/>
  <c r="L21" i="5"/>
  <c r="N21" i="5" s="1"/>
  <c r="L10" i="5"/>
  <c r="N10" i="5" s="1"/>
  <c r="U10" i="5" s="1"/>
  <c r="L26" i="5"/>
  <c r="N26" i="5" s="1"/>
  <c r="L22" i="5"/>
  <c r="N22" i="5" s="1"/>
  <c r="M28" i="5"/>
  <c r="M27" i="5"/>
  <c r="L12" i="5"/>
  <c r="N12" i="5" s="1"/>
  <c r="L9" i="5"/>
  <c r="N9" i="5" s="1"/>
  <c r="L27" i="5"/>
  <c r="N27" i="5" s="1"/>
  <c r="L23" i="5"/>
  <c r="N23" i="5" s="1"/>
  <c r="L13" i="5"/>
  <c r="N13" i="5" s="1"/>
  <c r="M25" i="5"/>
  <c r="L28" i="5"/>
  <c r="N28" i="5" s="1"/>
  <c r="L24" i="5"/>
  <c r="N24" i="5" s="1"/>
  <c r="L14" i="5"/>
  <c r="N14" i="5" s="1"/>
  <c r="M18" i="5"/>
  <c r="L25" i="5"/>
  <c r="N25" i="5" s="1"/>
  <c r="M20" i="5"/>
  <c r="M9" i="5"/>
  <c r="L16" i="5"/>
  <c r="N16" i="5" s="1"/>
  <c r="M21" i="5"/>
  <c r="M10" i="5"/>
  <c r="L17" i="5"/>
  <c r="N17" i="5" s="1"/>
  <c r="M24" i="5"/>
  <c r="M11" i="5"/>
  <c r="M22" i="5"/>
  <c r="M12" i="5"/>
  <c r="M26" i="5"/>
  <c r="M13" i="5"/>
  <c r="M14" i="5"/>
  <c r="L18" i="5"/>
  <c r="N18" i="5" s="1"/>
  <c r="M23" i="5"/>
  <c r="M15" i="5"/>
  <c r="M17" i="5"/>
  <c r="L19" i="5"/>
  <c r="N19" i="5" s="1"/>
  <c r="M16" i="5"/>
  <c r="L20" i="5"/>
  <c r="N20" i="5" s="1"/>
  <c r="AH5" i="1"/>
  <c r="AI8" i="1"/>
  <c r="AI5" i="1" s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8" i="1"/>
  <c r="N15" i="5" l="1"/>
  <c r="U6" i="5" s="1"/>
  <c r="V8" i="5"/>
  <c r="V23" i="5"/>
  <c r="W23" i="5" s="1"/>
  <c r="L6" i="5"/>
  <c r="V17" i="5"/>
  <c r="W17" i="5" s="1"/>
  <c r="V12" i="5"/>
  <c r="V20" i="5"/>
  <c r="W20" i="5" s="1"/>
  <c r="V16" i="5"/>
  <c r="M6" i="5"/>
  <c r="V22" i="5"/>
  <c r="W22" i="5" s="1"/>
  <c r="V18" i="5"/>
  <c r="W18" i="5" s="1"/>
  <c r="V14" i="5"/>
  <c r="BN13" i="1"/>
  <c r="AX13" i="1"/>
  <c r="BM13" i="1"/>
  <c r="AW13" i="1"/>
  <c r="BL13" i="1"/>
  <c r="BC13" i="1"/>
  <c r="BJ13" i="1"/>
  <c r="BI13" i="1"/>
  <c r="BH13" i="1"/>
  <c r="BO13" i="1"/>
  <c r="AY13" i="1"/>
  <c r="BF13" i="1"/>
  <c r="BE13" i="1"/>
  <c r="BD13" i="1"/>
  <c r="BK13" i="1"/>
  <c r="BB13" i="1"/>
  <c r="BQ13" i="1"/>
  <c r="BA13" i="1"/>
  <c r="BP13" i="1"/>
  <c r="AZ13" i="1"/>
  <c r="BG13" i="1"/>
  <c r="AV12" i="1"/>
  <c r="AU12" i="1"/>
  <c r="BO12" i="1"/>
  <c r="AP12" i="1"/>
  <c r="AW12" i="1"/>
  <c r="BQ12" i="1"/>
  <c r="AR12" i="1"/>
  <c r="BP12" i="1"/>
  <c r="AQ12" i="1"/>
  <c r="BH12" i="1"/>
  <c r="AS12" i="1"/>
  <c r="BJ12" i="1"/>
  <c r="AN12" i="1"/>
  <c r="BI12" i="1"/>
  <c r="AM12" i="1"/>
  <c r="BA12" i="1"/>
  <c r="BK12" i="1"/>
  <c r="AO12" i="1"/>
  <c r="BC12" i="1"/>
  <c r="BB12" i="1"/>
  <c r="AT12" i="1"/>
  <c r="BD12" i="1"/>
  <c r="BJ8" i="1"/>
  <c r="BB8" i="1"/>
  <c r="AT8" i="1"/>
  <c r="AM8" i="1"/>
  <c r="BI8" i="1"/>
  <c r="BA8" i="1"/>
  <c r="AS8" i="1"/>
  <c r="BQ8" i="1"/>
  <c r="BH8" i="1"/>
  <c r="AZ8" i="1"/>
  <c r="AO8" i="1"/>
  <c r="BN8" i="1"/>
  <c r="BG8" i="1"/>
  <c r="AU8" i="1"/>
  <c r="AN8" i="1"/>
  <c r="BO11" i="1"/>
  <c r="BH11" i="1"/>
  <c r="BA11" i="1"/>
  <c r="AT11" i="1"/>
  <c r="AM11" i="1"/>
  <c r="BK11" i="1"/>
  <c r="BD11" i="1"/>
  <c r="AW11" i="1"/>
  <c r="AP11" i="1"/>
  <c r="BQ11" i="1"/>
  <c r="BJ11" i="1"/>
  <c r="BC11" i="1"/>
  <c r="AV11" i="1"/>
  <c r="AO11" i="1"/>
  <c r="BP11" i="1"/>
  <c r="BI11" i="1"/>
  <c r="BB11" i="1"/>
  <c r="AU11" i="1"/>
  <c r="AN11" i="1"/>
  <c r="BP10" i="1"/>
  <c r="BI10" i="1"/>
  <c r="BC10" i="1"/>
  <c r="AV10" i="1"/>
  <c r="AO10" i="1"/>
  <c r="BO10" i="1"/>
  <c r="BH10" i="1"/>
  <c r="BB10" i="1"/>
  <c r="AU10" i="1"/>
  <c r="AN10" i="1"/>
  <c r="BK10" i="1"/>
  <c r="BE10" i="1"/>
  <c r="BA10" i="1"/>
  <c r="AT10" i="1"/>
  <c r="AM10" i="1"/>
  <c r="BQ10" i="1"/>
  <c r="BJ10" i="1"/>
  <c r="BD10" i="1"/>
  <c r="AW10" i="1"/>
  <c r="AP10" i="1"/>
  <c r="BJ9" i="1"/>
  <c r="BB9" i="1"/>
  <c r="AT9" i="1"/>
  <c r="BQ9" i="1"/>
  <c r="BI9" i="1"/>
  <c r="BA9" i="1"/>
  <c r="AO9" i="1"/>
  <c r="BP9" i="1"/>
  <c r="BH9" i="1"/>
  <c r="AV9" i="1"/>
  <c r="AN9" i="1"/>
  <c r="BO9" i="1"/>
  <c r="BC9" i="1"/>
  <c r="AU9" i="1"/>
  <c r="AM9" i="1"/>
  <c r="BN20" i="1"/>
  <c r="BJ20" i="1"/>
  <c r="BF20" i="1"/>
  <c r="BB20" i="1"/>
  <c r="AX20" i="1"/>
  <c r="AT20" i="1"/>
  <c r="AP20" i="1"/>
  <c r="BO20" i="1"/>
  <c r="BC20" i="1"/>
  <c r="AQ20" i="1"/>
  <c r="BQ20" i="1"/>
  <c r="BM20" i="1"/>
  <c r="BI20" i="1"/>
  <c r="BE20" i="1"/>
  <c r="BA20" i="1"/>
  <c r="AW20" i="1"/>
  <c r="AS20" i="1"/>
  <c r="AO20" i="1"/>
  <c r="BK20" i="1"/>
  <c r="AY20" i="1"/>
  <c r="AM20" i="1"/>
  <c r="BP20" i="1"/>
  <c r="BL20" i="1"/>
  <c r="BH20" i="1"/>
  <c r="BD20" i="1"/>
  <c r="AZ20" i="1"/>
  <c r="AV20" i="1"/>
  <c r="AR20" i="1"/>
  <c r="AN20" i="1"/>
  <c r="BG20" i="1"/>
  <c r="AU20" i="1"/>
  <c r="BQ16" i="1"/>
  <c r="BM16" i="1"/>
  <c r="BI16" i="1"/>
  <c r="BE16" i="1"/>
  <c r="BA16" i="1"/>
  <c r="BJ16" i="1"/>
  <c r="BP16" i="1"/>
  <c r="BL16" i="1"/>
  <c r="BH16" i="1"/>
  <c r="BD16" i="1"/>
  <c r="BN16" i="1"/>
  <c r="BB16" i="1"/>
  <c r="BO16" i="1"/>
  <c r="BK16" i="1"/>
  <c r="BG16" i="1"/>
  <c r="BC16" i="1"/>
  <c r="BF16" i="1"/>
  <c r="BO19" i="1"/>
  <c r="BK19" i="1"/>
  <c r="BG19" i="1"/>
  <c r="BC19" i="1"/>
  <c r="AY19" i="1"/>
  <c r="AU19" i="1"/>
  <c r="AQ19" i="1"/>
  <c r="AM19" i="1"/>
  <c r="BL19" i="1"/>
  <c r="AZ19" i="1"/>
  <c r="AN19" i="1"/>
  <c r="BN19" i="1"/>
  <c r="BJ19" i="1"/>
  <c r="BF19" i="1"/>
  <c r="BB19" i="1"/>
  <c r="AX19" i="1"/>
  <c r="AT19" i="1"/>
  <c r="AP19" i="1"/>
  <c r="BH19" i="1"/>
  <c r="AV19" i="1"/>
  <c r="BQ19" i="1"/>
  <c r="BM19" i="1"/>
  <c r="BI19" i="1"/>
  <c r="BE19" i="1"/>
  <c r="BA19" i="1"/>
  <c r="AW19" i="1"/>
  <c r="AS19" i="1"/>
  <c r="AO19" i="1"/>
  <c r="BP19" i="1"/>
  <c r="BD19" i="1"/>
  <c r="AR19" i="1"/>
  <c r="BP15" i="1"/>
  <c r="BI15" i="1"/>
  <c r="BB15" i="1"/>
  <c r="AX15" i="1"/>
  <c r="AT15" i="1"/>
  <c r="AP15" i="1"/>
  <c r="BQ15" i="1"/>
  <c r="AY15" i="1"/>
  <c r="AM15" i="1"/>
  <c r="BO15" i="1"/>
  <c r="BH15" i="1"/>
  <c r="BA15" i="1"/>
  <c r="AW15" i="1"/>
  <c r="AS15" i="1"/>
  <c r="AO15" i="1"/>
  <c r="BC15" i="1"/>
  <c r="AU15" i="1"/>
  <c r="BK15" i="1"/>
  <c r="BD15" i="1"/>
  <c r="AZ15" i="1"/>
  <c r="AV15" i="1"/>
  <c r="AR15" i="1"/>
  <c r="AN15" i="1"/>
  <c r="BJ15" i="1"/>
  <c r="AQ15" i="1"/>
  <c r="BP18" i="1"/>
  <c r="BL18" i="1"/>
  <c r="BH18" i="1"/>
  <c r="BD18" i="1"/>
  <c r="AZ18" i="1"/>
  <c r="AV18" i="1"/>
  <c r="AR18" i="1"/>
  <c r="AN18" i="1"/>
  <c r="BE18" i="1"/>
  <c r="AW18" i="1"/>
  <c r="BO18" i="1"/>
  <c r="BK18" i="1"/>
  <c r="BG18" i="1"/>
  <c r="BC18" i="1"/>
  <c r="AY18" i="1"/>
  <c r="AU18" i="1"/>
  <c r="AQ18" i="1"/>
  <c r="AM18" i="1"/>
  <c r="BQ18" i="1"/>
  <c r="BM18" i="1"/>
  <c r="BA18" i="1"/>
  <c r="AO18" i="1"/>
  <c r="BN18" i="1"/>
  <c r="BJ18" i="1"/>
  <c r="BF18" i="1"/>
  <c r="BB18" i="1"/>
  <c r="AX18" i="1"/>
  <c r="AT18" i="1"/>
  <c r="AP18" i="1"/>
  <c r="BI18" i="1"/>
  <c r="AS18" i="1"/>
  <c r="BO14" i="1"/>
  <c r="BK14" i="1"/>
  <c r="BG14" i="1"/>
  <c r="BC14" i="1"/>
  <c r="AY14" i="1"/>
  <c r="AU14" i="1"/>
  <c r="AQ14" i="1"/>
  <c r="AM14" i="1"/>
  <c r="BL14" i="1"/>
  <c r="BD14" i="1"/>
  <c r="AR14" i="1"/>
  <c r="BN14" i="1"/>
  <c r="BJ14" i="1"/>
  <c r="BF14" i="1"/>
  <c r="BB14" i="1"/>
  <c r="AX14" i="1"/>
  <c r="AT14" i="1"/>
  <c r="AP14" i="1"/>
  <c r="BP14" i="1"/>
  <c r="AZ14" i="1"/>
  <c r="AN14" i="1"/>
  <c r="BQ14" i="1"/>
  <c r="BM14" i="1"/>
  <c r="BI14" i="1"/>
  <c r="BE14" i="1"/>
  <c r="BA14" i="1"/>
  <c r="AW14" i="1"/>
  <c r="AS14" i="1"/>
  <c r="AO14" i="1"/>
  <c r="BH14" i="1"/>
  <c r="AV14" i="1"/>
  <c r="BQ17" i="1"/>
  <c r="BM17" i="1"/>
  <c r="BI17" i="1"/>
  <c r="BE17" i="1"/>
  <c r="BA17" i="1"/>
  <c r="AW17" i="1"/>
  <c r="AO17" i="1"/>
  <c r="BF17" i="1"/>
  <c r="AT17" i="1"/>
  <c r="BP17" i="1"/>
  <c r="BL17" i="1"/>
  <c r="BH17" i="1"/>
  <c r="BD17" i="1"/>
  <c r="AZ17" i="1"/>
  <c r="AV17" i="1"/>
  <c r="AM17" i="1"/>
  <c r="BJ17" i="1"/>
  <c r="AX17" i="1"/>
  <c r="BO17" i="1"/>
  <c r="BK17" i="1"/>
  <c r="BG17" i="1"/>
  <c r="BC17" i="1"/>
  <c r="AY17" i="1"/>
  <c r="AU17" i="1"/>
  <c r="BN17" i="1"/>
  <c r="BB17" i="1"/>
  <c r="BL15" i="1"/>
  <c r="BG15" i="1"/>
  <c r="BN15" i="1"/>
  <c r="BF15" i="1"/>
  <c r="BM15" i="1"/>
  <c r="BE15" i="1"/>
  <c r="AQ9" i="1"/>
  <c r="BK9" i="1"/>
  <c r="BD9" i="1"/>
  <c r="AP9" i="1"/>
  <c r="BG9" i="1"/>
  <c r="BL9" i="1"/>
  <c r="AX9" i="1"/>
  <c r="AZ9" i="1"/>
  <c r="BF9" i="1"/>
  <c r="AW9" i="1"/>
  <c r="BN9" i="1"/>
  <c r="BE9" i="1"/>
  <c r="AR9" i="1"/>
  <c r="AS9" i="1"/>
  <c r="BM9" i="1"/>
  <c r="AY9" i="1"/>
  <c r="BN11" i="1"/>
  <c r="BF11" i="1"/>
  <c r="AX11" i="1"/>
  <c r="BM11" i="1"/>
  <c r="BE11" i="1"/>
  <c r="AS11" i="1"/>
  <c r="BL11" i="1"/>
  <c r="AZ11" i="1"/>
  <c r="AR11" i="1"/>
  <c r="BG11" i="1"/>
  <c r="AY11" i="1"/>
  <c r="AQ11" i="1"/>
  <c r="BM10" i="1"/>
  <c r="AX10" i="1"/>
  <c r="AQ10" i="1"/>
  <c r="AR10" i="1"/>
  <c r="BL10" i="1"/>
  <c r="BN10" i="1"/>
  <c r="BG10" i="1"/>
  <c r="BF10" i="1"/>
  <c r="AS10" i="1"/>
  <c r="AY10" i="1"/>
  <c r="AZ10" i="1"/>
  <c r="AP8" i="1"/>
  <c r="AQ8" i="1"/>
  <c r="AR8" i="1"/>
  <c r="AV8" i="1"/>
  <c r="AW8" i="1"/>
  <c r="AX8" i="1"/>
  <c r="AY8" i="1"/>
  <c r="BC8" i="1"/>
  <c r="BD8" i="1"/>
  <c r="BE8" i="1"/>
  <c r="BF8" i="1"/>
  <c r="BK8" i="1"/>
  <c r="BL8" i="1"/>
  <c r="BM8" i="1"/>
  <c r="BO8" i="1"/>
  <c r="BP8" i="1"/>
  <c r="AQ17" i="1"/>
  <c r="AP17" i="1"/>
  <c r="AN17" i="1"/>
  <c r="AS17" i="1"/>
  <c r="AR17" i="1"/>
  <c r="AT13" i="1"/>
  <c r="AP13" i="1"/>
  <c r="AS13" i="1"/>
  <c r="AN13" i="1"/>
  <c r="AU13" i="1"/>
  <c r="AV13" i="1"/>
  <c r="AR13" i="1"/>
  <c r="AM13" i="1"/>
  <c r="AQ13" i="1"/>
  <c r="AO13" i="1"/>
  <c r="AZ16" i="1"/>
  <c r="AV16" i="1"/>
  <c r="AR16" i="1"/>
  <c r="AM16" i="1"/>
  <c r="AY16" i="1"/>
  <c r="AU16" i="1"/>
  <c r="AQ16" i="1"/>
  <c r="AO16" i="1"/>
  <c r="AW16" i="1"/>
  <c r="AN16" i="1"/>
  <c r="AX16" i="1"/>
  <c r="AT16" i="1"/>
  <c r="AP16" i="1"/>
  <c r="AS16" i="1"/>
  <c r="AZ12" i="1"/>
  <c r="AX12" i="1"/>
  <c r="BM12" i="1"/>
  <c r="BF12" i="1"/>
  <c r="BL12" i="1"/>
  <c r="BN12" i="1"/>
  <c r="BE12" i="1"/>
  <c r="AY12" i="1"/>
  <c r="BG12" i="1"/>
  <c r="V15" i="5" l="1"/>
  <c r="V19" i="5"/>
  <c r="W19" i="5" s="1"/>
  <c r="V21" i="5"/>
  <c r="W21" i="5" s="1"/>
  <c r="V13" i="5"/>
  <c r="W13" i="5" s="1"/>
  <c r="V11" i="5"/>
  <c r="V10" i="5"/>
  <c r="V26" i="5"/>
  <c r="W26" i="5" s="1"/>
  <c r="V25" i="5"/>
  <c r="W25" i="5" s="1"/>
  <c r="V9" i="5"/>
  <c r="N6" i="5"/>
  <c r="V27" i="5"/>
  <c r="W27" i="5" s="1"/>
  <c r="V28" i="5"/>
  <c r="W28" i="5" s="1"/>
  <c r="V24" i="5"/>
  <c r="W24" i="5" s="1"/>
  <c r="J362" i="7"/>
  <c r="G361" i="7"/>
  <c r="G360" i="7"/>
  <c r="G359" i="7"/>
  <c r="G358" i="7"/>
  <c r="G357" i="7"/>
  <c r="G356" i="7"/>
  <c r="G355" i="7"/>
  <c r="G354" i="7"/>
  <c r="G353" i="7"/>
  <c r="E350" i="7"/>
  <c r="E349" i="7"/>
  <c r="E348" i="7"/>
  <c r="E347" i="7"/>
  <c r="E346" i="7"/>
  <c r="E345" i="7"/>
  <c r="G341" i="7"/>
  <c r="D341" i="7"/>
  <c r="C341" i="7"/>
  <c r="A339" i="7"/>
  <c r="J325" i="7"/>
  <c r="G324" i="7"/>
  <c r="G323" i="7"/>
  <c r="G322" i="7"/>
  <c r="G321" i="7"/>
  <c r="G320" i="7"/>
  <c r="G319" i="7"/>
  <c r="G318" i="7"/>
  <c r="G317" i="7"/>
  <c r="G316" i="7"/>
  <c r="E313" i="7"/>
  <c r="E312" i="7"/>
  <c r="E311" i="7"/>
  <c r="E310" i="7"/>
  <c r="E309" i="7"/>
  <c r="E308" i="7"/>
  <c r="G304" i="7"/>
  <c r="D304" i="7"/>
  <c r="C304" i="7"/>
  <c r="B302" i="7"/>
  <c r="J288" i="7"/>
  <c r="G287" i="7"/>
  <c r="G286" i="7"/>
  <c r="G285" i="7"/>
  <c r="G284" i="7"/>
  <c r="G283" i="7"/>
  <c r="G282" i="7"/>
  <c r="G281" i="7"/>
  <c r="G280" i="7"/>
  <c r="G279" i="7"/>
  <c r="E276" i="7"/>
  <c r="E275" i="7"/>
  <c r="E274" i="7"/>
  <c r="E273" i="7"/>
  <c r="E272" i="7"/>
  <c r="E271" i="7"/>
  <c r="G267" i="7"/>
  <c r="D267" i="7"/>
  <c r="C267" i="7"/>
  <c r="B265" i="7"/>
  <c r="J251" i="7"/>
  <c r="G250" i="7"/>
  <c r="G249" i="7"/>
  <c r="G248" i="7"/>
  <c r="G247" i="7"/>
  <c r="G246" i="7"/>
  <c r="G245" i="7"/>
  <c r="G244" i="7"/>
  <c r="G243" i="7"/>
  <c r="G242" i="7"/>
  <c r="E239" i="7"/>
  <c r="E238" i="7"/>
  <c r="E237" i="7"/>
  <c r="E236" i="7"/>
  <c r="E235" i="7"/>
  <c r="E234" i="7"/>
  <c r="G230" i="7"/>
  <c r="D230" i="7"/>
  <c r="C230" i="7"/>
  <c r="B228" i="7"/>
  <c r="J214" i="7"/>
  <c r="G213" i="7"/>
  <c r="G212" i="7"/>
  <c r="G211" i="7"/>
  <c r="G210" i="7"/>
  <c r="G209" i="7"/>
  <c r="G208" i="7"/>
  <c r="G207" i="7"/>
  <c r="F214" i="7" s="1"/>
  <c r="G206" i="7"/>
  <c r="G205" i="7"/>
  <c r="E202" i="7"/>
  <c r="E201" i="7"/>
  <c r="E200" i="7"/>
  <c r="E199" i="7"/>
  <c r="E198" i="7"/>
  <c r="E197" i="7"/>
  <c r="G193" i="7"/>
  <c r="D193" i="7"/>
  <c r="C193" i="7"/>
  <c r="B191" i="7"/>
  <c r="J177" i="7"/>
  <c r="G176" i="7"/>
  <c r="G175" i="7"/>
  <c r="G174" i="7"/>
  <c r="G173" i="7"/>
  <c r="G172" i="7"/>
  <c r="G171" i="7"/>
  <c r="G170" i="7"/>
  <c r="G169" i="7"/>
  <c r="G168" i="7"/>
  <c r="E165" i="7"/>
  <c r="E164" i="7"/>
  <c r="E163" i="7"/>
  <c r="E162" i="7"/>
  <c r="E161" i="7"/>
  <c r="E160" i="7"/>
  <c r="G156" i="7"/>
  <c r="D156" i="7"/>
  <c r="C156" i="7"/>
  <c r="B154" i="7"/>
  <c r="J140" i="7"/>
  <c r="G139" i="7"/>
  <c r="G138" i="7"/>
  <c r="G137" i="7"/>
  <c r="G136" i="7"/>
  <c r="G135" i="7"/>
  <c r="G134" i="7"/>
  <c r="G133" i="7"/>
  <c r="G132" i="7"/>
  <c r="G131" i="7"/>
  <c r="E128" i="7"/>
  <c r="E127" i="7"/>
  <c r="E126" i="7"/>
  <c r="E125" i="7"/>
  <c r="E124" i="7"/>
  <c r="E123" i="7"/>
  <c r="G119" i="7"/>
  <c r="D119" i="7"/>
  <c r="C119" i="7"/>
  <c r="B117" i="7"/>
  <c r="J103" i="7"/>
  <c r="G102" i="7"/>
  <c r="G101" i="7"/>
  <c r="G100" i="7"/>
  <c r="G99" i="7"/>
  <c r="G98" i="7"/>
  <c r="G97" i="7"/>
  <c r="G96" i="7"/>
  <c r="G95" i="7"/>
  <c r="G94" i="7"/>
  <c r="E91" i="7"/>
  <c r="E90" i="7"/>
  <c r="E89" i="7"/>
  <c r="E88" i="7"/>
  <c r="E87" i="7"/>
  <c r="E86" i="7"/>
  <c r="G82" i="7"/>
  <c r="D82" i="7"/>
  <c r="C82" i="7"/>
  <c r="B80" i="7"/>
  <c r="G65" i="7"/>
  <c r="G64" i="7"/>
  <c r="G63" i="7"/>
  <c r="G62" i="7"/>
  <c r="G61" i="7"/>
  <c r="G60" i="7"/>
  <c r="G58" i="7"/>
  <c r="E54" i="7"/>
  <c r="E53" i="7"/>
  <c r="E52" i="7"/>
  <c r="E51" i="7"/>
  <c r="E50" i="7"/>
  <c r="E49" i="7"/>
  <c r="G45" i="7"/>
  <c r="D45" i="7"/>
  <c r="C45" i="7"/>
  <c r="B43" i="7"/>
  <c r="G28" i="7"/>
  <c r="G27" i="7"/>
  <c r="G26" i="7"/>
  <c r="G25" i="7"/>
  <c r="G24" i="7"/>
  <c r="G23" i="7"/>
  <c r="G21" i="7"/>
  <c r="E17" i="7"/>
  <c r="E16" i="7"/>
  <c r="E15" i="7"/>
  <c r="E14" i="7"/>
  <c r="E13" i="7"/>
  <c r="E12" i="7"/>
  <c r="G8" i="7"/>
  <c r="D8" i="7"/>
  <c r="C8" i="7"/>
  <c r="B6" i="7"/>
  <c r="G341" i="6"/>
  <c r="C341" i="6"/>
  <c r="B339" i="6"/>
  <c r="G304" i="6"/>
  <c r="C304" i="6"/>
  <c r="B302" i="6"/>
  <c r="G267" i="6"/>
  <c r="C267" i="6"/>
  <c r="B265" i="6"/>
  <c r="G230" i="6"/>
  <c r="C230" i="6"/>
  <c r="B228" i="6"/>
  <c r="G193" i="6"/>
  <c r="C193" i="6"/>
  <c r="B191" i="6"/>
  <c r="G156" i="6"/>
  <c r="C156" i="6"/>
  <c r="B154" i="6"/>
  <c r="G119" i="6"/>
  <c r="C119" i="6"/>
  <c r="B117" i="6"/>
  <c r="G82" i="6"/>
  <c r="C82" i="6"/>
  <c r="B80" i="6"/>
  <c r="G45" i="6"/>
  <c r="C45" i="6"/>
  <c r="B43" i="6"/>
  <c r="G8" i="6"/>
  <c r="C8" i="6"/>
  <c r="B6" i="6"/>
  <c r="G59" i="7"/>
  <c r="G57" i="7"/>
  <c r="G22" i="7"/>
  <c r="X6" i="5"/>
  <c r="W15" i="5" l="1"/>
  <c r="F103" i="7"/>
  <c r="F140" i="7"/>
  <c r="F251" i="7"/>
  <c r="G174" i="6" a="1"/>
  <c r="G174" i="6" s="1"/>
  <c r="G320" i="6" a="1"/>
  <c r="G320" i="6" s="1"/>
  <c r="F66" i="7"/>
  <c r="F362" i="7"/>
  <c r="F288" i="7"/>
  <c r="F177" i="7"/>
  <c r="J362" i="6" a="1"/>
  <c r="J362" i="6" s="1"/>
  <c r="E348" i="6" a="1"/>
  <c r="E348" i="6" s="1"/>
  <c r="E349" i="6" a="1"/>
  <c r="E349" i="6" s="1"/>
  <c r="G20" i="7"/>
  <c r="F29" i="7" s="1"/>
  <c r="G356" i="6" a="1"/>
  <c r="G356" i="6" s="1"/>
  <c r="G355" i="6" a="1"/>
  <c r="G355" i="6" s="1"/>
  <c r="J251" i="6" a="1"/>
  <c r="J251" i="6" s="1"/>
  <c r="G357" i="6" a="1"/>
  <c r="G357" i="6" s="1"/>
  <c r="G358" i="6" a="1"/>
  <c r="G358" i="6" s="1"/>
  <c r="G359" i="6" a="1"/>
  <c r="G359" i="6" s="1"/>
  <c r="E347" i="6" a="1"/>
  <c r="E347" i="6" s="1"/>
  <c r="G98" i="6" a="1"/>
  <c r="G98" i="6" s="1"/>
  <c r="W16" i="5"/>
  <c r="D119" i="6" a="1"/>
  <c r="D119" i="6" s="1"/>
  <c r="W12" i="5"/>
  <c r="F325" i="7"/>
  <c r="E311" i="6" a="1"/>
  <c r="E311" i="6" s="1"/>
  <c r="E312" i="6" a="1"/>
  <c r="E312" i="6" s="1"/>
  <c r="G175" i="6" a="1"/>
  <c r="G175" i="6" s="1"/>
  <c r="G321" i="6" a="1"/>
  <c r="G321" i="6" s="1"/>
  <c r="G322" i="6" a="1"/>
  <c r="G322" i="6" s="1"/>
  <c r="G213" i="6" a="1"/>
  <c r="G213" i="6" s="1"/>
  <c r="G96" i="6" a="1"/>
  <c r="G96" i="6" s="1"/>
  <c r="G286" i="6" a="1"/>
  <c r="G286" i="6" s="1"/>
  <c r="E49" i="6" a="1"/>
  <c r="E49" i="6" s="1"/>
  <c r="E345" i="6" a="1"/>
  <c r="E345" i="6" s="1"/>
  <c r="D304" i="6" a="1"/>
  <c r="D304" i="6" s="1"/>
  <c r="G64" i="6" a="1"/>
  <c r="G64" i="6" s="1"/>
  <c r="E346" i="6" a="1"/>
  <c r="E346" i="6" s="1"/>
  <c r="E88" i="6" a="1"/>
  <c r="E88" i="6" s="1"/>
  <c r="G28" i="6" a="1"/>
  <c r="G28" i="6" s="1"/>
  <c r="E199" i="6" a="1"/>
  <c r="E199" i="6" s="1"/>
  <c r="E89" i="6" a="1"/>
  <c r="E89" i="6" s="1"/>
  <c r="E276" i="6" a="1"/>
  <c r="E276" i="6" s="1"/>
  <c r="E200" i="6" a="1"/>
  <c r="E200" i="6" s="1"/>
  <c r="E91" i="6" a="1"/>
  <c r="E91" i="6" s="1"/>
  <c r="G99" i="6" a="1"/>
  <c r="G99" i="6" s="1"/>
  <c r="E202" i="6" a="1"/>
  <c r="E202" i="6" s="1"/>
  <c r="G101" i="6" a="1"/>
  <c r="G101" i="6" s="1"/>
  <c r="E201" i="6" a="1"/>
  <c r="E201" i="6" s="1"/>
  <c r="G209" i="6" a="1"/>
  <c r="G209" i="6" s="1"/>
  <c r="E126" i="6" a="1"/>
  <c r="E126" i="6" s="1"/>
  <c r="G210" i="6" a="1"/>
  <c r="G210" i="6" s="1"/>
  <c r="E53" i="6" a="1"/>
  <c r="E53" i="6" s="1"/>
  <c r="G132" i="6" a="1"/>
  <c r="G132" i="6" s="1"/>
  <c r="G211" i="6" a="1"/>
  <c r="G211" i="6" s="1"/>
  <c r="E54" i="6" a="1"/>
  <c r="E54" i="6" s="1"/>
  <c r="G212" i="6" a="1"/>
  <c r="G212" i="6" s="1"/>
  <c r="G63" i="6" a="1"/>
  <c r="G63" i="6" s="1"/>
  <c r="G249" i="6" a="1"/>
  <c r="G249" i="6" s="1"/>
  <c r="G97" i="6" a="1"/>
  <c r="G97" i="6" s="1"/>
  <c r="E165" i="6" a="1"/>
  <c r="E165" i="6" s="1"/>
  <c r="G281" i="6" a="1"/>
  <c r="G281" i="6" s="1"/>
  <c r="E234" i="6" a="1"/>
  <c r="E234" i="6" s="1"/>
  <c r="G244" i="6" a="1"/>
  <c r="G244" i="6" s="1"/>
  <c r="G287" i="6" a="1"/>
  <c r="G287" i="6" s="1"/>
  <c r="G23" i="6" a="1"/>
  <c r="G23" i="6" s="1"/>
  <c r="D45" i="6" a="1"/>
  <c r="D45" i="6" s="1"/>
  <c r="E90" i="6" a="1"/>
  <c r="E90" i="6" s="1"/>
  <c r="G100" i="6" a="1"/>
  <c r="G100" i="6" s="1"/>
  <c r="G169" i="6" a="1"/>
  <c r="G169" i="6" s="1"/>
  <c r="J177" i="6" a="1"/>
  <c r="J177" i="6" s="1"/>
  <c r="E236" i="6" a="1"/>
  <c r="E236" i="6" s="1"/>
  <c r="G246" i="6" a="1"/>
  <c r="G246" i="6" s="1"/>
  <c r="E313" i="6" a="1"/>
  <c r="E313" i="6" s="1"/>
  <c r="G323" i="6" a="1"/>
  <c r="G323" i="6" s="1"/>
  <c r="E160" i="6" a="1"/>
  <c r="E160" i="6" s="1"/>
  <c r="G170" i="6" a="1"/>
  <c r="G170" i="6" s="1"/>
  <c r="E237" i="6" a="1"/>
  <c r="E237" i="6" s="1"/>
  <c r="G247" i="6" a="1"/>
  <c r="G247" i="6" s="1"/>
  <c r="G316" i="6" a="1"/>
  <c r="G316" i="6" s="1"/>
  <c r="F325" i="6" s="1"/>
  <c r="G324" i="6" a="1"/>
  <c r="G324" i="6" s="1"/>
  <c r="G168" i="6" a="1"/>
  <c r="G168" i="6" s="1"/>
  <c r="G176" i="6" a="1"/>
  <c r="G176" i="6" s="1"/>
  <c r="E235" i="6" a="1"/>
  <c r="E235" i="6" s="1"/>
  <c r="G245" i="6" a="1"/>
  <c r="G245" i="6" s="1"/>
  <c r="D267" i="6" a="1"/>
  <c r="D267" i="6" s="1"/>
  <c r="E12" i="6" a="1"/>
  <c r="E12" i="6" s="1"/>
  <c r="G57" i="6" a="1"/>
  <c r="G57" i="6" s="1"/>
  <c r="G65" i="6" a="1"/>
  <c r="G65" i="6" s="1"/>
  <c r="E124" i="6" a="1"/>
  <c r="E124" i="6" s="1"/>
  <c r="G134" i="6" a="1"/>
  <c r="G134" i="6" s="1"/>
  <c r="D156" i="6" a="1"/>
  <c r="D156" i="6" s="1"/>
  <c r="G21" i="6" a="1"/>
  <c r="G21" i="6" s="1"/>
  <c r="G133" i="6" a="1"/>
  <c r="G133" i="6" s="1"/>
  <c r="G205" i="6" a="1"/>
  <c r="G205" i="6" s="1"/>
  <c r="F214" i="6" s="1"/>
  <c r="G25" i="6" a="1"/>
  <c r="G25" i="6" s="1"/>
  <c r="G94" i="6" a="1"/>
  <c r="G94" i="6" s="1"/>
  <c r="G102" i="6" a="1"/>
  <c r="G102" i="6" s="1"/>
  <c r="E161" i="6" a="1"/>
  <c r="E161" i="6" s="1"/>
  <c r="G171" i="6" a="1"/>
  <c r="G171" i="6" s="1"/>
  <c r="D193" i="6" a="1"/>
  <c r="D193" i="6" s="1"/>
  <c r="E238" i="6" a="1"/>
  <c r="E238" i="6" s="1"/>
  <c r="G248" i="6" a="1"/>
  <c r="G248" i="6" s="1"/>
  <c r="G317" i="6" a="1"/>
  <c r="G317" i="6" s="1"/>
  <c r="J325" i="6" a="1"/>
  <c r="J325" i="6" s="1"/>
  <c r="E50" i="6" a="1"/>
  <c r="E50" i="6" s="1"/>
  <c r="G60" i="6" a="1"/>
  <c r="G60" i="6" s="1"/>
  <c r="D82" i="6" a="1"/>
  <c r="D82" i="6" s="1"/>
  <c r="E127" i="6" a="1"/>
  <c r="E127" i="6" s="1"/>
  <c r="G137" i="6" a="1"/>
  <c r="G137" i="6" s="1"/>
  <c r="G206" i="6" a="1"/>
  <c r="G206" i="6" s="1"/>
  <c r="J214" i="6" a="1"/>
  <c r="J214" i="6" s="1"/>
  <c r="E273" i="6" a="1"/>
  <c r="E273" i="6" s="1"/>
  <c r="G283" i="6" a="1"/>
  <c r="G283" i="6" s="1"/>
  <c r="E350" i="6" a="1"/>
  <c r="E350" i="6" s="1"/>
  <c r="G360" i="6" a="1"/>
  <c r="G360" i="6" s="1"/>
  <c r="E123" i="6" a="1"/>
  <c r="E123" i="6" s="1"/>
  <c r="G59" i="6" a="1"/>
  <c r="G59" i="6" s="1"/>
  <c r="G136" i="6" a="1"/>
  <c r="G136" i="6" s="1"/>
  <c r="G26" i="6" a="1"/>
  <c r="G26" i="6" s="1"/>
  <c r="G95" i="6" a="1"/>
  <c r="G95" i="6" s="1"/>
  <c r="E162" i="6" a="1"/>
  <c r="E162" i="6" s="1"/>
  <c r="G172" i="6" a="1"/>
  <c r="G172" i="6" s="1"/>
  <c r="E239" i="6" a="1"/>
  <c r="E239" i="6" s="1"/>
  <c r="E308" i="6" a="1"/>
  <c r="E308" i="6" s="1"/>
  <c r="G318" i="6" a="1"/>
  <c r="G318" i="6" s="1"/>
  <c r="G282" i="6" a="1"/>
  <c r="G282" i="6" s="1"/>
  <c r="E16" i="6" a="1"/>
  <c r="E16" i="6" s="1"/>
  <c r="E51" i="6" a="1"/>
  <c r="E51" i="6" s="1"/>
  <c r="G61" i="6" a="1"/>
  <c r="G61" i="6" s="1"/>
  <c r="E128" i="6" a="1"/>
  <c r="E128" i="6" s="1"/>
  <c r="G138" i="6" a="1"/>
  <c r="G138" i="6" s="1"/>
  <c r="E197" i="6" a="1"/>
  <c r="E197" i="6" s="1"/>
  <c r="G207" i="6" a="1"/>
  <c r="G207" i="6" s="1"/>
  <c r="E274" i="6" a="1"/>
  <c r="E274" i="6" s="1"/>
  <c r="G284" i="6" a="1"/>
  <c r="G284" i="6" s="1"/>
  <c r="G353" i="6" a="1"/>
  <c r="G353" i="6" s="1"/>
  <c r="F362" i="6" s="1"/>
  <c r="G361" i="6" a="1"/>
  <c r="G361" i="6" s="1"/>
  <c r="G279" i="6" a="1"/>
  <c r="G279" i="6" s="1"/>
  <c r="F288" i="6" s="1"/>
  <c r="G27" i="6" a="1"/>
  <c r="G27" i="6" s="1"/>
  <c r="E86" i="6" a="1"/>
  <c r="E86" i="6" s="1"/>
  <c r="E163" i="6" a="1"/>
  <c r="E163" i="6" s="1"/>
  <c r="G173" i="6" a="1"/>
  <c r="G173" i="6" s="1"/>
  <c r="G242" i="6" a="1"/>
  <c r="G242" i="6" s="1"/>
  <c r="F251" i="6" s="1"/>
  <c r="G250" i="6" a="1"/>
  <c r="G250" i="6" s="1"/>
  <c r="E309" i="6" a="1"/>
  <c r="E309" i="6" s="1"/>
  <c r="G319" i="6" a="1"/>
  <c r="G319" i="6" s="1"/>
  <c r="D341" i="6" a="1"/>
  <c r="D341" i="6" s="1"/>
  <c r="G280" i="6" a="1"/>
  <c r="G280" i="6" s="1"/>
  <c r="J288" i="6" a="1"/>
  <c r="J288" i="6" s="1"/>
  <c r="G58" i="6" a="1"/>
  <c r="G58" i="6" s="1"/>
  <c r="E125" i="6" a="1"/>
  <c r="E125" i="6" s="1"/>
  <c r="G135" i="6" a="1"/>
  <c r="G135" i="6" s="1"/>
  <c r="G24" i="6" a="1"/>
  <c r="G24" i="6" s="1"/>
  <c r="E272" i="6" a="1"/>
  <c r="E272" i="6" s="1"/>
  <c r="E17" i="6" a="1"/>
  <c r="E17" i="6" s="1"/>
  <c r="E52" i="6" a="1"/>
  <c r="E52" i="6" s="1"/>
  <c r="G62" i="6" a="1"/>
  <c r="G62" i="6" s="1"/>
  <c r="G131" i="6" a="1"/>
  <c r="G131" i="6" s="1"/>
  <c r="G139" i="6" a="1"/>
  <c r="G139" i="6" s="1"/>
  <c r="E198" i="6" a="1"/>
  <c r="E198" i="6" s="1"/>
  <c r="G208" i="6" a="1"/>
  <c r="G208" i="6" s="1"/>
  <c r="D230" i="6" a="1"/>
  <c r="D230" i="6" s="1"/>
  <c r="E275" i="6" a="1"/>
  <c r="E275" i="6" s="1"/>
  <c r="G285" i="6" a="1"/>
  <c r="G285" i="6" s="1"/>
  <c r="G354" i="6" a="1"/>
  <c r="G354" i="6" s="1"/>
  <c r="E271" i="6" a="1"/>
  <c r="E271" i="6" s="1"/>
  <c r="E87" i="6" a="1"/>
  <c r="E87" i="6" s="1"/>
  <c r="E164" i="6" a="1"/>
  <c r="E164" i="6" s="1"/>
  <c r="G243" i="6" a="1"/>
  <c r="G243" i="6" s="1"/>
  <c r="E310" i="6" a="1"/>
  <c r="E310" i="6" s="1"/>
  <c r="W14" i="5"/>
  <c r="W10" i="5"/>
  <c r="J103" i="6" s="1" a="1"/>
  <c r="J103" i="6" s="1"/>
  <c r="W11" i="5"/>
  <c r="J140" i="6" s="1" a="1"/>
  <c r="J140" i="6" s="1"/>
  <c r="W9" i="5" l="1"/>
  <c r="J66" i="6" s="1" a="1"/>
  <c r="J66" i="6" s="1"/>
  <c r="V6" i="5"/>
  <c r="J29" i="7"/>
  <c r="F140" i="6"/>
  <c r="F177" i="6"/>
  <c r="F103" i="6"/>
  <c r="F66" i="6"/>
  <c r="J66" i="7"/>
  <c r="G541" i="2" l="1"/>
  <c r="H541" i="2" s="1"/>
  <c r="G542" i="2"/>
  <c r="H542" i="2" s="1"/>
  <c r="G543" i="2"/>
  <c r="H543" i="2" s="1"/>
  <c r="G544" i="2"/>
  <c r="H544" i="2" s="1"/>
  <c r="G545" i="2"/>
  <c r="H545" i="2" s="1"/>
  <c r="G546" i="2"/>
  <c r="H546" i="2" s="1"/>
  <c r="G547" i="2"/>
  <c r="H547" i="2" s="1"/>
  <c r="G548" i="2"/>
  <c r="H548" i="2" s="1"/>
  <c r="G549" i="2"/>
  <c r="H549" i="2" s="1"/>
  <c r="G550" i="2"/>
  <c r="H550" i="2" s="1"/>
  <c r="G551" i="2"/>
  <c r="H551" i="2" s="1"/>
  <c r="G552" i="2"/>
  <c r="H552" i="2" s="1"/>
  <c r="G553" i="2"/>
  <c r="H553" i="2" s="1"/>
  <c r="G554" i="2"/>
  <c r="H554" i="2" s="1"/>
  <c r="G555" i="2"/>
  <c r="H555" i="2" s="1"/>
  <c r="G556" i="2"/>
  <c r="H556" i="2" s="1"/>
  <c r="G557" i="2"/>
  <c r="H557" i="2" s="1"/>
  <c r="G558" i="2"/>
  <c r="H558" i="2" s="1"/>
  <c r="G559" i="2"/>
  <c r="H559" i="2" s="1"/>
  <c r="G560" i="2"/>
  <c r="H560" i="2" s="1"/>
  <c r="G561" i="2"/>
  <c r="H561" i="2" s="1"/>
  <c r="G562" i="2"/>
  <c r="H562" i="2" s="1"/>
  <c r="G563" i="2"/>
  <c r="H563" i="2" s="1"/>
  <c r="G564" i="2"/>
  <c r="H564" i="2" s="1"/>
  <c r="G565" i="2"/>
  <c r="H565" i="2" s="1"/>
  <c r="G566" i="2"/>
  <c r="H566" i="2" s="1"/>
  <c r="G567" i="2"/>
  <c r="H567" i="2" s="1"/>
  <c r="G568" i="2"/>
  <c r="H568" i="2" s="1"/>
  <c r="G569" i="2"/>
  <c r="H569" i="2" s="1"/>
  <c r="G570" i="2"/>
  <c r="H570" i="2" s="1"/>
  <c r="G571" i="2"/>
  <c r="H571" i="2" s="1"/>
  <c r="G572" i="2"/>
  <c r="H572" i="2" s="1"/>
  <c r="G573" i="2"/>
  <c r="H573" i="2" s="1"/>
  <c r="G574" i="2"/>
  <c r="H574" i="2" s="1"/>
  <c r="G575" i="2"/>
  <c r="H575" i="2" s="1"/>
  <c r="G576" i="2"/>
  <c r="H576" i="2" s="1"/>
  <c r="G577" i="2"/>
  <c r="H577" i="2" s="1"/>
  <c r="G578" i="2"/>
  <c r="H578" i="2" s="1"/>
  <c r="G579" i="2"/>
  <c r="H579" i="2" s="1"/>
  <c r="G580" i="2"/>
  <c r="H580" i="2" s="1"/>
  <c r="G581" i="2"/>
  <c r="H581" i="2" s="1"/>
  <c r="G582" i="2"/>
  <c r="H582" i="2" s="1"/>
  <c r="G583" i="2"/>
  <c r="H583" i="2" s="1"/>
  <c r="G584" i="2"/>
  <c r="H584" i="2" s="1"/>
  <c r="G585" i="2"/>
  <c r="H585" i="2" s="1"/>
  <c r="G586" i="2"/>
  <c r="H586" i="2" s="1"/>
  <c r="G587" i="2"/>
  <c r="H587" i="2" s="1"/>
  <c r="G588" i="2"/>
  <c r="H588" i="2" s="1"/>
  <c r="G589" i="2"/>
  <c r="H589" i="2" s="1"/>
  <c r="G590" i="2"/>
  <c r="H590" i="2" s="1"/>
  <c r="G591" i="2"/>
  <c r="H591" i="2" s="1"/>
  <c r="G592" i="2"/>
  <c r="H592" i="2" s="1"/>
  <c r="G593" i="2"/>
  <c r="H593" i="2" s="1"/>
  <c r="G594" i="2"/>
  <c r="H594" i="2" s="1"/>
  <c r="G595" i="2"/>
  <c r="H595" i="2" s="1"/>
  <c r="G596" i="2"/>
  <c r="H596" i="2" s="1"/>
  <c r="G597" i="2"/>
  <c r="H597" i="2" s="1"/>
  <c r="G598" i="2"/>
  <c r="H598" i="2" s="1"/>
  <c r="G599" i="2"/>
  <c r="H599" i="2" s="1"/>
  <c r="G600" i="2"/>
  <c r="H600" i="2" s="1"/>
  <c r="G601" i="2"/>
  <c r="H601" i="2" s="1"/>
  <c r="G602" i="2"/>
  <c r="H602" i="2" s="1"/>
  <c r="G603" i="2"/>
  <c r="H603" i="2" s="1"/>
  <c r="G604" i="2"/>
  <c r="H604" i="2" s="1"/>
  <c r="G605" i="2"/>
  <c r="H605" i="2" s="1"/>
  <c r="G606" i="2"/>
  <c r="H606" i="2" s="1"/>
  <c r="G607" i="2"/>
  <c r="H607" i="2" s="1"/>
  <c r="G608" i="2"/>
  <c r="H608" i="2" s="1"/>
  <c r="G609" i="2"/>
  <c r="H609" i="2" s="1"/>
  <c r="G610" i="2"/>
  <c r="H610" i="2" s="1"/>
  <c r="G611" i="2"/>
  <c r="H611" i="2" s="1"/>
  <c r="G612" i="2"/>
  <c r="H612" i="2" s="1"/>
  <c r="G613" i="2"/>
  <c r="H613" i="2" s="1"/>
  <c r="G614" i="2"/>
  <c r="H614" i="2" s="1"/>
  <c r="G615" i="2"/>
  <c r="H615" i="2" s="1"/>
  <c r="G616" i="2"/>
  <c r="H616" i="2" s="1"/>
  <c r="G617" i="2"/>
  <c r="H617" i="2" s="1"/>
  <c r="G618" i="2"/>
  <c r="H618" i="2" s="1"/>
  <c r="G619" i="2"/>
  <c r="H619" i="2" s="1"/>
  <c r="G620" i="2"/>
  <c r="H620" i="2" s="1"/>
  <c r="G621" i="2"/>
  <c r="H621" i="2" s="1"/>
  <c r="G622" i="2"/>
  <c r="H622" i="2" s="1"/>
  <c r="G623" i="2"/>
  <c r="H623" i="2" s="1"/>
  <c r="G624" i="2"/>
  <c r="H624" i="2" s="1"/>
  <c r="G625" i="2"/>
  <c r="H625" i="2" s="1"/>
  <c r="G626" i="2"/>
  <c r="H626" i="2" s="1"/>
  <c r="G627" i="2"/>
  <c r="H627" i="2" s="1"/>
  <c r="G628" i="2"/>
  <c r="H628" i="2" s="1"/>
  <c r="G629" i="2"/>
  <c r="H629" i="2" s="1"/>
  <c r="G630" i="2"/>
  <c r="H630" i="2" s="1"/>
  <c r="G631" i="2"/>
  <c r="H631" i="2" s="1"/>
  <c r="G632" i="2"/>
  <c r="H632" i="2" s="1"/>
  <c r="G633" i="2"/>
  <c r="H633" i="2" s="1"/>
  <c r="G634" i="2"/>
  <c r="H634" i="2" s="1"/>
  <c r="G635" i="2"/>
  <c r="H635" i="2" s="1"/>
  <c r="G636" i="2"/>
  <c r="H636" i="2" s="1"/>
  <c r="G637" i="2"/>
  <c r="H637" i="2" s="1"/>
  <c r="G638" i="2"/>
  <c r="H638" i="2" s="1"/>
  <c r="G639" i="2"/>
  <c r="H639" i="2" s="1"/>
  <c r="G640" i="2"/>
  <c r="H640" i="2" s="1"/>
  <c r="G641" i="2"/>
  <c r="H641" i="2" s="1"/>
  <c r="G642" i="2"/>
  <c r="H642" i="2" s="1"/>
  <c r="G643" i="2"/>
  <c r="H643" i="2" s="1"/>
  <c r="G644" i="2"/>
  <c r="H644" i="2" s="1"/>
  <c r="G645" i="2"/>
  <c r="H645" i="2" s="1"/>
  <c r="G646" i="2"/>
  <c r="H646" i="2" s="1"/>
  <c r="G647" i="2"/>
  <c r="H647" i="2" s="1"/>
  <c r="G648" i="2"/>
  <c r="H648" i="2" s="1"/>
  <c r="G649" i="2"/>
  <c r="H649" i="2" s="1"/>
  <c r="G650" i="2"/>
  <c r="H650" i="2" s="1"/>
  <c r="G651" i="2"/>
  <c r="H651" i="2" s="1"/>
  <c r="G652" i="2"/>
  <c r="H652" i="2" s="1"/>
  <c r="G653" i="2"/>
  <c r="H653" i="2" s="1"/>
  <c r="G654" i="2"/>
  <c r="H654" i="2" s="1"/>
  <c r="G655" i="2"/>
  <c r="H655" i="2" s="1"/>
  <c r="G656" i="2"/>
  <c r="H656" i="2" s="1"/>
  <c r="G657" i="2"/>
  <c r="H657" i="2" s="1"/>
  <c r="G658" i="2"/>
  <c r="H658" i="2" s="1"/>
  <c r="G659" i="2"/>
  <c r="H659" i="2" s="1"/>
  <c r="G660" i="2"/>
  <c r="H660" i="2" s="1"/>
  <c r="G661" i="2"/>
  <c r="H661" i="2" s="1"/>
  <c r="G662" i="2"/>
  <c r="H662" i="2" s="1"/>
  <c r="G663" i="2"/>
  <c r="H663" i="2" s="1"/>
  <c r="G664" i="2"/>
  <c r="H664" i="2" s="1"/>
  <c r="G665" i="2"/>
  <c r="H665" i="2" s="1"/>
  <c r="G666" i="2"/>
  <c r="H666" i="2" s="1"/>
  <c r="G667" i="2"/>
  <c r="H667" i="2" s="1"/>
  <c r="G668" i="2"/>
  <c r="H668" i="2" s="1"/>
  <c r="G669" i="2"/>
  <c r="H669" i="2" s="1"/>
  <c r="G670" i="2"/>
  <c r="H670" i="2" s="1"/>
  <c r="G671" i="2"/>
  <c r="H671" i="2" s="1"/>
  <c r="G672" i="2"/>
  <c r="H672" i="2" s="1"/>
  <c r="G673" i="2"/>
  <c r="H673" i="2" s="1"/>
  <c r="G674" i="2"/>
  <c r="H674" i="2" s="1"/>
  <c r="G675" i="2"/>
  <c r="H675" i="2" s="1"/>
  <c r="G676" i="2"/>
  <c r="H676" i="2" s="1"/>
  <c r="G677" i="2"/>
  <c r="H677" i="2" s="1"/>
  <c r="G678" i="2"/>
  <c r="H678" i="2" s="1"/>
  <c r="G679" i="2"/>
  <c r="H679" i="2" s="1"/>
  <c r="G680" i="2"/>
  <c r="H680" i="2" s="1"/>
  <c r="G681" i="2"/>
  <c r="H681" i="2" s="1"/>
  <c r="G682" i="2"/>
  <c r="H682" i="2" s="1"/>
  <c r="G683" i="2"/>
  <c r="H683" i="2" s="1"/>
  <c r="G684" i="2"/>
  <c r="H684" i="2" s="1"/>
  <c r="G685" i="2"/>
  <c r="H685" i="2" s="1"/>
  <c r="G686" i="2"/>
  <c r="H686" i="2" s="1"/>
  <c r="G687" i="2"/>
  <c r="H687" i="2" s="1"/>
  <c r="G688" i="2"/>
  <c r="H688" i="2" s="1"/>
  <c r="G689" i="2"/>
  <c r="H689" i="2" s="1"/>
  <c r="G690" i="2"/>
  <c r="H690" i="2" s="1"/>
  <c r="G691" i="2"/>
  <c r="H691" i="2" s="1"/>
  <c r="G692" i="2"/>
  <c r="H692" i="2" s="1"/>
  <c r="G693" i="2"/>
  <c r="H693" i="2" s="1"/>
  <c r="G694" i="2"/>
  <c r="H694" i="2" s="1"/>
  <c r="G695" i="2"/>
  <c r="H695" i="2" s="1"/>
  <c r="G696" i="2"/>
  <c r="H696" i="2" s="1"/>
  <c r="G697" i="2"/>
  <c r="H697" i="2" s="1"/>
  <c r="G698" i="2"/>
  <c r="H698" i="2" s="1"/>
  <c r="G699" i="2"/>
  <c r="H699" i="2" s="1"/>
  <c r="G700" i="2"/>
  <c r="H700" i="2" s="1"/>
  <c r="G701" i="2"/>
  <c r="H701" i="2" s="1"/>
  <c r="G702" i="2"/>
  <c r="H702" i="2" s="1"/>
  <c r="G703" i="2"/>
  <c r="H703" i="2" s="1"/>
  <c r="G704" i="2"/>
  <c r="H704" i="2" s="1"/>
  <c r="G705" i="2"/>
  <c r="H705" i="2" s="1"/>
  <c r="G706" i="2"/>
  <c r="H706" i="2" s="1"/>
  <c r="G707" i="2"/>
  <c r="H707" i="2" s="1"/>
  <c r="G708" i="2"/>
  <c r="H708" i="2" s="1"/>
  <c r="G709" i="2"/>
  <c r="H709" i="2" s="1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7" i="2"/>
  <c r="H717" i="2" s="1"/>
  <c r="G718" i="2"/>
  <c r="H718" i="2" s="1"/>
  <c r="G719" i="2"/>
  <c r="H719" i="2" s="1"/>
  <c r="G720" i="2"/>
  <c r="H720" i="2" s="1"/>
  <c r="G721" i="2"/>
  <c r="H721" i="2" s="1"/>
  <c r="G722" i="2"/>
  <c r="H722" i="2" s="1"/>
  <c r="G723" i="2"/>
  <c r="H723" i="2" s="1"/>
  <c r="G724" i="2"/>
  <c r="H724" i="2" s="1"/>
  <c r="G725" i="2"/>
  <c r="H725" i="2" s="1"/>
  <c r="G726" i="2"/>
  <c r="H726" i="2" s="1"/>
  <c r="G727" i="2"/>
  <c r="H727" i="2" s="1"/>
  <c r="G728" i="2"/>
  <c r="H728" i="2" s="1"/>
  <c r="G729" i="2"/>
  <c r="H729" i="2" s="1"/>
  <c r="G730" i="2"/>
  <c r="H730" i="2" s="1"/>
  <c r="G731" i="2"/>
  <c r="H731" i="2" s="1"/>
  <c r="G732" i="2"/>
  <c r="H732" i="2" s="1"/>
  <c r="G733" i="2"/>
  <c r="H733" i="2" s="1"/>
  <c r="G734" i="2"/>
  <c r="H734" i="2" s="1"/>
  <c r="G735" i="2"/>
  <c r="H735" i="2" s="1"/>
  <c r="G736" i="2"/>
  <c r="H736" i="2" s="1"/>
  <c r="G737" i="2"/>
  <c r="H737" i="2" s="1"/>
  <c r="G738" i="2"/>
  <c r="H738" i="2" s="1"/>
  <c r="G739" i="2"/>
  <c r="H739" i="2" s="1"/>
  <c r="G740" i="2"/>
  <c r="H740" i="2" s="1"/>
  <c r="G741" i="2"/>
  <c r="H741" i="2" s="1"/>
  <c r="G742" i="2"/>
  <c r="H742" i="2" s="1"/>
  <c r="G743" i="2"/>
  <c r="H743" i="2" s="1"/>
  <c r="G744" i="2"/>
  <c r="H744" i="2" s="1"/>
  <c r="G745" i="2"/>
  <c r="H745" i="2" s="1"/>
  <c r="G746" i="2"/>
  <c r="H746" i="2" s="1"/>
  <c r="G747" i="2"/>
  <c r="H747" i="2" s="1"/>
  <c r="G748" i="2"/>
  <c r="H748" i="2" s="1"/>
  <c r="G749" i="2"/>
  <c r="H749" i="2" s="1"/>
  <c r="G750" i="2"/>
  <c r="H750" i="2" s="1"/>
  <c r="G751" i="2"/>
  <c r="H751" i="2" s="1"/>
  <c r="G752" i="2"/>
  <c r="H752" i="2" s="1"/>
  <c r="G753" i="2"/>
  <c r="H753" i="2" s="1"/>
  <c r="G754" i="2"/>
  <c r="H754" i="2" s="1"/>
  <c r="G755" i="2"/>
  <c r="H755" i="2" s="1"/>
  <c r="G756" i="2"/>
  <c r="H756" i="2" s="1"/>
  <c r="G757" i="2"/>
  <c r="H757" i="2" s="1"/>
  <c r="G758" i="2"/>
  <c r="H758" i="2" s="1"/>
  <c r="G759" i="2"/>
  <c r="H759" i="2" s="1"/>
  <c r="G760" i="2"/>
  <c r="H760" i="2" s="1"/>
  <c r="G761" i="2"/>
  <c r="H761" i="2" s="1"/>
  <c r="G762" i="2"/>
  <c r="H762" i="2" s="1"/>
  <c r="G763" i="2"/>
  <c r="H763" i="2" s="1"/>
  <c r="G764" i="2"/>
  <c r="H764" i="2" s="1"/>
  <c r="G765" i="2"/>
  <c r="H765" i="2" s="1"/>
  <c r="G766" i="2"/>
  <c r="H766" i="2" s="1"/>
  <c r="G767" i="2"/>
  <c r="H767" i="2" s="1"/>
  <c r="G768" i="2"/>
  <c r="H768" i="2" s="1"/>
  <c r="G769" i="2"/>
  <c r="H769" i="2" s="1"/>
  <c r="G770" i="2"/>
  <c r="H770" i="2" s="1"/>
  <c r="G771" i="2"/>
  <c r="H771" i="2" s="1"/>
  <c r="G772" i="2"/>
  <c r="H772" i="2" s="1"/>
  <c r="G773" i="2"/>
  <c r="H773" i="2" s="1"/>
  <c r="G774" i="2"/>
  <c r="H774" i="2" s="1"/>
  <c r="G775" i="2"/>
  <c r="H775" i="2" s="1"/>
  <c r="G776" i="2"/>
  <c r="H776" i="2" s="1"/>
  <c r="G777" i="2"/>
  <c r="H777" i="2" s="1"/>
  <c r="G778" i="2"/>
  <c r="H778" i="2" s="1"/>
  <c r="G779" i="2"/>
  <c r="H779" i="2" s="1"/>
  <c r="G780" i="2"/>
  <c r="H780" i="2" s="1"/>
  <c r="G781" i="2"/>
  <c r="H781" i="2" s="1"/>
  <c r="G782" i="2"/>
  <c r="H782" i="2" s="1"/>
  <c r="G783" i="2"/>
  <c r="H783" i="2" s="1"/>
  <c r="G784" i="2"/>
  <c r="H784" i="2" s="1"/>
  <c r="G785" i="2"/>
  <c r="H785" i="2" s="1"/>
  <c r="G786" i="2"/>
  <c r="H786" i="2" s="1"/>
  <c r="G787" i="2"/>
  <c r="H787" i="2" s="1"/>
  <c r="G788" i="2"/>
  <c r="H788" i="2" s="1"/>
  <c r="G789" i="2"/>
  <c r="H789" i="2" s="1"/>
  <c r="G790" i="2"/>
  <c r="H790" i="2" s="1"/>
  <c r="G791" i="2"/>
  <c r="H791" i="2" s="1"/>
  <c r="G792" i="2"/>
  <c r="H792" i="2" s="1"/>
  <c r="G793" i="2"/>
  <c r="H793" i="2" s="1"/>
  <c r="G794" i="2"/>
  <c r="H794" i="2" s="1"/>
  <c r="G795" i="2"/>
  <c r="H795" i="2" s="1"/>
  <c r="G796" i="2"/>
  <c r="H796" i="2" s="1"/>
  <c r="G797" i="2"/>
  <c r="H797" i="2" s="1"/>
  <c r="G798" i="2"/>
  <c r="H798" i="2" s="1"/>
  <c r="G799" i="2"/>
  <c r="H799" i="2" s="1"/>
  <c r="G800" i="2"/>
  <c r="H800" i="2" s="1"/>
  <c r="G801" i="2"/>
  <c r="H801" i="2" s="1"/>
  <c r="G802" i="2"/>
  <c r="H802" i="2" s="1"/>
  <c r="G803" i="2"/>
  <c r="H803" i="2" s="1"/>
  <c r="G804" i="2"/>
  <c r="H804" i="2" s="1"/>
  <c r="G805" i="2"/>
  <c r="H805" i="2" s="1"/>
  <c r="G806" i="2"/>
  <c r="H806" i="2" s="1"/>
  <c r="G807" i="2"/>
  <c r="H807" i="2" s="1"/>
  <c r="G808" i="2"/>
  <c r="H808" i="2" s="1"/>
  <c r="G809" i="2"/>
  <c r="H809" i="2" s="1"/>
  <c r="G810" i="2"/>
  <c r="H810" i="2" s="1"/>
  <c r="G811" i="2"/>
  <c r="H811" i="2" s="1"/>
  <c r="G812" i="2"/>
  <c r="H812" i="2" s="1"/>
  <c r="G813" i="2"/>
  <c r="H813" i="2" s="1"/>
  <c r="G814" i="2"/>
  <c r="H814" i="2" s="1"/>
  <c r="G815" i="2"/>
  <c r="H815" i="2" s="1"/>
  <c r="G816" i="2"/>
  <c r="H816" i="2" s="1"/>
  <c r="G817" i="2"/>
  <c r="H817" i="2" s="1"/>
  <c r="G818" i="2"/>
  <c r="H818" i="2" s="1"/>
  <c r="G819" i="2"/>
  <c r="H819" i="2" s="1"/>
  <c r="G820" i="2"/>
  <c r="H820" i="2" s="1"/>
  <c r="G821" i="2"/>
  <c r="H821" i="2" s="1"/>
  <c r="G822" i="2"/>
  <c r="H822" i="2" s="1"/>
  <c r="G823" i="2"/>
  <c r="H823" i="2" s="1"/>
  <c r="G824" i="2"/>
  <c r="H824" i="2" s="1"/>
  <c r="G825" i="2"/>
  <c r="H825" i="2" s="1"/>
  <c r="G826" i="2"/>
  <c r="H826" i="2" s="1"/>
  <c r="G827" i="2"/>
  <c r="H827" i="2" s="1"/>
  <c r="G828" i="2"/>
  <c r="H828" i="2" s="1"/>
  <c r="G829" i="2"/>
  <c r="H829" i="2" s="1"/>
  <c r="G830" i="2"/>
  <c r="H830" i="2" s="1"/>
  <c r="G831" i="2"/>
  <c r="H831" i="2" s="1"/>
  <c r="G832" i="2"/>
  <c r="H832" i="2" s="1"/>
  <c r="G833" i="2"/>
  <c r="H833" i="2" s="1"/>
  <c r="G834" i="2"/>
  <c r="H834" i="2" s="1"/>
  <c r="G835" i="2"/>
  <c r="H835" i="2" s="1"/>
  <c r="G836" i="2"/>
  <c r="H836" i="2" s="1"/>
  <c r="G837" i="2"/>
  <c r="H837" i="2" s="1"/>
  <c r="G838" i="2"/>
  <c r="H838" i="2" s="1"/>
  <c r="G839" i="2"/>
  <c r="H839" i="2" s="1"/>
  <c r="G840" i="2"/>
  <c r="H840" i="2" s="1"/>
  <c r="G841" i="2"/>
  <c r="H841" i="2" s="1"/>
  <c r="G842" i="2"/>
  <c r="H842" i="2" s="1"/>
  <c r="G843" i="2"/>
  <c r="H843" i="2" s="1"/>
  <c r="G844" i="2"/>
  <c r="H844" i="2" s="1"/>
  <c r="G845" i="2"/>
  <c r="H845" i="2" s="1"/>
  <c r="G846" i="2"/>
  <c r="H846" i="2" s="1"/>
  <c r="G847" i="2"/>
  <c r="H847" i="2" s="1"/>
  <c r="G848" i="2"/>
  <c r="H848" i="2" s="1"/>
  <c r="G849" i="2"/>
  <c r="H849" i="2" s="1"/>
  <c r="G850" i="2"/>
  <c r="H850" i="2" s="1"/>
  <c r="G851" i="2"/>
  <c r="H851" i="2" s="1"/>
  <c r="G852" i="2"/>
  <c r="H852" i="2" s="1"/>
  <c r="G853" i="2"/>
  <c r="H853" i="2" s="1"/>
  <c r="G854" i="2"/>
  <c r="H854" i="2" s="1"/>
  <c r="G855" i="2"/>
  <c r="H855" i="2" s="1"/>
  <c r="G856" i="2"/>
  <c r="H856" i="2" s="1"/>
  <c r="G857" i="2"/>
  <c r="H857" i="2" s="1"/>
  <c r="G858" i="2"/>
  <c r="H858" i="2" s="1"/>
  <c r="G859" i="2"/>
  <c r="H859" i="2" s="1"/>
  <c r="G860" i="2"/>
  <c r="H860" i="2" s="1"/>
  <c r="G861" i="2"/>
  <c r="H861" i="2" s="1"/>
  <c r="G862" i="2"/>
  <c r="H862" i="2" s="1"/>
  <c r="G863" i="2"/>
  <c r="H863" i="2" s="1"/>
  <c r="G864" i="2"/>
  <c r="H864" i="2" s="1"/>
  <c r="G865" i="2"/>
  <c r="H865" i="2" s="1"/>
  <c r="G866" i="2"/>
  <c r="H866" i="2" s="1"/>
  <c r="G867" i="2"/>
  <c r="H867" i="2" s="1"/>
  <c r="G868" i="2"/>
  <c r="H868" i="2" s="1"/>
  <c r="G869" i="2"/>
  <c r="H869" i="2" s="1"/>
  <c r="G870" i="2"/>
  <c r="H870" i="2" s="1"/>
  <c r="G871" i="2"/>
  <c r="H871" i="2" s="1"/>
  <c r="G872" i="2"/>
  <c r="H872" i="2" s="1"/>
  <c r="G873" i="2"/>
  <c r="H873" i="2" s="1"/>
  <c r="G874" i="2"/>
  <c r="H874" i="2" s="1"/>
  <c r="G875" i="2"/>
  <c r="H875" i="2" s="1"/>
  <c r="G876" i="2"/>
  <c r="H876" i="2" s="1"/>
  <c r="G877" i="2"/>
  <c r="H877" i="2" s="1"/>
  <c r="G878" i="2"/>
  <c r="H878" i="2" s="1"/>
  <c r="G879" i="2"/>
  <c r="H879" i="2" s="1"/>
  <c r="G880" i="2"/>
  <c r="H880" i="2" s="1"/>
  <c r="G881" i="2"/>
  <c r="H881" i="2" s="1"/>
  <c r="G882" i="2"/>
  <c r="H882" i="2" s="1"/>
  <c r="G883" i="2"/>
  <c r="H883" i="2" s="1"/>
  <c r="G884" i="2"/>
  <c r="H884" i="2" s="1"/>
  <c r="G885" i="2"/>
  <c r="H885" i="2" s="1"/>
  <c r="G886" i="2"/>
  <c r="H886" i="2" s="1"/>
  <c r="G887" i="2"/>
  <c r="H887" i="2" s="1"/>
  <c r="G888" i="2"/>
  <c r="H888" i="2" s="1"/>
  <c r="G889" i="2"/>
  <c r="H889" i="2" s="1"/>
  <c r="G890" i="2"/>
  <c r="H890" i="2" s="1"/>
  <c r="G891" i="2"/>
  <c r="H891" i="2" s="1"/>
  <c r="G892" i="2"/>
  <c r="H892" i="2" s="1"/>
  <c r="G893" i="2"/>
  <c r="H893" i="2" s="1"/>
  <c r="G894" i="2"/>
  <c r="H894" i="2" s="1"/>
  <c r="G895" i="2"/>
  <c r="H895" i="2" s="1"/>
  <c r="G896" i="2"/>
  <c r="H896" i="2" s="1"/>
  <c r="G897" i="2"/>
  <c r="H897" i="2" s="1"/>
  <c r="G898" i="2"/>
  <c r="H898" i="2" s="1"/>
  <c r="G899" i="2"/>
  <c r="H899" i="2" s="1"/>
  <c r="G900" i="2"/>
  <c r="H900" i="2" s="1"/>
  <c r="G901" i="2"/>
  <c r="H901" i="2" s="1"/>
  <c r="G902" i="2"/>
  <c r="H902" i="2" s="1"/>
  <c r="G903" i="2"/>
  <c r="H903" i="2" s="1"/>
  <c r="G904" i="2"/>
  <c r="H904" i="2" s="1"/>
  <c r="G905" i="2"/>
  <c r="H905" i="2" s="1"/>
  <c r="G906" i="2"/>
  <c r="H906" i="2" s="1"/>
  <c r="G907" i="2"/>
  <c r="H907" i="2" s="1"/>
  <c r="G908" i="2"/>
  <c r="H908" i="2" s="1"/>
  <c r="G909" i="2"/>
  <c r="H909" i="2" s="1"/>
  <c r="G910" i="2"/>
  <c r="H910" i="2" s="1"/>
  <c r="G911" i="2"/>
  <c r="H911" i="2" s="1"/>
  <c r="G912" i="2"/>
  <c r="H912" i="2" s="1"/>
  <c r="G913" i="2"/>
  <c r="H913" i="2" s="1"/>
  <c r="G914" i="2"/>
  <c r="H914" i="2" s="1"/>
  <c r="G915" i="2"/>
  <c r="H915" i="2" s="1"/>
  <c r="G916" i="2"/>
  <c r="H916" i="2" s="1"/>
  <c r="G917" i="2"/>
  <c r="H917" i="2" s="1"/>
  <c r="G918" i="2"/>
  <c r="H918" i="2" s="1"/>
  <c r="G919" i="2"/>
  <c r="H919" i="2" s="1"/>
  <c r="G920" i="2"/>
  <c r="H920" i="2" s="1"/>
  <c r="G921" i="2"/>
  <c r="H921" i="2" s="1"/>
  <c r="G922" i="2"/>
  <c r="H922" i="2" s="1"/>
  <c r="G923" i="2"/>
  <c r="H923" i="2" s="1"/>
  <c r="G924" i="2"/>
  <c r="H924" i="2" s="1"/>
  <c r="G925" i="2"/>
  <c r="H925" i="2" s="1"/>
  <c r="G926" i="2"/>
  <c r="H926" i="2" s="1"/>
  <c r="G927" i="2"/>
  <c r="H927" i="2" s="1"/>
  <c r="G928" i="2"/>
  <c r="H928" i="2" s="1"/>
  <c r="G929" i="2"/>
  <c r="H929" i="2" s="1"/>
  <c r="G930" i="2"/>
  <c r="H930" i="2" s="1"/>
  <c r="G931" i="2"/>
  <c r="H931" i="2" s="1"/>
  <c r="G932" i="2"/>
  <c r="H932" i="2" s="1"/>
  <c r="G933" i="2"/>
  <c r="H933" i="2" s="1"/>
  <c r="G934" i="2"/>
  <c r="H934" i="2" s="1"/>
  <c r="G935" i="2"/>
  <c r="H935" i="2" s="1"/>
  <c r="G936" i="2"/>
  <c r="H936" i="2" s="1"/>
  <c r="G937" i="2"/>
  <c r="H937" i="2" s="1"/>
  <c r="G938" i="2"/>
  <c r="H938" i="2" s="1"/>
  <c r="G939" i="2"/>
  <c r="H939" i="2" s="1"/>
  <c r="G940" i="2"/>
  <c r="H940" i="2" s="1"/>
  <c r="G941" i="2"/>
  <c r="H941" i="2" s="1"/>
  <c r="G942" i="2"/>
  <c r="H942" i="2" s="1"/>
  <c r="G943" i="2"/>
  <c r="H943" i="2" s="1"/>
  <c r="G944" i="2"/>
  <c r="H944" i="2" s="1"/>
  <c r="G945" i="2"/>
  <c r="H945" i="2" s="1"/>
  <c r="G946" i="2"/>
  <c r="H946" i="2" s="1"/>
  <c r="G947" i="2"/>
  <c r="H947" i="2" s="1"/>
  <c r="G948" i="2"/>
  <c r="H948" i="2" s="1"/>
  <c r="G949" i="2"/>
  <c r="H949" i="2" s="1"/>
  <c r="G950" i="2"/>
  <c r="H950" i="2" s="1"/>
  <c r="G951" i="2"/>
  <c r="H951" i="2" s="1"/>
  <c r="G952" i="2"/>
  <c r="H952" i="2" s="1"/>
  <c r="G953" i="2"/>
  <c r="H953" i="2" s="1"/>
  <c r="G954" i="2"/>
  <c r="H954" i="2" s="1"/>
  <c r="G955" i="2"/>
  <c r="H955" i="2" s="1"/>
  <c r="G956" i="2"/>
  <c r="H956" i="2" s="1"/>
  <c r="G957" i="2"/>
  <c r="H957" i="2" s="1"/>
  <c r="G958" i="2"/>
  <c r="H958" i="2" s="1"/>
  <c r="G959" i="2"/>
  <c r="H959" i="2" s="1"/>
  <c r="G960" i="2"/>
  <c r="H960" i="2" s="1"/>
  <c r="G961" i="2"/>
  <c r="H961" i="2" s="1"/>
  <c r="G962" i="2"/>
  <c r="H962" i="2" s="1"/>
  <c r="G963" i="2"/>
  <c r="H963" i="2" s="1"/>
  <c r="G964" i="2"/>
  <c r="H964" i="2" s="1"/>
  <c r="G965" i="2"/>
  <c r="H965" i="2" s="1"/>
  <c r="G966" i="2"/>
  <c r="H966" i="2" s="1"/>
  <c r="G967" i="2"/>
  <c r="H967" i="2" s="1"/>
  <c r="G968" i="2"/>
  <c r="H968" i="2" s="1"/>
  <c r="G969" i="2"/>
  <c r="H969" i="2" s="1"/>
  <c r="G970" i="2"/>
  <c r="H970" i="2" s="1"/>
  <c r="G971" i="2"/>
  <c r="H971" i="2" s="1"/>
  <c r="G972" i="2"/>
  <c r="H972" i="2" s="1"/>
  <c r="G973" i="2"/>
  <c r="H973" i="2" s="1"/>
  <c r="G974" i="2"/>
  <c r="H974" i="2" s="1"/>
  <c r="G975" i="2"/>
  <c r="H975" i="2" s="1"/>
  <c r="G976" i="2"/>
  <c r="H976" i="2" s="1"/>
  <c r="G977" i="2"/>
  <c r="H977" i="2" s="1"/>
  <c r="G978" i="2"/>
  <c r="H978" i="2" s="1"/>
  <c r="G979" i="2"/>
  <c r="H979" i="2" s="1"/>
  <c r="G980" i="2"/>
  <c r="H980" i="2" s="1"/>
  <c r="G981" i="2"/>
  <c r="H981" i="2" s="1"/>
  <c r="G982" i="2"/>
  <c r="H982" i="2" s="1"/>
  <c r="G983" i="2"/>
  <c r="H983" i="2" s="1"/>
  <c r="G984" i="2"/>
  <c r="H984" i="2" s="1"/>
  <c r="G985" i="2"/>
  <c r="H985" i="2" s="1"/>
  <c r="G986" i="2"/>
  <c r="H986" i="2" s="1"/>
  <c r="G987" i="2"/>
  <c r="H987" i="2" s="1"/>
  <c r="G988" i="2"/>
  <c r="H988" i="2" s="1"/>
  <c r="G989" i="2"/>
  <c r="H989" i="2" s="1"/>
  <c r="G990" i="2"/>
  <c r="H990" i="2" s="1"/>
  <c r="G991" i="2"/>
  <c r="H991" i="2" s="1"/>
  <c r="G992" i="2"/>
  <c r="H992" i="2" s="1"/>
  <c r="G993" i="2"/>
  <c r="H993" i="2" s="1"/>
  <c r="G994" i="2"/>
  <c r="H994" i="2" s="1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13" i="6" l="1" a="1"/>
  <c r="E13" i="6" s="1"/>
  <c r="D8" i="6" a="1"/>
  <c r="D8" i="6" s="1"/>
  <c r="E14" i="6" l="1" a="1"/>
  <c r="E14" i="6" s="1"/>
  <c r="H6" i="5"/>
  <c r="G20" i="6" a="1"/>
  <c r="G20" i="6" s="1"/>
  <c r="E15" i="6" a="1"/>
  <c r="E15" i="6" s="1"/>
  <c r="G22" i="6" l="1"/>
  <c r="F29" i="6" s="1"/>
  <c r="W4" i="5"/>
  <c r="W5" i="5" s="1"/>
  <c r="W8" i="5"/>
  <c r="W6" i="5" s="1"/>
  <c r="J29" i="6" l="1" a="1"/>
  <c r="J29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69C58A-9830-4BBC-9A00-8A9A1A21D16F}" keepAlive="1" name="ThisWorkbookDataModel" description="資料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113B62B-AEAC-4ACB-9368-9D584E224C22}" name="WorksheetConnection_202603 Century Field Payroll (Philips WA).xlsx!表格468[[3]:[Total]]" type="102" refreshedVersion="8" minRefreshableVersion="5">
    <extLst>
      <ext xmlns:x15="http://schemas.microsoft.com/office/spreadsheetml/2010/11/main" uri="{DE250136-89BD-433C-8126-D09CA5730AF9}">
        <x15:connection id="表格468  3   Total-4b1e494b-ea43-4e5e-bcfa-dacfb0d214e5" autoDelete="1">
          <x15:rangePr sourceName="_xlcn.WorksheetConnection_202603CenturyFieldPayrollPhilipsWA.xlsx表格4683Total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<sst xmlns="http://schemas.openxmlformats.org/spreadsheetml/2006/main" count="4416" uniqueCount="1028">
  <si>
    <t>SW Wing On</t>
  </si>
  <si>
    <t>No.</t>
    <phoneticPr fontId="16" type="noConversion"/>
  </si>
  <si>
    <t>Shop</t>
    <phoneticPr fontId="17" type="noConversion"/>
  </si>
  <si>
    <t>Location</t>
    <phoneticPr fontId="16" type="noConversion"/>
  </si>
  <si>
    <t>Promoter</t>
    <phoneticPr fontId="16" type="noConversion"/>
  </si>
  <si>
    <t>month</t>
    <phoneticPr fontId="17" type="noConversion"/>
  </si>
  <si>
    <t>date</t>
    <phoneticPr fontId="17" type="noConversion"/>
  </si>
  <si>
    <t>Model</t>
    <phoneticPr fontId="16" type="noConversion"/>
  </si>
  <si>
    <t>Product Line</t>
    <phoneticPr fontId="16" type="noConversion"/>
  </si>
  <si>
    <t>quantity</t>
    <phoneticPr fontId="17" type="noConversion"/>
  </si>
  <si>
    <t>price</t>
    <phoneticPr fontId="17" type="noConversion"/>
  </si>
  <si>
    <t>Remark</t>
    <phoneticPr fontId="16" type="noConversion"/>
  </si>
  <si>
    <t>WP4141</t>
  </si>
  <si>
    <t>Model-Input-Ref</t>
    <phoneticPr fontId="16" type="noConversion"/>
  </si>
  <si>
    <t>Report-Model-List</t>
    <phoneticPr fontId="16" type="noConversion"/>
  </si>
  <si>
    <t>家用梳打水機</t>
  </si>
  <si>
    <t>濾芯</t>
  </si>
  <si>
    <t>ADD6910/90</t>
  </si>
  <si>
    <t>飲水機</t>
  </si>
  <si>
    <t>RO純淨飲水機</t>
  </si>
  <si>
    <t>純淨飲水機</t>
  </si>
  <si>
    <t>ADD6915DG</t>
  </si>
  <si>
    <t>AWP1775</t>
  </si>
  <si>
    <t>淋浴過濾器</t>
  </si>
  <si>
    <t>AWP1775/90</t>
  </si>
  <si>
    <t>AWP1775+AWP175</t>
  </si>
  <si>
    <t>飛利浦 Micro Pure 濾水芯</t>
  </si>
  <si>
    <t>AWP211/97</t>
  </si>
  <si>
    <t>AWP2920/03</t>
  </si>
  <si>
    <t>濾水壺</t>
  </si>
  <si>
    <t>AWP2935</t>
  </si>
  <si>
    <t>便攜式濾水瓶</t>
  </si>
  <si>
    <t>AWP2970/03</t>
  </si>
  <si>
    <t>AWP2970/AWP260</t>
  </si>
  <si>
    <t>濾水壺替換濾芯兩個裝</t>
  </si>
  <si>
    <t>AWP315/97</t>
  </si>
  <si>
    <t>超濾龍頭式淨水器組合</t>
  </si>
  <si>
    <t>AWP3753/97</t>
  </si>
  <si>
    <t>水龍頭過濾器</t>
  </si>
  <si>
    <t>AWP3754/97</t>
  </si>
  <si>
    <t>AquaShield 水龍頭過濾器</t>
  </si>
  <si>
    <t>AWPA75CH/P7</t>
  </si>
  <si>
    <t>捲髮器</t>
  </si>
  <si>
    <t>電風筒</t>
  </si>
  <si>
    <t>SenseIQ 電風筒</t>
  </si>
  <si>
    <t>空氣清新機過濾網</t>
  </si>
  <si>
    <t>ComfortTouch 蒸汽掛熨機</t>
  </si>
  <si>
    <t>濾水器</t>
  </si>
  <si>
    <t>HD3902/00</t>
  </si>
  <si>
    <t>HD9348</t>
  </si>
  <si>
    <t>電熱水煲</t>
  </si>
  <si>
    <t>健康空氣炸鍋</t>
  </si>
  <si>
    <t>迷你攪拌機</t>
  </si>
  <si>
    <t>聲波震動牙刷</t>
  </si>
  <si>
    <t>HX6857/20</t>
  </si>
  <si>
    <t>HX6871</t>
  </si>
  <si>
    <t>Lever II LED 充電檯燈</t>
  </si>
  <si>
    <t>鬚刨</t>
  </si>
  <si>
    <t>淋浴淨水器套裝</t>
  </si>
  <si>
    <t>WP3811/00</t>
  </si>
  <si>
    <t>水龍頭濾水器</t>
  </si>
  <si>
    <t>WP3812/00</t>
  </si>
  <si>
    <t>水龍頭過濾器濾心組合</t>
  </si>
  <si>
    <t>WP3812+WP3922</t>
  </si>
  <si>
    <t>WP3822/00</t>
  </si>
  <si>
    <t>WP3861/00</t>
  </si>
  <si>
    <t>淨水器 WP3870</t>
  </si>
  <si>
    <t>5重超濾複合濾芯</t>
  </si>
  <si>
    <t>WP3887/01</t>
  </si>
  <si>
    <t>廚房座檯濾水器</t>
  </si>
  <si>
    <t>4重過濾替換濾水芯</t>
  </si>
  <si>
    <t>WP3911/00</t>
  </si>
  <si>
    <t>WP3922</t>
  </si>
  <si>
    <t>水龍頭濾水器替換濾芯</t>
  </si>
  <si>
    <t>WP3922/00</t>
  </si>
  <si>
    <t>WP3961/00</t>
  </si>
  <si>
    <t>廚下式濾水系統濾芯</t>
  </si>
  <si>
    <t>WP4111/90</t>
  </si>
  <si>
    <t>淋浴過濾器濾芯</t>
  </si>
  <si>
    <t>WP4141/90</t>
  </si>
  <si>
    <t>WP4141+AWP1775</t>
  </si>
  <si>
    <t>WP4161/01</t>
  </si>
  <si>
    <t>超細微過濾效能濾水器</t>
  </si>
  <si>
    <t>WP4161/90</t>
  </si>
  <si>
    <t>AWP3703/97</t>
  </si>
  <si>
    <t>AUT4030R600/90</t>
  </si>
  <si>
    <t>櫥下型濾水器</t>
  </si>
  <si>
    <t>AWP305</t>
  </si>
  <si>
    <t>三重過濾濾芯</t>
  </si>
  <si>
    <t>ADD8906/97</t>
  </si>
  <si>
    <t>微納米氣泡潔膚儀</t>
  </si>
  <si>
    <t>AUT7063R23/90</t>
  </si>
  <si>
    <t>櫥下型系統</t>
  </si>
  <si>
    <t>PPM3501DB/90</t>
  </si>
  <si>
    <t>頸部按摩器</t>
  </si>
  <si>
    <t>PPM6501</t>
  </si>
  <si>
    <t>腳部水療按摩</t>
  </si>
  <si>
    <t>ADD8041H</t>
  </si>
  <si>
    <t>掛牆式即熱飲水機</t>
  </si>
  <si>
    <t>ASH138/97</t>
  </si>
  <si>
    <t>AWP3381</t>
  </si>
  <si>
    <t>便攜養生樽</t>
  </si>
  <si>
    <t>ADD6912/BL</t>
  </si>
  <si>
    <t>PPM3522DB/90</t>
  </si>
  <si>
    <t>按摩披肩</t>
  </si>
  <si>
    <t>即熱純淨飲水機</t>
  </si>
  <si>
    <t>迷你按摩槍</t>
  </si>
  <si>
    <t>AUT604CB/90</t>
  </si>
  <si>
    <t>櫥下式濾芯</t>
  </si>
  <si>
    <t>ADD5981</t>
  </si>
  <si>
    <t>冷熱過濾飲水機</t>
  </si>
  <si>
    <t>AUT810/90</t>
    <phoneticPr fontId="16" type="noConversion"/>
  </si>
  <si>
    <t>Invoice No.</t>
    <phoneticPr fontId="30" type="noConversion"/>
  </si>
  <si>
    <t>Total</t>
    <phoneticPr fontId="30" type="noConversion"/>
  </si>
  <si>
    <r>
      <rPr>
        <b/>
        <sz val="26"/>
        <rFont val="細明體"/>
        <family val="3"/>
        <charset val="136"/>
      </rPr>
      <t>請勿隨意加</t>
    </r>
    <r>
      <rPr>
        <b/>
        <sz val="26"/>
        <rFont val="Calibri"/>
        <family val="2"/>
      </rPr>
      <t>/</t>
    </r>
    <r>
      <rPr>
        <b/>
        <sz val="26"/>
        <rFont val="細明體"/>
        <family val="3"/>
        <charset val="136"/>
      </rPr>
      <t>刪行及列會影響糧單公式錯亂</t>
    </r>
    <phoneticPr fontId="30" type="noConversion"/>
  </si>
  <si>
    <t>Income</t>
    <phoneticPr fontId="30" type="noConversion"/>
  </si>
  <si>
    <t>Pay</t>
    <phoneticPr fontId="30" type="noConversion"/>
  </si>
  <si>
    <t>GP</t>
    <phoneticPr fontId="30" type="noConversion"/>
  </si>
  <si>
    <t>Name</t>
    <phoneticPr fontId="30" type="noConversion"/>
  </si>
  <si>
    <t>CQ No.</t>
    <phoneticPr fontId="30" type="noConversion"/>
  </si>
  <si>
    <t>Period</t>
    <phoneticPr fontId="30" type="noConversion"/>
  </si>
  <si>
    <t>Days</t>
    <phoneticPr fontId="30" type="noConversion"/>
  </si>
  <si>
    <t>Reg.Hrs</t>
    <phoneticPr fontId="30" type="noConversion"/>
  </si>
  <si>
    <t>$</t>
    <phoneticPr fontId="30" type="noConversion"/>
  </si>
  <si>
    <t>Sales Amt</t>
  </si>
  <si>
    <t>Qty</t>
  </si>
  <si>
    <t>Basic Comm</t>
  </si>
  <si>
    <t>Attendance</t>
  </si>
  <si>
    <t>Allowance</t>
  </si>
  <si>
    <t>Expenses</t>
  </si>
  <si>
    <t>Adjustmant</t>
  </si>
  <si>
    <t>MPF</t>
  </si>
  <si>
    <t>Total</t>
  </si>
  <si>
    <t>Input</t>
  </si>
  <si>
    <t>i Wall@</t>
    <phoneticPr fontId="30" type="noConversion"/>
  </si>
  <si>
    <t>SharpSing Limited</t>
    <phoneticPr fontId="30" type="noConversion"/>
  </si>
  <si>
    <t>Room 1609, 16/F., Golden Era Plaza, No. 39 Sai Yee Street, Mongkok, KLN. Tel:35868635 Fax:31889330</t>
    <phoneticPr fontId="30" type="noConversion"/>
  </si>
  <si>
    <t>Name/姓名</t>
    <phoneticPr fontId="30" type="noConversion"/>
  </si>
  <si>
    <t>CQ NO.</t>
    <phoneticPr fontId="30" type="noConversion"/>
  </si>
  <si>
    <t>Job Detail</t>
    <phoneticPr fontId="30" type="noConversion"/>
  </si>
  <si>
    <t>Content</t>
    <phoneticPr fontId="30" type="noConversion"/>
  </si>
  <si>
    <t>Job Categories/工作類別</t>
  </si>
  <si>
    <t>Promoter</t>
  </si>
  <si>
    <t>Location/工作地點</t>
  </si>
  <si>
    <t>Period/工作日子</t>
    <phoneticPr fontId="30" type="noConversion"/>
  </si>
  <si>
    <t>Reg.Day/工作日數</t>
  </si>
  <si>
    <t>Reg.Hour/工作時數</t>
  </si>
  <si>
    <t>HK$/時薪</t>
  </si>
  <si>
    <t>Sales Record/銷售紀錄</t>
  </si>
  <si>
    <t>Salary Detail</t>
    <phoneticPr fontId="30" type="noConversion"/>
  </si>
  <si>
    <t>Sub. Total</t>
    <phoneticPr fontId="30" type="noConversion"/>
  </si>
  <si>
    <t>Basic/酬金</t>
  </si>
  <si>
    <t>Attendance/出勤</t>
    <phoneticPr fontId="30" type="noConversion"/>
  </si>
  <si>
    <t>Commission/佣金</t>
  </si>
  <si>
    <t>Allowance/津貼</t>
    <phoneticPr fontId="30" type="noConversion"/>
  </si>
  <si>
    <t>Award/獎金</t>
    <phoneticPr fontId="30" type="noConversion"/>
  </si>
  <si>
    <t>Expenses/支出</t>
  </si>
  <si>
    <t xml:space="preserve"> </t>
  </si>
  <si>
    <t>Other/其他</t>
    <phoneticPr fontId="30" type="noConversion"/>
  </si>
  <si>
    <t>Adjustment/調整</t>
    <phoneticPr fontId="30" type="noConversion"/>
  </si>
  <si>
    <t>MPF/強積金**</t>
    <phoneticPr fontId="30" type="noConversion"/>
  </si>
  <si>
    <t>**如屬自僱人仕必須自行購買勞工保險及強積金；</t>
  </si>
  <si>
    <t>註 1：如所支付之金額有錯誤，請在兩天內提出；</t>
  </si>
  <si>
    <t>註 2：請自行核對清楚支票上的姓名及金額；</t>
  </si>
  <si>
    <t>Promoter 確認簽名 :</t>
    <phoneticPr fontId="30" type="noConversion"/>
  </si>
  <si>
    <t>I.D. Card No. :</t>
    <phoneticPr fontId="30" type="noConversion"/>
  </si>
  <si>
    <t>i Wall@</t>
  </si>
  <si>
    <t>SharpSing Limited</t>
  </si>
  <si>
    <t>Room 1609, 16/F., Golden Era Plaza, No. 39 Sai Yee Street, Mongkok, KLN. Tel:35868635 Fax:31889330</t>
  </si>
  <si>
    <t>Name/姓名</t>
  </si>
  <si>
    <t>CQ NO.</t>
  </si>
  <si>
    <t>Job Detail</t>
  </si>
  <si>
    <t>Content</t>
  </si>
  <si>
    <t>Period/工作日子</t>
  </si>
  <si>
    <t>Salary Detail</t>
  </si>
  <si>
    <t>Sub. Total</t>
  </si>
  <si>
    <t>Attendance/出勤</t>
  </si>
  <si>
    <t>Allowance/津貼</t>
  </si>
  <si>
    <t>Award/獎金</t>
  </si>
  <si>
    <t>Other/其他</t>
  </si>
  <si>
    <t>Adjustment/調整</t>
  </si>
  <si>
    <t>MPF/強積金**</t>
  </si>
  <si>
    <t>Promoter 確認簽名 :</t>
  </si>
  <si>
    <t>I.D. Card No. :</t>
  </si>
  <si>
    <t>Location</t>
    <phoneticPr fontId="30" type="noConversion"/>
  </si>
  <si>
    <t>Date</t>
    <phoneticPr fontId="30" type="noConversion"/>
  </si>
  <si>
    <t>Nick Name</t>
    <phoneticPr fontId="30" type="noConversion"/>
  </si>
  <si>
    <t>In-Time</t>
    <phoneticPr fontId="30" type="noConversion"/>
  </si>
  <si>
    <t>Out-Time</t>
    <phoneticPr fontId="30" type="noConversion"/>
  </si>
  <si>
    <t xml:space="preserve"> Hours</t>
    <phoneticPr fontId="30" type="noConversion"/>
  </si>
  <si>
    <t>OT Hours</t>
    <phoneticPr fontId="30" type="noConversion"/>
  </si>
  <si>
    <t>Hours Worked</t>
  </si>
  <si>
    <t>Hourly Rate</t>
    <phoneticPr fontId="30" type="noConversion"/>
  </si>
  <si>
    <t>Total Pay</t>
    <phoneticPr fontId="30" type="noConversion"/>
  </si>
  <si>
    <t>Remark</t>
    <phoneticPr fontId="30" type="noConversion"/>
  </si>
  <si>
    <r>
      <t>Commission</t>
    </r>
    <r>
      <rPr>
        <sz val="12"/>
        <color theme="1"/>
        <rFont val="Microsoft YaHei"/>
        <family val="2"/>
        <charset val="134"/>
      </rPr>
      <t xml:space="preserve"> 3%</t>
    </r>
    <phoneticPr fontId="16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</si>
  <si>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2.5</t>
    </r>
    <r>
      <rPr>
        <sz val="12"/>
        <color theme="1"/>
        <rFont val="微軟正黑體"/>
        <family val="2"/>
        <charset val="134"/>
      </rPr>
      <t>%</t>
    </r>
    <phoneticPr fontId="4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</si>
  <si>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1.5</t>
    </r>
    <r>
      <rPr>
        <sz val="12"/>
        <color theme="1"/>
        <rFont val="微軟正黑體"/>
        <family val="2"/>
        <charset val="134"/>
      </rPr>
      <t>%</t>
    </r>
    <phoneticPr fontId="4" type="noConversion"/>
  </si>
  <si>
    <r>
      <t xml:space="preserve">Normal working
</t>
    </r>
    <r>
      <rPr>
        <sz val="12"/>
        <color theme="1"/>
        <rFont val="Microsoft YaHei"/>
        <family val="2"/>
        <charset val="134"/>
      </rPr>
      <t xml:space="preserve"> </t>
    </r>
    <r>
      <rPr>
        <sz val="12"/>
        <color theme="1"/>
        <rFont val="新細明體"/>
        <family val="2"/>
        <charset val="136"/>
        <scheme val="minor"/>
      </rPr>
      <t>hours</t>
    </r>
    <phoneticPr fontId="30" type="noConversion"/>
  </si>
  <si>
    <t>In-Time2</t>
    <phoneticPr fontId="4" type="noConversion"/>
  </si>
  <si>
    <t>Out-Time2</t>
    <phoneticPr fontId="4" type="noConversion"/>
  </si>
  <si>
    <t>ID2</t>
    <phoneticPr fontId="4" type="noConversion"/>
  </si>
  <si>
    <t>ID3</t>
    <phoneticPr fontId="4" type="noConversion"/>
  </si>
  <si>
    <t>ID1</t>
    <phoneticPr fontId="4" type="noConversion"/>
  </si>
  <si>
    <t>Full Name</t>
    <phoneticPr fontId="4" type="noConversion"/>
  </si>
  <si>
    <t>Chan Yun Hing</t>
  </si>
  <si>
    <t>Shop</t>
  </si>
  <si>
    <t>Test</t>
    <phoneticPr fontId="4" type="noConversion"/>
  </si>
  <si>
    <t>No</t>
    <phoneticPr fontId="4" type="noConversion"/>
  </si>
  <si>
    <t>Nick Name</t>
    <phoneticPr fontId="4" type="noConversion"/>
  </si>
  <si>
    <t>Hourr Rate</t>
    <phoneticPr fontId="4" type="noConversion"/>
  </si>
  <si>
    <t>當月location</t>
    <phoneticPr fontId="4" type="noConversion"/>
  </si>
  <si>
    <t>以下自動不用理….</t>
    <phoneticPr fontId="4" type="noConversion"/>
  </si>
  <si>
    <t>以下不用入location…</t>
    <phoneticPr fontId="4" type="noConversion"/>
  </si>
  <si>
    <t>Man Day</t>
    <phoneticPr fontId="4" type="noConversion"/>
  </si>
  <si>
    <t>Hours</t>
    <phoneticPr fontId="4" type="noConversion"/>
  </si>
  <si>
    <t>要入當月1號日期&gt;&gt;&gt;&gt;&gt;</t>
    <phoneticPr fontId="4" type="noConversion"/>
  </si>
  <si>
    <t>Input</t>
    <phoneticPr fontId="4" type="noConversion"/>
  </si>
  <si>
    <t>以下溢出代表時間表個頁相同location n date,不同人</t>
    <phoneticPr fontId="4" type="noConversion"/>
  </si>
  <si>
    <t>Irene</t>
  </si>
  <si>
    <t>總計</t>
  </si>
  <si>
    <t>計數 - Date</t>
  </si>
  <si>
    <t>Nick Name</t>
  </si>
  <si>
    <t>Location</t>
  </si>
  <si>
    <t>Name</t>
  </si>
  <si>
    <t>保護工作表PW:1234</t>
    <phoneticPr fontId="4" type="noConversion"/>
  </si>
  <si>
    <t>Lo Chun Wah</t>
  </si>
  <si>
    <t>Wah</t>
  </si>
  <si>
    <t>Lok Yin Ling</t>
  </si>
  <si>
    <t>Ling</t>
  </si>
  <si>
    <t>Woo Kin Ming</t>
  </si>
  <si>
    <t>Wong Sui Ping</t>
  </si>
  <si>
    <t>Joe</t>
  </si>
  <si>
    <t>Yuen Maria Wing Yan</t>
  </si>
  <si>
    <t>Carol</t>
  </si>
  <si>
    <t>Leung Mei Kiu</t>
  </si>
  <si>
    <t>Chueng Yin Ping</t>
  </si>
  <si>
    <t>Pinky</t>
  </si>
  <si>
    <t>ADD8906  5%</t>
    <phoneticPr fontId="16" type="noConversion"/>
  </si>
  <si>
    <t>Suning TKO Roadshow</t>
  </si>
  <si>
    <t>(空白)</t>
  </si>
  <si>
    <t>Tai Po Yata</t>
  </si>
  <si>
    <t>Tuen Wan Aeon</t>
  </si>
  <si>
    <t xml:space="preserve">Tuen Wan Yata </t>
  </si>
  <si>
    <t>Yuen Long Citistore</t>
  </si>
  <si>
    <t>Kowloon Bay Fortress</t>
  </si>
  <si>
    <t>Kwai Fong Fortress</t>
  </si>
  <si>
    <t>CWB Sogo</t>
  </si>
  <si>
    <t>Mei Kiu</t>
  </si>
  <si>
    <t xml:space="preserve"> Wu Sir</t>
  </si>
  <si>
    <t>座枱式濾水器濾水芯</t>
    <phoneticPr fontId="16" type="noConversion"/>
  </si>
  <si>
    <t>Page</t>
    <phoneticPr fontId="4" type="noConversion"/>
  </si>
  <si>
    <t>Total Price</t>
    <phoneticPr fontId="4" type="noConversion"/>
  </si>
  <si>
    <t>Yu</t>
  </si>
  <si>
    <t>Chan Fung Yu</t>
  </si>
  <si>
    <t>#N/A</t>
  </si>
  <si>
    <t xml:space="preserve">  </t>
    <phoneticPr fontId="4" type="noConversion"/>
  </si>
  <si>
    <r>
      <rPr>
        <b/>
        <sz val="26"/>
        <color theme="1"/>
        <rFont val="微軟正黑體"/>
        <family val="2"/>
        <charset val="136"/>
      </rPr>
      <t>酬</t>
    </r>
    <r>
      <rPr>
        <b/>
        <sz val="26"/>
        <color theme="1"/>
        <rFont val="Calibri"/>
        <family val="2"/>
      </rPr>
      <t xml:space="preserve">  </t>
    </r>
    <r>
      <rPr>
        <b/>
        <sz val="26"/>
        <color theme="1"/>
        <rFont val="微軟正黑體"/>
        <family val="2"/>
        <charset val="136"/>
      </rPr>
      <t>金</t>
    </r>
    <phoneticPr fontId="30" type="noConversion"/>
  </si>
  <si>
    <t>3</t>
  </si>
  <si>
    <t>欄1</t>
  </si>
  <si>
    <t>rate</t>
  </si>
  <si>
    <t>ph da comm</t>
  </si>
  <si>
    <t>Remark</t>
  </si>
  <si>
    <t>Roadshow</t>
  </si>
  <si>
    <t>Candy</t>
  </si>
  <si>
    <t>PH &amp;DA Commission</t>
    <phoneticPr fontId="4" type="noConversion"/>
  </si>
  <si>
    <t>PH&amp;DA Sales Amt</t>
    <phoneticPr fontId="4" type="noConversion"/>
  </si>
  <si>
    <t>concat</t>
    <phoneticPr fontId="4" type="noConversion"/>
  </si>
  <si>
    <t>Lo Chun Wah</t>
    <phoneticPr fontId="4" type="noConversion"/>
  </si>
  <si>
    <t>Yuen Maria Wing Yan</t>
    <phoneticPr fontId="4" type="noConversion"/>
  </si>
  <si>
    <t>Sin Wai Chun</t>
    <phoneticPr fontId="4" type="noConversion"/>
  </si>
  <si>
    <t>Leung Mei Kiu</t>
    <phoneticPr fontId="4" type="noConversion"/>
  </si>
  <si>
    <t>Yim Wan Chau</t>
    <phoneticPr fontId="4" type="noConversion"/>
  </si>
  <si>
    <t>Ho Lai Sim</t>
    <phoneticPr fontId="4" type="noConversion"/>
  </si>
  <si>
    <t>MPF</t>
    <phoneticPr fontId="4" type="noConversion"/>
  </si>
  <si>
    <t xml:space="preserve"> Wu Sir</t>
    <phoneticPr fontId="4" type="noConversion"/>
  </si>
  <si>
    <t>Wong Ka Mei</t>
  </si>
  <si>
    <t>Candy</t>
    <phoneticPr fontId="4" type="noConversion"/>
  </si>
  <si>
    <t>Apple</t>
    <phoneticPr fontId="4" type="noConversion"/>
  </si>
  <si>
    <t>Mei Kiu</t>
    <phoneticPr fontId="4" type="noConversion"/>
  </si>
  <si>
    <r>
      <t>Ch</t>
    </r>
    <r>
      <rPr>
        <sz val="12"/>
        <color theme="1"/>
        <rFont val="Microsoft YaHei"/>
        <family val="2"/>
        <charset val="134"/>
      </rPr>
      <t>eung</t>
    </r>
    <r>
      <rPr>
        <sz val="12"/>
        <color theme="1"/>
        <rFont val="新細明體"/>
        <family val="2"/>
        <charset val="136"/>
        <scheme val="minor"/>
      </rPr>
      <t xml:space="preserve"> Yin Ping</t>
    </r>
    <phoneticPr fontId="4" type="noConversion"/>
  </si>
  <si>
    <t>Pinky</t>
    <phoneticPr fontId="4" type="noConversion"/>
  </si>
  <si>
    <t>Carol</t>
    <phoneticPr fontId="4" type="noConversion"/>
  </si>
  <si>
    <t>Wong Ka Mei 2</t>
    <phoneticPr fontId="4" type="noConversion"/>
  </si>
  <si>
    <t>Chau</t>
    <phoneticPr fontId="4" type="noConversion"/>
  </si>
  <si>
    <t>Mandy</t>
    <phoneticPr fontId="4" type="noConversion"/>
  </si>
  <si>
    <r>
      <t>Chan Fung Yu</t>
    </r>
    <r>
      <rPr>
        <sz val="12"/>
        <color theme="1"/>
        <rFont val="微軟正黑體"/>
        <family val="2"/>
        <charset val="134"/>
      </rPr>
      <t xml:space="preserve"> 2</t>
    </r>
    <phoneticPr fontId="4" type="noConversion"/>
  </si>
  <si>
    <t>Lam Tsz Man</t>
    <phoneticPr fontId="4" type="noConversion"/>
  </si>
  <si>
    <t>Joey</t>
    <phoneticPr fontId="4" type="noConversion"/>
  </si>
  <si>
    <t>Tan Xing Fang</t>
    <phoneticPr fontId="4" type="noConversion"/>
  </si>
  <si>
    <t>Hazel</t>
    <phoneticPr fontId="4" type="noConversion"/>
  </si>
  <si>
    <r>
      <rPr>
        <b/>
        <sz val="26"/>
        <rFont val="微軟正黑體"/>
        <family val="2"/>
        <charset val="136"/>
      </rPr>
      <t>如之前做法</t>
    </r>
    <r>
      <rPr>
        <b/>
        <sz val="26"/>
        <rFont val="Calibri"/>
        <family val="2"/>
      </rPr>
      <t xml:space="preserve">, </t>
    </r>
    <r>
      <rPr>
        <b/>
        <sz val="26"/>
        <rFont val="微軟正黑體"/>
        <family val="2"/>
        <charset val="136"/>
      </rPr>
      <t>如當日有編更</t>
    </r>
    <r>
      <rPr>
        <b/>
        <sz val="26"/>
        <rFont val="Calibri"/>
        <family val="2"/>
      </rPr>
      <t xml:space="preserve">; </t>
    </r>
    <r>
      <rPr>
        <b/>
        <sz val="26"/>
        <rFont val="微軟正黑體"/>
        <family val="2"/>
        <charset val="136"/>
      </rPr>
      <t>按正常收工時間就可以</t>
    </r>
    <r>
      <rPr>
        <b/>
        <sz val="26"/>
        <rFont val="Calibri"/>
        <family val="2"/>
      </rPr>
      <t xml:space="preserve">
</t>
    </r>
    <r>
      <rPr>
        <b/>
        <sz val="26"/>
        <rFont val="微軟正黑體"/>
        <family val="2"/>
        <charset val="136"/>
      </rPr>
      <t>如果</t>
    </r>
    <r>
      <rPr>
        <b/>
        <sz val="26"/>
        <rFont val="Calibri"/>
        <family val="2"/>
      </rPr>
      <t>5</t>
    </r>
    <r>
      <rPr>
        <b/>
        <sz val="26"/>
        <rFont val="微軟正黑體"/>
        <family val="2"/>
        <charset val="136"/>
      </rPr>
      <t>號不用返工只</t>
    </r>
    <r>
      <rPr>
        <b/>
        <sz val="26"/>
        <rFont val="Calibri"/>
        <family val="2"/>
      </rPr>
      <t xml:space="preserve">TRAINING; </t>
    </r>
    <r>
      <rPr>
        <b/>
        <sz val="26"/>
        <rFont val="微軟正黑體"/>
        <family val="2"/>
        <charset val="136"/>
      </rPr>
      <t>就會計錢</t>
    </r>
    <r>
      <rPr>
        <b/>
        <sz val="26"/>
        <rFont val="Calibri"/>
        <family val="2"/>
      </rPr>
      <t xml:space="preserve"> TOTAL 3 </t>
    </r>
    <r>
      <rPr>
        <b/>
        <sz val="26"/>
        <rFont val="微軟正黑體"/>
        <family val="2"/>
        <charset val="136"/>
      </rPr>
      <t>小時</t>
    </r>
    <r>
      <rPr>
        <b/>
        <sz val="26"/>
        <rFont val="Calibri"/>
        <family val="2"/>
      </rPr>
      <t xml:space="preserve"> @60 = $180; 
</t>
    </r>
    <r>
      <rPr>
        <b/>
        <sz val="26"/>
        <rFont val="微軟正黑體"/>
        <family val="2"/>
        <charset val="136"/>
      </rPr>
      <t>而要返工的</t>
    </r>
    <r>
      <rPr>
        <b/>
        <sz val="26"/>
        <rFont val="Calibri"/>
        <family val="2"/>
      </rPr>
      <t>; ;</t>
    </r>
    <r>
      <rPr>
        <b/>
        <sz val="26"/>
        <rFont val="微軟正黑體"/>
        <family val="2"/>
        <charset val="136"/>
      </rPr>
      <t>由</t>
    </r>
    <r>
      <rPr>
        <b/>
        <sz val="26"/>
        <rFont val="Calibri"/>
        <family val="2"/>
      </rPr>
      <t xml:space="preserve">468 </t>
    </r>
    <r>
      <rPr>
        <b/>
        <sz val="26"/>
        <rFont val="微軟正黑體"/>
        <family val="2"/>
        <charset val="136"/>
      </rPr>
      <t>開始有假期錢後</t>
    </r>
    <r>
      <rPr>
        <b/>
        <sz val="26"/>
        <rFont val="Calibri"/>
        <family val="2"/>
      </rPr>
      <t xml:space="preserve">, </t>
    </r>
    <r>
      <rPr>
        <b/>
        <sz val="26"/>
        <rFont val="微軟正黑體"/>
        <family val="2"/>
        <charset val="136"/>
      </rPr>
      <t>上公司</t>
    </r>
    <r>
      <rPr>
        <b/>
        <sz val="26"/>
        <rFont val="Calibri"/>
        <family val="2"/>
      </rPr>
      <t xml:space="preserve">TRAINING </t>
    </r>
    <r>
      <rPr>
        <b/>
        <sz val="26"/>
        <rFont val="微軟正黑體"/>
        <family val="2"/>
        <charset val="136"/>
      </rPr>
      <t>不會再有額外錢</t>
    </r>
    <phoneticPr fontId="4" type="noConversion"/>
  </si>
  <si>
    <r>
      <t xml:space="preserve">Jovi </t>
    </r>
    <r>
      <rPr>
        <b/>
        <sz val="26"/>
        <rFont val="微軟正黑體"/>
        <family val="2"/>
        <charset val="136"/>
      </rPr>
      <t>話正常收工係當8小時，如果有人按平時收工時間收工導致OT 就照計左OT 先，adjust 先再搞</t>
    </r>
    <phoneticPr fontId="4" type="noConversion"/>
  </si>
  <si>
    <t>Chu Pik Fung</t>
    <phoneticPr fontId="4" type="noConversion"/>
  </si>
  <si>
    <t>Connie</t>
    <phoneticPr fontId="4" type="noConversion"/>
  </si>
  <si>
    <t>Eddy</t>
    <phoneticPr fontId="4" type="noConversion"/>
  </si>
  <si>
    <t>Ching</t>
    <phoneticPr fontId="4" type="noConversion"/>
  </si>
  <si>
    <t xml:space="preserve">Ng Tsui Ching </t>
    <phoneticPr fontId="4" type="noConversion"/>
  </si>
  <si>
    <t>Chan Chi Tim</t>
    <phoneticPr fontId="4" type="noConversion"/>
  </si>
  <si>
    <t>Mok Yun Mei Marine</t>
    <phoneticPr fontId="4" type="noConversion"/>
  </si>
  <si>
    <t xml:space="preserve">Siu Wai Ling </t>
    <phoneticPr fontId="4" type="noConversion"/>
  </si>
  <si>
    <t>May M</t>
    <phoneticPr fontId="4" type="noConversion"/>
  </si>
  <si>
    <t>3日年假</t>
    <phoneticPr fontId="4" type="noConversion"/>
  </si>
  <si>
    <t>2日年假</t>
    <phoneticPr fontId="4" type="noConversion"/>
  </si>
  <si>
    <t>Full Name</t>
  </si>
  <si>
    <t>CQ No.</t>
  </si>
  <si>
    <t>Period</t>
  </si>
  <si>
    <t>Days</t>
  </si>
  <si>
    <t>Reg.Hrs</t>
  </si>
  <si>
    <t>$</t>
  </si>
  <si>
    <t>酬  金</t>
  </si>
  <si>
    <t>PH&amp;DA Sales Amt</t>
  </si>
  <si>
    <t>PH &amp;DA Commission</t>
  </si>
  <si>
    <t>Award</t>
  </si>
  <si>
    <t>Other</t>
  </si>
  <si>
    <t>GP</t>
  </si>
  <si>
    <t>值</t>
  </si>
  <si>
    <t>1,2,3,8,9,10,11,12,17,23,24,30,31/Jan</t>
  </si>
  <si>
    <t>以下資料的總和: Days</t>
  </si>
  <si>
    <t>以下資料的總和: $</t>
  </si>
  <si>
    <t>Autopay</t>
  </si>
  <si>
    <t>1,2,3,4,8,9,10,11,15,16,17,18,22,23,24,25,29,30,31/Jan</t>
  </si>
  <si>
    <t>Chan Chi Tim</t>
  </si>
  <si>
    <t>7,8/March</t>
  </si>
  <si>
    <t>TW Yata</t>
  </si>
  <si>
    <t>Chau</t>
  </si>
  <si>
    <t>Yim Wan Chau</t>
  </si>
  <si>
    <t>2,3,4,9,10,11,16,17,18,24,25,31/Jan</t>
  </si>
  <si>
    <t>Chan Chi Tim 合計</t>
  </si>
  <si>
    <t>YL Citistore</t>
  </si>
  <si>
    <t>2,3,4,9,10,11,16,17,18,22,23,24,25,29,30,31/Jan</t>
  </si>
  <si>
    <t>2,3,4,9,10,11,16,17,18,25,31/Jan</t>
  </si>
  <si>
    <t>1,2,3,4,9,10,11,16,17,18/Jan</t>
  </si>
  <si>
    <t>Tai Koo Shing Fortress</t>
  </si>
  <si>
    <t>TW Aeon</t>
  </si>
  <si>
    <t>Apple</t>
  </si>
  <si>
    <t>Sin Wai Chun</t>
  </si>
  <si>
    <t>10,16,17,18,24,25,30/Jan</t>
  </si>
  <si>
    <t>Chan Fung Yu 合計</t>
  </si>
  <si>
    <t xml:space="preserve">TW Yata </t>
  </si>
  <si>
    <t>2,3/Jan</t>
  </si>
  <si>
    <t>11,24,25,31/Jan</t>
  </si>
  <si>
    <t>3,4,5,6,7,10,11,12,13,14,23,24,25,26,27,28/Feb</t>
  </si>
  <si>
    <t>6,7,11,13,14,18,19,20,21,25,26,27,28/March</t>
  </si>
  <si>
    <t>1,5,6,7,8,12,13,14,15,16,21,22,26,27,28/Feb</t>
  </si>
  <si>
    <t>Chan Yun Hing 合計</t>
  </si>
  <si>
    <t>1,6,7,8,14,21,22,28/Feb</t>
  </si>
  <si>
    <t>1,5,6,7,8,12,13,14,15,20,21,22,26,27,28/Feb</t>
  </si>
  <si>
    <t>Choi Pui Ha</t>
  </si>
  <si>
    <t>28/Mar</t>
  </si>
  <si>
    <t>1,6,7,8,14,15,20,21,22,28/Feb</t>
  </si>
  <si>
    <t>Choi Pui Ha 合計</t>
  </si>
  <si>
    <t>Connie</t>
  </si>
  <si>
    <t>Chu Pik Fung</t>
  </si>
  <si>
    <t>1,8,14,15,21,22,28,6/Feb</t>
  </si>
  <si>
    <t>Tuen Wan Yata</t>
  </si>
  <si>
    <t>7,8,14,15,22,28/Feb</t>
  </si>
  <si>
    <t>1,7,8,14,15,21,22/March</t>
  </si>
  <si>
    <t>開會</t>
  </si>
  <si>
    <t>6/Feb</t>
  </si>
  <si>
    <t>Chu Pik Fung 合計</t>
  </si>
  <si>
    <t>1,5,6,7,8,12,13,14,15,19,20,21,22,26,27,28,29/March</t>
  </si>
  <si>
    <t>Wu Sir</t>
  </si>
  <si>
    <t>1,7,8,14,15,21,22,28,29/March</t>
  </si>
  <si>
    <t>1,14,15,21,22/March</t>
  </si>
  <si>
    <t>1,5,6,7,8,12,13,14,15,19,20,21,22,28,29,30/March</t>
  </si>
  <si>
    <t>6,7/March</t>
  </si>
  <si>
    <t>1,8,10,11,12,13,14,15,16,17,18,19,20,21,22,23,28,29/March</t>
  </si>
  <si>
    <t>Leung Mei Kiu 合計</t>
  </si>
  <si>
    <t>Citistore TW</t>
  </si>
  <si>
    <t>26,27,28,29,30,31/March</t>
  </si>
  <si>
    <t>Ching</t>
  </si>
  <si>
    <t xml:space="preserve">Ng Tsui Ching </t>
  </si>
  <si>
    <t>28,29/March</t>
  </si>
  <si>
    <t>Eddy</t>
  </si>
  <si>
    <t>Lo Chun Wah 合計</t>
  </si>
  <si>
    <t>Rebecca</t>
  </si>
  <si>
    <t>Lok Yin Ling 合計</t>
  </si>
  <si>
    <t>Ng Tsui Ching</t>
  </si>
  <si>
    <t>Ng Tsui Ching 合計</t>
  </si>
  <si>
    <t>Sin Wai Chun 合計</t>
  </si>
  <si>
    <t>Wong Sui Ping 合計</t>
  </si>
  <si>
    <t>Woo Kin Ming 合計</t>
  </si>
  <si>
    <t>Yim Wan Chau 合計</t>
  </si>
  <si>
    <t>Yuen Maria Wing Yan 合計</t>
  </si>
  <si>
    <t>RobotPlus LED 檯燈</t>
  </si>
  <si>
    <t>照明燈具</t>
  </si>
  <si>
    <t>Einstein 全新旗艦級 LED 護眼檯燈</t>
  </si>
  <si>
    <t>JadePlus LED Table Lamp</t>
  </si>
  <si>
    <t>827 PLC2P</t>
  </si>
  <si>
    <t>18W 827 2針4頭 PL-C 慳電管</t>
  </si>
  <si>
    <t>藍牙 吊燈</t>
  </si>
  <si>
    <t>MASTER PL-C 13W/827/2P</t>
  </si>
  <si>
    <t>LED 4-25W E14 2700K</t>
  </si>
  <si>
    <t>LED 5.5-40W E14 2700K</t>
  </si>
  <si>
    <t>LED MR16 5.5-50W WW</t>
  </si>
  <si>
    <t>LEDBULB 8W E27 6500K</t>
  </si>
  <si>
    <t>LEDBULB 12W E27 6500K</t>
  </si>
  <si>
    <t>LEDBULB 4W E27 6500K</t>
  </si>
  <si>
    <t>燈具零件</t>
  </si>
  <si>
    <t>GENIE 8W WW E27</t>
  </si>
  <si>
    <t>GENIE 11W WW E27</t>
  </si>
  <si>
    <t>GENIE 11W CDL E27</t>
  </si>
  <si>
    <t>GENIE 14W WW E27</t>
  </si>
  <si>
    <t>GENIE 14W CDL E27</t>
  </si>
  <si>
    <t>GENIE 8W WW E14</t>
  </si>
  <si>
    <t>GENIE 8W CDL E14</t>
  </si>
  <si>
    <t>GENIE 11W WW E14</t>
  </si>
  <si>
    <t>GENIE 11W CDL E14</t>
  </si>
  <si>
    <t>TORNADO 12W WW E14</t>
  </si>
  <si>
    <t>TORNADO 12W CDL E14</t>
  </si>
  <si>
    <t>TORNADO 15W WW E27</t>
  </si>
  <si>
    <t>TORNADO 15W CDL E27</t>
  </si>
  <si>
    <t>TORNADO 20W WW E27</t>
  </si>
  <si>
    <t>TORNADO 23W WW E27</t>
  </si>
  <si>
    <t>TORNADO 8W CDL E27</t>
  </si>
  <si>
    <t>TORNADO 12W WW E27</t>
  </si>
  <si>
    <t>2937+211</t>
  </si>
  <si>
    <t>ABP2937+AWP211</t>
  </si>
  <si>
    <t>濾水壺濾芯套裝</t>
  </si>
  <si>
    <t>濾水產品</t>
  </si>
  <si>
    <t>ADD2980WH/97</t>
  </si>
  <si>
    <t>輕攜電動濾水機 (白色)</t>
  </si>
  <si>
    <t>ADD4811</t>
  </si>
  <si>
    <t>熱飲水機</t>
  </si>
  <si>
    <t>4811+2722</t>
  </si>
  <si>
    <t>ADD4811+AWP2722</t>
  </si>
  <si>
    <t>即熱飲水機 + 補水水樽</t>
  </si>
  <si>
    <t>ADD4902</t>
  </si>
  <si>
    <t>4902/90</t>
  </si>
  <si>
    <t>ADD4902WH/90</t>
  </si>
  <si>
    <t>梳打水機 (白色)</t>
  </si>
  <si>
    <t>4902+913</t>
  </si>
  <si>
    <t>ADD4902WH+ADD913</t>
  </si>
  <si>
    <t>梳打水機 + 氣瓶套裝</t>
  </si>
  <si>
    <t>ADD4911</t>
  </si>
  <si>
    <t>即熱式飲水機</t>
  </si>
  <si>
    <t>4911/80</t>
  </si>
  <si>
    <t>HD4911/80</t>
  </si>
  <si>
    <t>電磁爐</t>
  </si>
  <si>
    <t>小家電</t>
  </si>
  <si>
    <t>ADD4920</t>
  </si>
  <si>
    <t>ADD541</t>
  </si>
  <si>
    <t>RO 純淨飲水機濾水芯</t>
  </si>
  <si>
    <t>ADD550</t>
  </si>
  <si>
    <t>濾芯 (ADD6910用)</t>
  </si>
  <si>
    <t>ADD553</t>
  </si>
  <si>
    <t>濾芯 (ADD6911用)</t>
  </si>
  <si>
    <t>ADD583</t>
  </si>
  <si>
    <t>RO純淨飲水機濾水芯 (ADD6920用)</t>
  </si>
  <si>
    <t>ADD5910M</t>
  </si>
  <si>
    <t>即熱過濾飲水機</t>
  </si>
  <si>
    <t>5980+3754</t>
  </si>
  <si>
    <t>ADD5980+AWP3754</t>
  </si>
  <si>
    <t>冷熱過濾飲水機 + 水龍頭式淨水器</t>
  </si>
  <si>
    <t>ADD5980M</t>
  </si>
  <si>
    <t>6901+541</t>
  </si>
  <si>
    <t>ADD6901+ADD541</t>
  </si>
  <si>
    <t>RO純淨飲水機 + 濾芯</t>
  </si>
  <si>
    <t>ADD6901H</t>
  </si>
  <si>
    <t>ADD6901/01</t>
  </si>
  <si>
    <t>ADD6902</t>
  </si>
  <si>
    <t>6910/90</t>
  </si>
  <si>
    <t>6910+550</t>
  </si>
  <si>
    <t>ADD6910+ADD550</t>
  </si>
  <si>
    <t>冷熱飲水機 + 濾心</t>
  </si>
  <si>
    <t>6910+1775</t>
  </si>
  <si>
    <t>ADD6910+AWP1775</t>
  </si>
  <si>
    <t>RO純淨飲水機 + 淋浴淨水器</t>
  </si>
  <si>
    <t>ADD6910DG</t>
  </si>
  <si>
    <t>RO純淨飲水機 (深灰色)</t>
  </si>
  <si>
    <t>ADD6910WH</t>
  </si>
  <si>
    <t>RO純淨飲水機 (白色)</t>
  </si>
  <si>
    <t>ADD6911</t>
  </si>
  <si>
    <t>6911+553</t>
  </si>
  <si>
    <t>ADD6911+ADD553</t>
  </si>
  <si>
    <t>6911+1775</t>
  </si>
  <si>
    <t>ADD6911+AWP1775CH</t>
  </si>
  <si>
    <t>純淨飲水機 + 淋浴淨水器</t>
  </si>
  <si>
    <t>ADD6911L</t>
  </si>
  <si>
    <t>WP6911</t>
  </si>
  <si>
    <t>RO飲水機 WiFi版</t>
  </si>
  <si>
    <t>RO純淨飲水機 (藍色)</t>
  </si>
  <si>
    <t>ADD6915</t>
  </si>
  <si>
    <t>RO純淨飲水機 + 濾水芯</t>
  </si>
  <si>
    <t>ADD6920</t>
  </si>
  <si>
    <t>RO 純淨飲水機 AquaShield IPS</t>
  </si>
  <si>
    <t>ADD6921</t>
  </si>
  <si>
    <t>純淨冷熱飲水機</t>
  </si>
  <si>
    <t>ADD6922</t>
  </si>
  <si>
    <t>RO純淨冷熱製冰飲水機</t>
  </si>
  <si>
    <t>8906/97</t>
  </si>
  <si>
    <t>個人護理</t>
  </si>
  <si>
    <t>ADD912</t>
  </si>
  <si>
    <t>梳打水機專用水瓶</t>
  </si>
  <si>
    <t>ADD913</t>
  </si>
  <si>
    <t>二氧化碳氣瓶</t>
  </si>
  <si>
    <t>AUT1211</t>
  </si>
  <si>
    <t>座枱式濾水器</t>
  </si>
  <si>
    <t>AUT2015</t>
  </si>
  <si>
    <t>3234/97</t>
  </si>
  <si>
    <t>AUT3234/97</t>
  </si>
  <si>
    <t>3234/97+1775</t>
  </si>
  <si>
    <t>AUT3234/97+AWP1775CH</t>
  </si>
  <si>
    <t>櫥下式濾水器 + 淋浴過濾器</t>
  </si>
  <si>
    <t>4030/90</t>
  </si>
  <si>
    <t>6036/90</t>
  </si>
  <si>
    <t>AUT6036/90</t>
  </si>
  <si>
    <t>604/90</t>
  </si>
  <si>
    <t>AUT706</t>
  </si>
  <si>
    <t>RO 廚下式濾水芯 CP</t>
  </si>
  <si>
    <t>7063/90</t>
  </si>
  <si>
    <t>805/97</t>
  </si>
  <si>
    <t>AUT805/97</t>
  </si>
  <si>
    <t>複合式濾芯 CBPA</t>
  </si>
  <si>
    <t>806/97</t>
  </si>
  <si>
    <t>AUT806/97</t>
  </si>
  <si>
    <t>CB長效濾芯</t>
  </si>
  <si>
    <t>810/90</t>
  </si>
  <si>
    <t>AUT810/90</t>
  </si>
  <si>
    <t>座枱式濾水器濾水芯</t>
  </si>
  <si>
    <t>825/97</t>
  </si>
  <si>
    <t>AUT825/97</t>
  </si>
  <si>
    <t>UF 超長效濾芯</t>
  </si>
  <si>
    <t>9028/90</t>
  </si>
  <si>
    <t>AUT9028DG/90</t>
  </si>
  <si>
    <t>RO櫥下式冷熱淨水器</t>
  </si>
  <si>
    <t>AWP+AWP200</t>
  </si>
  <si>
    <t>濾水壺 + 濾芯</t>
  </si>
  <si>
    <t>AWP175</t>
  </si>
  <si>
    <t>淋浴淨水器濾芯</t>
  </si>
  <si>
    <t>AWP1751</t>
  </si>
  <si>
    <t>1775/90</t>
  </si>
  <si>
    <t>1775+175</t>
  </si>
  <si>
    <t>AWP1775WH</t>
  </si>
  <si>
    <t>淋浴過濾器 (白色)</t>
  </si>
  <si>
    <t>WP1775CH</t>
  </si>
  <si>
    <t>淋浴過濾器 (鉻色)</t>
  </si>
  <si>
    <t>AWP201</t>
  </si>
  <si>
    <t>濾水壺濾芯</t>
  </si>
  <si>
    <t>210/97</t>
  </si>
  <si>
    <t>AWP210/97</t>
  </si>
  <si>
    <t>AWP211</t>
  </si>
  <si>
    <t>211/97</t>
  </si>
  <si>
    <t>濾水芯 (三個裝)</t>
  </si>
  <si>
    <t>AWP212</t>
  </si>
  <si>
    <t>225/97</t>
  </si>
  <si>
    <t>AWP225/97</t>
  </si>
  <si>
    <t>輕攜電動濾水機濾芯</t>
  </si>
  <si>
    <t>AWP260</t>
  </si>
  <si>
    <t>AWP2754</t>
  </si>
  <si>
    <t>便攜煲水咖啡杯</t>
  </si>
  <si>
    <t>2769/97</t>
  </si>
  <si>
    <t>AWP2769AP/97</t>
  </si>
  <si>
    <t>電熱水樽</t>
  </si>
  <si>
    <t>2920+200</t>
  </si>
  <si>
    <t>AWP2920+AWP200</t>
  </si>
  <si>
    <t>濾水壺套裝</t>
  </si>
  <si>
    <t>2920+201</t>
  </si>
  <si>
    <t>AWP2920+AWP201</t>
  </si>
  <si>
    <t>2935+210</t>
  </si>
  <si>
    <t>AWP2935+AWP210</t>
  </si>
  <si>
    <t>濾水壺濾芯 (單粒裝)</t>
  </si>
  <si>
    <t>2935+211</t>
  </si>
  <si>
    <t>AWP2935+AWP211</t>
  </si>
  <si>
    <t>濾水壺 + 濾芯套裝</t>
  </si>
  <si>
    <t>2935+197</t>
  </si>
  <si>
    <t>AWP2935+WHT197</t>
  </si>
  <si>
    <t>濾水壺 + 濾心</t>
  </si>
  <si>
    <t>AWP2935G+AWP210</t>
  </si>
  <si>
    <t>濾水壺 (綠色) + 濾芯</t>
  </si>
  <si>
    <t>AWP2937</t>
  </si>
  <si>
    <t>3.4公升濾水壺</t>
  </si>
  <si>
    <t>AWP2937+AWP211</t>
  </si>
  <si>
    <t>3.4公升濾水壺套裝</t>
  </si>
  <si>
    <t>2937/97+211</t>
  </si>
  <si>
    <t>AWP2937WHT/97+AWP211</t>
  </si>
  <si>
    <t>濾水壺 (白色) + 濾芯套裝</t>
  </si>
  <si>
    <t>AWP294</t>
  </si>
  <si>
    <t>2965+211</t>
  </si>
  <si>
    <t>AWP2965GNT/97+AWP211</t>
  </si>
  <si>
    <t>濾水壺 (綠色) 連濾芯套裝</t>
  </si>
  <si>
    <t>2970/260</t>
  </si>
  <si>
    <t>AWP2980</t>
  </si>
  <si>
    <t>輕攜電動濾水機</t>
  </si>
  <si>
    <t>315/97</t>
  </si>
  <si>
    <t>濾芯盒</t>
  </si>
  <si>
    <t>生活用品</t>
  </si>
  <si>
    <t>3703/97</t>
  </si>
  <si>
    <t>3733+3922</t>
  </si>
  <si>
    <t>AWP3733+3922</t>
  </si>
  <si>
    <t>3753/97</t>
  </si>
  <si>
    <t>3754/97</t>
  </si>
  <si>
    <t>AWP3773/97</t>
  </si>
  <si>
    <t>3773+3922</t>
  </si>
  <si>
    <t>AWP3773+AWP3922</t>
  </si>
  <si>
    <t>水龍頭過濾器 + 濾心</t>
  </si>
  <si>
    <t>3780/97</t>
  </si>
  <si>
    <t>AWP3780/97</t>
  </si>
  <si>
    <t>座檯濾水器</t>
  </si>
  <si>
    <t>AWP3811</t>
  </si>
  <si>
    <t>AWP3983</t>
  </si>
  <si>
    <t>超濾複合濾水芯</t>
  </si>
  <si>
    <t>75+7</t>
  </si>
  <si>
    <t>Shower Filter (鉻色)</t>
  </si>
  <si>
    <t>138/97</t>
  </si>
  <si>
    <t>BHB864</t>
  </si>
  <si>
    <t>BHB869</t>
  </si>
  <si>
    <t>強韌髮梢捲髮器</t>
  </si>
  <si>
    <t>BHD274</t>
  </si>
  <si>
    <t>DryCare Pro 電風筒</t>
  </si>
  <si>
    <t>274/03</t>
  </si>
  <si>
    <t>BHD274/03</t>
  </si>
  <si>
    <t>電風筒 (DA小家電)</t>
  </si>
  <si>
    <t>BHD300</t>
  </si>
  <si>
    <t>BHD308</t>
  </si>
  <si>
    <t>風筒</t>
  </si>
  <si>
    <t>BHD351</t>
  </si>
  <si>
    <t>3000 Series 電風筒</t>
  </si>
  <si>
    <t>BHD388</t>
  </si>
  <si>
    <t>388/13</t>
  </si>
  <si>
    <t>BHD388/13</t>
  </si>
  <si>
    <t>BHD510</t>
  </si>
  <si>
    <t>5000 Series 電風筒</t>
  </si>
  <si>
    <t>BHD628</t>
  </si>
  <si>
    <t>837/03</t>
  </si>
  <si>
    <t>BHD837/03</t>
  </si>
  <si>
    <t>風筒 (PH個人護理)</t>
  </si>
  <si>
    <t>BHH822</t>
  </si>
  <si>
    <t>多功能造型 (直/捲髮/梳)</t>
  </si>
  <si>
    <t>BHS375/03</t>
  </si>
  <si>
    <t>直髮器</t>
  </si>
  <si>
    <t>BHS376</t>
  </si>
  <si>
    <t>BHS378</t>
  </si>
  <si>
    <t>BHS830/03</t>
  </si>
  <si>
    <t>BRE710</t>
  </si>
  <si>
    <t>乾濕兩用脫毛器</t>
  </si>
  <si>
    <t>DE3203</t>
  </si>
  <si>
    <t>Series 3000 抽濕機</t>
  </si>
  <si>
    <t>DEM-MQ910</t>
  </si>
  <si>
    <t>毛球修剪器</t>
  </si>
  <si>
    <t>DST2020</t>
  </si>
  <si>
    <t>燙斗</t>
  </si>
  <si>
    <t>5020/36</t>
  </si>
  <si>
    <t>DST5020/36</t>
  </si>
  <si>
    <t>5040/86</t>
  </si>
  <si>
    <t>DST5040/86</t>
  </si>
  <si>
    <t>EP2230/10</t>
  </si>
  <si>
    <t>全自動意式咖啡機</t>
  </si>
  <si>
    <t>FC6172</t>
  </si>
  <si>
    <t>二合一手提/直立吸塵機</t>
  </si>
  <si>
    <t>FC8021/03</t>
  </si>
  <si>
    <t>塵袋</t>
  </si>
  <si>
    <t>FY0194</t>
  </si>
  <si>
    <t>1752/36</t>
  </si>
  <si>
    <t>GC1752/36</t>
  </si>
  <si>
    <t>2000W 蒸氣電熨斗</t>
  </si>
  <si>
    <t>GC3929</t>
  </si>
  <si>
    <t>PerfectCare 蒸氣熨斗</t>
  </si>
  <si>
    <t>GC4533</t>
  </si>
  <si>
    <t>Azur 蒸氣熨斗</t>
  </si>
  <si>
    <t>GC557</t>
  </si>
  <si>
    <t>GC810</t>
  </si>
  <si>
    <t>8000 Series 手提式蒸氣掛熨機</t>
  </si>
  <si>
    <t>GCA1000</t>
  </si>
  <si>
    <t>電動洗鞋機</t>
  </si>
  <si>
    <t>GCA10000</t>
  </si>
  <si>
    <t>電動潔鞋機</t>
  </si>
  <si>
    <t>HC3505</t>
  </si>
  <si>
    <t>剪髮器</t>
  </si>
  <si>
    <t>HD2517</t>
  </si>
  <si>
    <t>Daily Collection 多士爐</t>
  </si>
  <si>
    <t>HD2582/01</t>
  </si>
  <si>
    <t>多士爐</t>
  </si>
  <si>
    <t>HD2584</t>
  </si>
  <si>
    <t>HD3060</t>
  </si>
  <si>
    <t>Viva Collection電飯煲</t>
  </si>
  <si>
    <t>3071/52</t>
  </si>
  <si>
    <t>HD3071/52</t>
  </si>
  <si>
    <t>迷你電飯煲</t>
  </si>
  <si>
    <t>HD3802</t>
  </si>
  <si>
    <t>3902/00</t>
  </si>
  <si>
    <t>濾水器專用替換濾芯</t>
  </si>
  <si>
    <t>HD9252</t>
  </si>
  <si>
    <t>HD9318</t>
  </si>
  <si>
    <t>塑料電熱水煲</t>
  </si>
  <si>
    <t>HD9339</t>
  </si>
  <si>
    <t>玻璃電熱水煲</t>
  </si>
  <si>
    <t>HD9351</t>
  </si>
  <si>
    <t>HD9355</t>
  </si>
  <si>
    <t>HD9372</t>
  </si>
  <si>
    <t>HD93919</t>
  </si>
  <si>
    <t>電水壺</t>
  </si>
  <si>
    <t>HD9399</t>
  </si>
  <si>
    <t>電熱水壺</t>
  </si>
  <si>
    <t>HD9723/11</t>
  </si>
  <si>
    <t>HD9743</t>
  </si>
  <si>
    <t>HP4589</t>
  </si>
  <si>
    <t>負離子造型髮梳</t>
  </si>
  <si>
    <t>HP4722</t>
  </si>
  <si>
    <t>HR1811</t>
  </si>
  <si>
    <t>榨汁機</t>
  </si>
  <si>
    <t>HR2041</t>
  </si>
  <si>
    <t>攪拌機</t>
  </si>
  <si>
    <t>HR2088</t>
  </si>
  <si>
    <t>冷熱烹調攪拌機</t>
  </si>
  <si>
    <t>HR2607</t>
  </si>
  <si>
    <t>HR3705/01</t>
  </si>
  <si>
    <t>打蛋器</t>
  </si>
  <si>
    <t>HR3765</t>
  </si>
  <si>
    <t>HX6013</t>
  </si>
  <si>
    <t>標準型聲波牙刷刷頭</t>
  </si>
  <si>
    <t>HX6053</t>
  </si>
  <si>
    <t>敏感型聲波牙刷刷頭</t>
  </si>
  <si>
    <t>HX6063</t>
  </si>
  <si>
    <t>標準聲波牙刷刷頭</t>
  </si>
  <si>
    <t>HX6073</t>
  </si>
  <si>
    <t>精細型聲波牙刷刷頭</t>
  </si>
  <si>
    <t>680/37</t>
  </si>
  <si>
    <t>HX680/37</t>
  </si>
  <si>
    <t>音波震動牙刷</t>
  </si>
  <si>
    <t>HX6801</t>
  </si>
  <si>
    <t>6801/36</t>
  </si>
  <si>
    <t>HX6801/36</t>
  </si>
  <si>
    <t>6801/37</t>
  </si>
  <si>
    <t>HX6801/37</t>
  </si>
  <si>
    <t>HX6803</t>
  </si>
  <si>
    <t>聲波電動牙刷</t>
  </si>
  <si>
    <t>HX6808</t>
  </si>
  <si>
    <t>Sonicare ProtectiveClean 4300</t>
  </si>
  <si>
    <t>HX6853/12</t>
  </si>
  <si>
    <t>HX6856</t>
  </si>
  <si>
    <t>6857/20</t>
  </si>
  <si>
    <t>聲波震動電動牙刷</t>
  </si>
  <si>
    <t>HX6897</t>
  </si>
  <si>
    <t>HX8072</t>
  </si>
  <si>
    <t>聲波舌頭刷刷頭</t>
  </si>
  <si>
    <t>HX9033</t>
  </si>
  <si>
    <t>牙齦護理刷頭</t>
  </si>
  <si>
    <t>HX9043</t>
  </si>
  <si>
    <t>Sonicare C3 Premium</t>
  </si>
  <si>
    <t>HX9053</t>
  </si>
  <si>
    <t>牙刷刷頭</t>
  </si>
  <si>
    <t>9063/96</t>
  </si>
  <si>
    <t>HX9063/96</t>
  </si>
  <si>
    <t>HX9073</t>
  </si>
  <si>
    <t>標準刷頭組合套裝</t>
  </si>
  <si>
    <t>HX992</t>
  </si>
  <si>
    <t>HX9924</t>
  </si>
  <si>
    <t>HX9954</t>
  </si>
  <si>
    <t>LED 66049</t>
  </si>
  <si>
    <t>座夾兩用檯燈</t>
  </si>
  <si>
    <t>LED66111</t>
  </si>
  <si>
    <t>Strider LED 檯燈</t>
  </si>
  <si>
    <t>LED72017</t>
  </si>
  <si>
    <t>Medisana BU 580</t>
  </si>
  <si>
    <t>血壓計</t>
  </si>
  <si>
    <t>MG5730</t>
  </si>
  <si>
    <t>11合1 男士修鬚造型套裝</t>
  </si>
  <si>
    <t>5950/15</t>
  </si>
  <si>
    <t>MG5950/15</t>
  </si>
  <si>
    <t>頭髮修剪器</t>
  </si>
  <si>
    <t>MG7720</t>
  </si>
  <si>
    <t>男士造型套裝</t>
  </si>
  <si>
    <t>NI5650</t>
  </si>
  <si>
    <t>NT3650</t>
  </si>
  <si>
    <t>電動鼻毛修剪器</t>
  </si>
  <si>
    <t>NT3651</t>
  </si>
  <si>
    <t>耳毛及眉毛修剪器</t>
  </si>
  <si>
    <t>NT5650</t>
  </si>
  <si>
    <t>P09153</t>
  </si>
  <si>
    <t>P09154</t>
  </si>
  <si>
    <t>PO9154</t>
  </si>
  <si>
    <t>set濾芯 (1盒3件)</t>
  </si>
  <si>
    <t>PPM1301</t>
  </si>
  <si>
    <t>頭部按摩器</t>
  </si>
  <si>
    <t>PPM301</t>
  </si>
  <si>
    <t>3501/90</t>
  </si>
  <si>
    <t>3522/90</t>
  </si>
  <si>
    <t>PPM4301</t>
  </si>
  <si>
    <t>背部按摩器</t>
  </si>
  <si>
    <t>PPM5301</t>
  </si>
  <si>
    <t>膝部按摩器</t>
  </si>
  <si>
    <t>PPM7303</t>
  </si>
  <si>
    <t>PPM7501</t>
  </si>
  <si>
    <t>運動迷你按摩槍</t>
  </si>
  <si>
    <t>PQ206</t>
  </si>
  <si>
    <t>PQ208</t>
  </si>
  <si>
    <t>RVDR5298UK</t>
  </si>
  <si>
    <t>Revlon Volumiser</t>
  </si>
  <si>
    <t>S1131</t>
  </si>
  <si>
    <t>乾用電動鬚刨</t>
  </si>
  <si>
    <t>1131/00</t>
  </si>
  <si>
    <t>S1131/00</t>
  </si>
  <si>
    <t>1141/00</t>
  </si>
  <si>
    <t>S1141/00</t>
  </si>
  <si>
    <t>S1231</t>
  </si>
  <si>
    <t>3134/51</t>
  </si>
  <si>
    <t>S3134/51</t>
  </si>
  <si>
    <t>乾濕兩用電鬚刨</t>
  </si>
  <si>
    <t>S3134151</t>
  </si>
  <si>
    <t>LED Floodlight 投光燈</t>
  </si>
  <si>
    <t>S3231</t>
  </si>
  <si>
    <t>3231/52</t>
  </si>
  <si>
    <t>S3231/52</t>
  </si>
  <si>
    <t>S5586</t>
  </si>
  <si>
    <t>5586/25</t>
  </si>
  <si>
    <t>S5586/25</t>
  </si>
  <si>
    <t>S5887/10</t>
  </si>
  <si>
    <t>S6680</t>
  </si>
  <si>
    <t>SP9860</t>
  </si>
  <si>
    <t>電動鬚刨</t>
  </si>
  <si>
    <t>3000/26</t>
  </si>
  <si>
    <t>STH3000/26</t>
  </si>
  <si>
    <t>手提式蒸氣掛熨機</t>
  </si>
  <si>
    <t>3020/16</t>
  </si>
  <si>
    <t>STH3020/16</t>
  </si>
  <si>
    <t>TL5 21W865</t>
  </si>
  <si>
    <t>TL5 Essential 21W燈管</t>
  </si>
  <si>
    <t>WP1775+WP175</t>
  </si>
  <si>
    <t>3780+3922</t>
  </si>
  <si>
    <t>WP3780+WP3922</t>
  </si>
  <si>
    <t>座檯濾水器 + 濾芯</t>
  </si>
  <si>
    <t>3811/00</t>
  </si>
  <si>
    <t>3811+3822</t>
  </si>
  <si>
    <t>WP3811+WP3822</t>
  </si>
  <si>
    <t>3811+3911</t>
  </si>
  <si>
    <t>WP3811+WP3911</t>
  </si>
  <si>
    <t>超濾淨水器 + 濾芯套裝</t>
  </si>
  <si>
    <t>3811+3912</t>
  </si>
  <si>
    <t>WP3811+WP3912</t>
  </si>
  <si>
    <t>3811+3922</t>
  </si>
  <si>
    <t>WP3811+WP3922</t>
  </si>
  <si>
    <t>淨水器組合</t>
  </si>
  <si>
    <t>3812/00</t>
  </si>
  <si>
    <t>3812+3911</t>
  </si>
  <si>
    <t>WP3812+WP3911</t>
  </si>
  <si>
    <t>超濾龍頭式淨水器 SET</t>
  </si>
  <si>
    <t>3812+3912</t>
  </si>
  <si>
    <t>WP3812+WP3912</t>
  </si>
  <si>
    <t>3812+3922</t>
  </si>
  <si>
    <t>3822/00</t>
  </si>
  <si>
    <t>3822+3922</t>
  </si>
  <si>
    <t>WP3822+WP3922</t>
  </si>
  <si>
    <t>水龍頭濾水器原裝</t>
  </si>
  <si>
    <t>3861/00</t>
  </si>
  <si>
    <t>WP3861</t>
  </si>
  <si>
    <t>3861+3961</t>
  </si>
  <si>
    <t>WP3861+WP3961</t>
  </si>
  <si>
    <t>WP38611</t>
  </si>
  <si>
    <t>WP3870</t>
  </si>
  <si>
    <t>WP3883</t>
  </si>
  <si>
    <t>WP3902</t>
  </si>
  <si>
    <t>3911/00</t>
  </si>
  <si>
    <t>WP3911TP</t>
  </si>
  <si>
    <t>濾芯孖裝</t>
  </si>
  <si>
    <t>3912+3922</t>
  </si>
  <si>
    <t>WP3912+WP3922</t>
  </si>
  <si>
    <t>水龍頭濾水器 濾芯</t>
  </si>
  <si>
    <t>3922/00</t>
  </si>
  <si>
    <t>WP3922TP</t>
  </si>
  <si>
    <t>3961/00</t>
  </si>
  <si>
    <t>WP3975</t>
  </si>
  <si>
    <t>WP3976</t>
  </si>
  <si>
    <t>WP3977</t>
  </si>
  <si>
    <t>WP3983</t>
  </si>
  <si>
    <t>直立式濾水器濾芯</t>
  </si>
  <si>
    <t>WP3985</t>
  </si>
  <si>
    <t>4111/90</t>
  </si>
  <si>
    <t>4141/90</t>
  </si>
  <si>
    <t>4141+1775</t>
  </si>
  <si>
    <t>淋浴過濾器 SET</t>
  </si>
  <si>
    <t>4161/90</t>
  </si>
  <si>
    <t>5006/00</t>
  </si>
  <si>
    <t>X5006/00</t>
  </si>
  <si>
    <t>660/02</t>
  </si>
  <si>
    <t>YQ660/02</t>
  </si>
  <si>
    <t>YQ6601</t>
  </si>
  <si>
    <t>純淨冷熱製冰飲水機</t>
    <phoneticPr fontId="4" type="noConversion"/>
  </si>
  <si>
    <t>ADD6920</t>
    <phoneticPr fontId="4" type="noConversion"/>
  </si>
  <si>
    <t>ADD6920WH</t>
    <phoneticPr fontId="4" type="noConversion"/>
  </si>
  <si>
    <t>6920WH</t>
    <phoneticPr fontId="4" type="noConversion"/>
  </si>
  <si>
    <t>升級製冰版</t>
    <phoneticPr fontId="4" type="noConversion"/>
  </si>
  <si>
    <t>A3983</t>
    <phoneticPr fontId="4" type="noConversion"/>
  </si>
  <si>
    <t>Rebacca</t>
    <phoneticPr fontId="4" type="noConversion"/>
  </si>
  <si>
    <t>Henry</t>
    <phoneticPr fontId="4" type="noConversion"/>
  </si>
  <si>
    <t>Siu Tsz Kin</t>
    <phoneticPr fontId="4" type="noConversion"/>
  </si>
  <si>
    <t>Choi Pui Ha</t>
    <phoneticPr fontId="4" type="noConversion"/>
  </si>
  <si>
    <t>Woo Kin Ming</t>
    <phoneticPr fontId="4" type="noConversion"/>
  </si>
  <si>
    <t>Lok Yin Ling</t>
    <phoneticPr fontId="4" type="noConversion"/>
  </si>
  <si>
    <t>Wong Sui Ping</t>
    <phoneticPr fontId="4" type="noConversion"/>
  </si>
  <si>
    <t>Yuen Maria Wing Yan 2</t>
    <phoneticPr fontId="4" type="noConversion"/>
  </si>
  <si>
    <t>Yau Shuk Kuen</t>
    <phoneticPr fontId="4" type="noConversion"/>
  </si>
  <si>
    <t>Kuen</t>
    <phoneticPr fontId="4" type="noConversion"/>
  </si>
  <si>
    <t>1月18號開始計假期</t>
    <phoneticPr fontId="4" type="noConversion"/>
  </si>
  <si>
    <t>Tan Xing Fang</t>
  </si>
  <si>
    <t>YL Citistore</t>
    <phoneticPr fontId="4" type="noConversion"/>
  </si>
  <si>
    <t>SW Wing On</t>
    <phoneticPr fontId="4" type="noConversion"/>
  </si>
  <si>
    <t>Hazel</t>
  </si>
  <si>
    <t>SW Wing On A</t>
  </si>
  <si>
    <t>Henry</t>
  </si>
  <si>
    <t>Siu Tsz Kin</t>
  </si>
  <si>
    <t>Tuen Mun Suning</t>
  </si>
  <si>
    <t>Tuen Mun Broadway</t>
  </si>
  <si>
    <t>May M</t>
  </si>
  <si>
    <t>Mok Yun Mei Marine</t>
  </si>
  <si>
    <t>Shain Fortress</t>
  </si>
  <si>
    <t>Ling S</t>
  </si>
  <si>
    <t xml:space="preserve">Siu Wai Ling </t>
  </si>
  <si>
    <t>Cental Fortress</t>
  </si>
  <si>
    <t xml:space="preserve">TW Citistore </t>
  </si>
  <si>
    <t>Remark</t>
    <phoneticPr fontId="4" type="noConversion"/>
  </si>
  <si>
    <r>
      <t>4</t>
    </r>
    <r>
      <rPr>
        <sz val="24"/>
        <rFont val="微軟正黑體"/>
        <family val="2"/>
        <charset val="136"/>
      </rPr>
      <t>月</t>
    </r>
    <r>
      <rPr>
        <sz val="24"/>
        <rFont val="微軟正黑體"/>
        <family val="2"/>
        <charset val="134"/>
      </rPr>
      <t>6</t>
    </r>
    <phoneticPr fontId="4" type="noConversion"/>
  </si>
  <si>
    <r>
      <t>1</t>
    </r>
    <r>
      <rPr>
        <sz val="24"/>
        <rFont val="微軟正黑體"/>
        <family val="2"/>
        <charset val="136"/>
      </rPr>
      <t>月</t>
    </r>
    <r>
      <rPr>
        <sz val="24"/>
        <rFont val="微軟正黑體"/>
        <family val="2"/>
        <charset val="134"/>
      </rPr>
      <t>18</t>
    </r>
    <phoneticPr fontId="4" type="noConversion"/>
  </si>
  <si>
    <t>4,5,11,12,18,19/April</t>
  </si>
  <si>
    <t>25,26/April</t>
  </si>
  <si>
    <t>3,4,5,10,11,12,17,18,19,24,25,26/April</t>
  </si>
  <si>
    <t>3,4,5,6,9,10,11,12,16,17,18,19,23,24,25,26,30/April</t>
  </si>
  <si>
    <t>2,3,4,5,6,7,16,17,18,19,24,25,26,27/April</t>
  </si>
  <si>
    <t>14,20,21/April</t>
  </si>
  <si>
    <t>2,3,4,5,6,7,9,10,11,12,16,17,18,19,23,24,25,26,30/April</t>
  </si>
  <si>
    <t>3,4,5,6,7,18,19,25,26/April</t>
  </si>
  <si>
    <t>11,12/April</t>
  </si>
  <si>
    <t>1,2,3,4,5,6,7,8,9,10,11,12,13,14,15/April</t>
  </si>
  <si>
    <t>4,5,11,12,18,19,25,26/April</t>
  </si>
  <si>
    <t>7,14,21,28,29/May</t>
  </si>
  <si>
    <t>1,2,3,4,5,6,8,9,10,11,12,13,15,16,17,18,19,20,22,23,24,25,26,27,30/May</t>
  </si>
  <si>
    <t>1,2,3,7,8,9,10,14,15,16,17,21,22,23,24,25,28,29,30,31/May</t>
  </si>
  <si>
    <t>1,2,3,8,9,10,14,15,16,17,21,22,23,24,25,28,29,30,31/May</t>
  </si>
  <si>
    <t>Kwai Fong Yata</t>
  </si>
  <si>
    <t>Kuen</t>
  </si>
  <si>
    <t>Yau Shuk Kuen</t>
  </si>
  <si>
    <t>7,8,9,10,11,12,13,14,15,16,17,18/May</t>
  </si>
  <si>
    <t>4,9,10,16,17,23/May</t>
  </si>
  <si>
    <t>1,2,3,7,8,9,10,11,12,13,14,15,16,17,18,19,20,21,22,23,24,25,30,31/May</t>
  </si>
  <si>
    <t>1,2,3,7,8,9,10,14,15,16,17,22,23,24,25,29,30,31/May</t>
  </si>
  <si>
    <t>2,3,9,10,16,23,24,30,31/May</t>
  </si>
  <si>
    <t>Rebacca</t>
  </si>
  <si>
    <t>1,2,3,8,9,10/May</t>
  </si>
  <si>
    <t>Tai Wan Fortress</t>
  </si>
  <si>
    <t>23,24,25,29,30,31/May</t>
  </si>
  <si>
    <t>Shatin Fortress</t>
  </si>
  <si>
    <t>1,2,3,4,8,9,10,15,16,22,23,24,25,29,30,31/May</t>
  </si>
  <si>
    <t>Central Fortress</t>
  </si>
  <si>
    <t>11,19,20,27/May</t>
  </si>
  <si>
    <t>7,8,9,10,11,12,13,14,15,16,17,18,19,20,21,22,23,24,25/May</t>
  </si>
  <si>
    <t>2,3,8,9,10,15,16,17,22,23,24,25,30,31/May</t>
  </si>
  <si>
    <t>Chan Fung Yu</t>
    <phoneticPr fontId="4" type="noConversion"/>
  </si>
  <si>
    <t>commission</t>
    <phoneticPr fontId="4" type="noConversion"/>
  </si>
  <si>
    <t>days</t>
    <phoneticPr fontId="4" type="noConversion"/>
  </si>
  <si>
    <t>hours</t>
    <phoneticPr fontId="4" type="noConversion"/>
  </si>
  <si>
    <t>Total</t>
    <phoneticPr fontId="4" type="noConversion"/>
  </si>
  <si>
    <t>Holiady Allowance</t>
  </si>
  <si>
    <t>Holiady Allowance</t>
    <phoneticPr fontId="4" type="noConversion"/>
  </si>
  <si>
    <t>Average</t>
  </si>
  <si>
    <r>
      <t>4月6號開始，</t>
    </r>
    <r>
      <rPr>
        <sz val="12"/>
        <color theme="1"/>
        <rFont val="Microsoft YaHei"/>
        <family val="2"/>
        <charset val="134"/>
      </rPr>
      <t>7月6號後有假期</t>
    </r>
    <phoneticPr fontId="4" type="noConversion"/>
  </si>
  <si>
    <t>Margaret</t>
    <phoneticPr fontId="4" type="noConversion"/>
  </si>
  <si>
    <t>Tammy</t>
  </si>
  <si>
    <t>Shirley</t>
  </si>
  <si>
    <t>Kwai Fong Fortress</t>
    <phoneticPr fontId="4" type="noConversion"/>
  </si>
  <si>
    <t>TW Aeon</t>
    <phoneticPr fontId="4" type="noConversion"/>
  </si>
  <si>
    <t>In - Home Expo</t>
    <phoneticPr fontId="4" type="noConversion"/>
  </si>
  <si>
    <t>Jenny P</t>
    <phoneticPr fontId="4" type="noConversion"/>
  </si>
  <si>
    <t>Fan</t>
    <phoneticPr fontId="4" type="noConversion"/>
  </si>
  <si>
    <t>Chan Tung Pan</t>
    <phoneticPr fontId="4" type="noConversion"/>
  </si>
  <si>
    <t>Sit Kwok Fong</t>
    <phoneticPr fontId="4" type="noConversion"/>
  </si>
  <si>
    <t>Pang Kam Chun</t>
    <phoneticPr fontId="4" type="noConversion"/>
  </si>
  <si>
    <t>Tang Chiu Fan</t>
    <phoneticPr fontId="4" type="noConversion"/>
  </si>
  <si>
    <t>Chan Tung Pan</t>
  </si>
  <si>
    <t>Sit Kwok Fong</t>
  </si>
  <si>
    <t>Tang Chiu Fan</t>
  </si>
  <si>
    <t>Jun</t>
    <phoneticPr fontId="4" type="noConversion"/>
  </si>
  <si>
    <r>
      <t>202</t>
    </r>
    <r>
      <rPr>
        <b/>
        <sz val="11"/>
        <color rgb="FFFF0000"/>
        <rFont val="微軟正黑體"/>
        <family val="1"/>
        <charset val="134"/>
      </rPr>
      <t>6</t>
    </r>
    <r>
      <rPr>
        <b/>
        <sz val="11"/>
        <color rgb="FFFF0000"/>
        <rFont val="新細明體"/>
        <family val="1"/>
        <charset val="136"/>
      </rPr>
      <t xml:space="preserve"> </t>
    </r>
    <r>
      <rPr>
        <b/>
        <sz val="11"/>
        <color rgb="FFFF0000"/>
        <rFont val="微軟正黑體"/>
        <family val="1"/>
        <charset val="134"/>
      </rPr>
      <t>Jun</t>
    </r>
    <phoneticPr fontId="5" type="noConversion"/>
  </si>
  <si>
    <t>Kowloon Bay Fortress</t>
    <phoneticPr fontId="4" type="noConversion"/>
  </si>
  <si>
    <t>Kowloon Bay Fortress</t>
    <phoneticPr fontId="4" type="noConversion"/>
  </si>
  <si>
    <t>Fortress</t>
    <phoneticPr fontId="4" type="noConversion"/>
  </si>
  <si>
    <t>Kowloon Bay</t>
    <phoneticPr fontId="4" type="noConversion"/>
  </si>
  <si>
    <t>3773+3922</t>
    <phoneticPr fontId="4" type="noConversion"/>
  </si>
  <si>
    <t>541+547</t>
    <phoneticPr fontId="4" type="noConversion"/>
  </si>
  <si>
    <t>3773+39922</t>
    <phoneticPr fontId="4" type="noConversion"/>
  </si>
  <si>
    <t>3812+3922</t>
    <phoneticPr fontId="4" type="noConversion"/>
  </si>
  <si>
    <t>3811+3911</t>
    <phoneticPr fontId="4" type="noConversion"/>
  </si>
  <si>
    <t>Citistore</t>
    <phoneticPr fontId="4" type="noConversion"/>
  </si>
  <si>
    <t>YL</t>
    <phoneticPr fontId="4" type="noConversion"/>
  </si>
  <si>
    <t>PH1</t>
  </si>
  <si>
    <t>PH1</t>
    <phoneticPr fontId="4" type="noConversion"/>
  </si>
  <si>
    <t>PH2</t>
  </si>
  <si>
    <t>PH3</t>
  </si>
  <si>
    <t>PH4</t>
  </si>
  <si>
    <t>DA1</t>
    <phoneticPr fontId="4" type="noConversion"/>
  </si>
  <si>
    <t>DA2</t>
  </si>
  <si>
    <t>DA3</t>
  </si>
  <si>
    <t>Tai Wan Fortress</t>
    <phoneticPr fontId="4" type="noConversion"/>
  </si>
  <si>
    <t>Tai Wan Fortress</t>
    <phoneticPr fontId="4" type="noConversion"/>
  </si>
  <si>
    <t>Tai Wan</t>
    <phoneticPr fontId="4" type="noConversion"/>
  </si>
  <si>
    <t>547+541</t>
    <phoneticPr fontId="4" type="noConversion"/>
  </si>
  <si>
    <t>TW</t>
    <phoneticPr fontId="4" type="noConversion"/>
  </si>
  <si>
    <t>Tai Po Yata</t>
    <phoneticPr fontId="4" type="noConversion"/>
  </si>
  <si>
    <t>Tai Po</t>
    <phoneticPr fontId="4" type="noConversion"/>
  </si>
  <si>
    <t>Tai Po Yata</t>
    <phoneticPr fontId="4" type="noConversion"/>
  </si>
  <si>
    <t>Yata</t>
    <phoneticPr fontId="4" type="noConversion"/>
  </si>
  <si>
    <t>2937+210</t>
    <phoneticPr fontId="4" type="noConversion"/>
  </si>
  <si>
    <t>1775+175</t>
    <phoneticPr fontId="4" type="noConversion"/>
  </si>
  <si>
    <t>3911+3811</t>
    <phoneticPr fontId="4" type="noConversion"/>
  </si>
  <si>
    <t>Pang Kam Chun</t>
  </si>
  <si>
    <t>Aeon</t>
    <phoneticPr fontId="4" type="noConversion"/>
  </si>
  <si>
    <t>Sit Kwok Fong</t>
    <phoneticPr fontId="4" type="noConversion"/>
  </si>
  <si>
    <t>Festival Walk Fortress</t>
    <phoneticPr fontId="4" type="noConversion"/>
  </si>
  <si>
    <t>Festival Walk Fortress</t>
    <phoneticPr fontId="4" type="noConversion"/>
  </si>
  <si>
    <t>Festival Walk</t>
    <phoneticPr fontId="4" type="noConversion"/>
  </si>
  <si>
    <t>In - Home Expo 2</t>
    <phoneticPr fontId="4" type="noConversion"/>
  </si>
  <si>
    <t>In - Home Expo 2</t>
    <phoneticPr fontId="4" type="noConversion"/>
  </si>
  <si>
    <t>Shatin</t>
    <phoneticPr fontId="4" type="noConversion"/>
  </si>
  <si>
    <t>Central</t>
    <phoneticPr fontId="4" type="noConversion"/>
  </si>
  <si>
    <t xml:space="preserve">TW YATA </t>
    <phoneticPr fontId="4" type="noConversion"/>
  </si>
  <si>
    <t xml:space="preserve">YATA </t>
    <phoneticPr fontId="4" type="noConversion"/>
  </si>
  <si>
    <t>Kwai Fong</t>
    <phoneticPr fontId="4" type="noConversion"/>
  </si>
  <si>
    <t>Tsing Yi Fortress</t>
    <phoneticPr fontId="4" type="noConversion"/>
  </si>
  <si>
    <t>Tsing Yi Fortress</t>
    <phoneticPr fontId="4" type="noConversion"/>
  </si>
  <si>
    <t>Tsing Yi</t>
    <phoneticPr fontId="4" type="noConversion"/>
  </si>
  <si>
    <t>Tuen Mun Broadway</t>
    <phoneticPr fontId="4" type="noConversion"/>
  </si>
  <si>
    <t>Tuen Mun Broadway</t>
    <phoneticPr fontId="4" type="noConversion"/>
  </si>
  <si>
    <t>Tuen Mun</t>
    <phoneticPr fontId="4" type="noConversion"/>
  </si>
  <si>
    <t>Broadway</t>
    <phoneticPr fontId="4" type="noConversion"/>
  </si>
  <si>
    <t>SW</t>
    <phoneticPr fontId="4" type="noConversion"/>
  </si>
  <si>
    <t>Wing On</t>
    <phoneticPr fontId="4" type="noConversion"/>
  </si>
  <si>
    <t>TW</t>
  </si>
  <si>
    <t>Aeon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</si>
</sst>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8" formatCode="&quot;HK$&quot;#,##0.00_);[Red]\(&quot;HK$&quot;#,##0.00\)"/>
    <numFmt numFmtId="44" formatCode="_(&quot;HK$&quot;* #,##0.00_);_(&quot;HK$&quot;* \(#,##0.00\);_(&quot;HK$&quot;* &quot;-&quot;??_);_(@_)"/>
    <numFmt numFmtId="43" formatCode="_(* #,##0.00_);_(* \(#,##0.00\);_(* &quot;-&quot;??_);_(@_)"/>
    <numFmt numFmtId="176" formatCode="_-* #,##0.00_-;\-* #,##0.00_-;_-* &quot;-&quot;??_-;_-@_-"/>
    <numFmt numFmtId="177" formatCode="0_ "/>
    <numFmt numFmtId="178" formatCode="d/m/yyyy;@"/>
    <numFmt numFmtId="179" formatCode="dd/mm/yy;@"/>
    <numFmt numFmtId="180" formatCode="0.0"/>
    <numFmt numFmtId="181" formatCode="0_);[Red]\(0\)"/>
    <numFmt numFmtId="182" formatCode="#,##0_ "/>
    <numFmt numFmtId="183" formatCode="_(* #,##0_);_(* \(#,##0\);_(* &quot;-&quot;??_);_(@_)"/>
    <numFmt numFmtId="184" formatCode="_(* #,##0.0_);_(* \(#,##0.0\);_(* &quot;-&quot;??_);_(@_)"/>
    <numFmt numFmtId="185" formatCode="0.0_);[Red]\(0.0\)"/>
    <numFmt numFmtId="186" formatCode="_-[$$-404]* #,##0_-;\-[$$-404]* #,##0_-;_-[$$-404]* &quot;-&quot;??_-;_-@_-"/>
    <numFmt numFmtId="187" formatCode="_(&quot;HK$&quot;* #,##0_);_(&quot;HK$&quot;* \(#,##0\);_(&quot;HK$&quot;* &quot;-&quot;??_);_(@_)"/>
    <numFmt numFmtId="188" formatCode="dddd"/>
    <numFmt numFmtId="189" formatCode="d"/>
    <numFmt numFmtId="190" formatCode="0.0_ "/>
    <numFmt numFmtId="191" formatCode="yyyy\-mm\-dd;@"/>
    <numFmt numFmtId="192" formatCode="0.0%"/>
    <numFmt numFmtId="193" formatCode="@\ &quot;*&quot;"/>
    <numFmt numFmtId="194" formatCode="0;[Red]0"/>
  </numFmts>
  <fonts count="7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b/>
      <sz val="11"/>
      <color rgb="FFFF0000"/>
      <name val="微軟正黑體"/>
      <family val="1"/>
      <charset val="134"/>
    </font>
    <font>
      <sz val="9"/>
      <name val="新細明體"/>
      <family val="2"/>
      <charset val="136"/>
      <scheme val="minor"/>
    </font>
    <font>
      <sz val="9"/>
      <name val="新細明體"/>
      <family val="2"/>
      <charset val="136"/>
      <scheme val="major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1"/>
      <name val="微軟正黑體"/>
      <family val="2"/>
    </font>
    <font>
      <sz val="11"/>
      <color theme="1"/>
      <name val="新細明體"/>
      <family val="2"/>
      <scheme val="minor"/>
    </font>
    <font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4"/>
    </font>
    <font>
      <b/>
      <sz val="11"/>
      <color theme="1"/>
      <name val="Microsoft YaHei"/>
      <family val="2"/>
      <charset val="134"/>
    </font>
    <font>
      <sz val="12"/>
      <color theme="1"/>
      <name val="Microsoft JhengHei UI"/>
      <family val="2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3"/>
      <charset val="134"/>
      <scheme val="minor"/>
    </font>
    <font>
      <sz val="12"/>
      <color theme="1"/>
      <name val="微軟正黑體"/>
      <family val="2"/>
      <charset val="134"/>
    </font>
    <font>
      <sz val="12"/>
      <color theme="1"/>
      <name val="Microsoft YaHei"/>
      <family val="2"/>
      <charset val="134"/>
    </font>
    <font>
      <sz val="12"/>
      <name val="Microsoft JhengHei UI"/>
      <family val="2"/>
      <charset val="136"/>
    </font>
    <font>
      <sz val="12"/>
      <color theme="1"/>
      <name val="Microsoft JhengHei UI"/>
      <family val="2"/>
      <charset val="134"/>
    </font>
    <font>
      <sz val="12"/>
      <color theme="1"/>
      <name val="微軟正黑體"/>
      <family val="2"/>
      <charset val="136"/>
    </font>
    <font>
      <sz val="12"/>
      <name val="Microsoft YaHei"/>
      <family val="2"/>
      <charset val="134"/>
    </font>
    <font>
      <sz val="12"/>
      <name val="Arial"/>
      <family val="2"/>
    </font>
    <font>
      <sz val="12"/>
      <name val="細明體"/>
      <family val="3"/>
      <charset val="136"/>
    </font>
    <font>
      <sz val="12"/>
      <name val="微軟正黑體"/>
      <family val="2"/>
      <charset val="136"/>
    </font>
    <font>
      <sz val="12"/>
      <name val="Calibri"/>
      <family val="2"/>
    </font>
    <font>
      <sz val="12"/>
      <color theme="1"/>
      <name val="新細明體"/>
      <family val="1"/>
      <charset val="136"/>
      <scheme val="minor"/>
    </font>
    <font>
      <sz val="26"/>
      <name val="Calibri"/>
      <family val="2"/>
    </font>
    <font>
      <sz val="9"/>
      <name val="新細明體"/>
      <family val="1"/>
      <charset val="136"/>
    </font>
    <font>
      <b/>
      <sz val="26"/>
      <name val="Calibri"/>
      <family val="2"/>
    </font>
    <font>
      <sz val="11"/>
      <color indexed="8"/>
      <name val="宋体"/>
      <family val="3"/>
      <charset val="136"/>
    </font>
    <font>
      <b/>
      <sz val="26"/>
      <name val="細明體"/>
      <family val="3"/>
      <charset val="136"/>
    </font>
    <font>
      <b/>
      <sz val="18"/>
      <color theme="1"/>
      <name val="微軟正黑體"/>
      <family val="2"/>
      <charset val="136"/>
    </font>
    <font>
      <sz val="26"/>
      <color theme="1"/>
      <name val="Calibri"/>
      <family val="2"/>
    </font>
    <font>
      <b/>
      <sz val="26"/>
      <color theme="1"/>
      <name val="Calibri"/>
      <family val="2"/>
    </font>
    <font>
      <b/>
      <sz val="26"/>
      <color theme="1"/>
      <name val="Calibri"/>
      <family val="2"/>
      <charset val="136"/>
    </font>
    <font>
      <b/>
      <sz val="26"/>
      <color theme="1"/>
      <name val="微軟正黑體"/>
      <family val="2"/>
      <charset val="136"/>
    </font>
    <font>
      <b/>
      <sz val="24"/>
      <color theme="1"/>
      <name val="Calibri"/>
      <family val="2"/>
    </font>
    <font>
      <sz val="12"/>
      <name val="新細明體"/>
      <family val="1"/>
      <charset val="136"/>
    </font>
    <font>
      <sz val="24"/>
      <name val="Calibri"/>
      <family val="2"/>
    </font>
    <font>
      <sz val="24"/>
      <color rgb="FFFF0000"/>
      <name val="Calibri"/>
      <family val="2"/>
    </font>
    <font>
      <sz val="22"/>
      <name val="微軟正黑體"/>
      <family val="2"/>
      <charset val="136"/>
    </font>
    <font>
      <sz val="7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sz val="13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0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0"/>
      <name val="微軟正黑體"/>
      <family val="2"/>
      <charset val="136"/>
    </font>
    <font>
      <b/>
      <sz val="1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name val="Microsoft YaHei"/>
      <family val="1"/>
      <charset val="134"/>
    </font>
    <font>
      <sz val="12"/>
      <color theme="1"/>
      <name val="Microsoft JhengHei UI"/>
      <family val="2"/>
    </font>
    <font>
      <b/>
      <sz val="12"/>
      <color theme="1"/>
      <name val="新細明體"/>
      <family val="2"/>
      <charset val="136"/>
      <scheme val="minor"/>
    </font>
    <font>
      <b/>
      <sz val="12"/>
      <name val="Microsoft YaHei"/>
      <family val="1"/>
      <charset val="134"/>
    </font>
    <font>
      <b/>
      <sz val="22"/>
      <color theme="1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  <font>
      <b/>
      <sz val="11"/>
      <color rgb="FFFF0000"/>
      <name val="新細明體"/>
      <family val="1"/>
      <charset val="136"/>
    </font>
    <font>
      <sz val="12"/>
      <name val="SimHei"/>
      <family val="3"/>
      <charset val="134"/>
    </font>
    <font>
      <b/>
      <sz val="26"/>
      <name val="Calibri"/>
      <family val="2"/>
      <charset val="136"/>
    </font>
    <font>
      <b/>
      <sz val="26"/>
      <name val="微軟正黑體"/>
      <family val="2"/>
      <charset val="136"/>
    </font>
    <font>
      <sz val="10"/>
      <color theme="1"/>
      <name val="Arial"/>
      <family val="2"/>
    </font>
    <font>
      <sz val="24"/>
      <name val="微軟正黑體"/>
      <family val="2"/>
      <charset val="136"/>
    </font>
    <font>
      <sz val="24"/>
      <name val="微軟正黑體"/>
      <family val="2"/>
      <charset val="134"/>
    </font>
    <font>
      <b/>
      <sz val="12"/>
      <color theme="0"/>
      <name val="新細明體"/>
      <family val="2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5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5" fillId="0" borderId="0"/>
    <xf numFmtId="0" fontId="9" fillId="0" borderId="0"/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40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44" fontId="28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85">
    <xf numFmtId="0" fontId="0" fillId="0" borderId="0" xfId="0">
      <alignment vertical="center"/>
    </xf>
    <xf numFmtId="177" fontId="14" fillId="0" borderId="0" xfId="2" applyNumberFormat="1" applyFont="1" applyAlignment="1">
      <alignment vertical="center"/>
    </xf>
    <xf numFmtId="0" fontId="14" fillId="0" borderId="0" xfId="2" applyFont="1"/>
    <xf numFmtId="178" fontId="14" fillId="0" borderId="0" xfId="2" applyNumberFormat="1" applyFont="1"/>
    <xf numFmtId="179" fontId="14" fillId="0" borderId="0" xfId="2" applyNumberFormat="1" applyFont="1"/>
    <xf numFmtId="0" fontId="18" fillId="0" borderId="0" xfId="2" applyFont="1"/>
    <xf numFmtId="0" fontId="9" fillId="0" borderId="0" xfId="3"/>
    <xf numFmtId="0" fontId="14" fillId="0" borderId="0" xfId="2" applyFont="1" applyAlignment="1">
      <alignment horizontal="right" vertical="center"/>
    </xf>
    <xf numFmtId="0" fontId="19" fillId="0" borderId="0" xfId="2" applyFont="1"/>
    <xf numFmtId="180" fontId="14" fillId="0" borderId="0" xfId="2" applyNumberFormat="1" applyFont="1"/>
    <xf numFmtId="0" fontId="21" fillId="0" borderId="0" xfId="2" applyFont="1"/>
    <xf numFmtId="181" fontId="14" fillId="0" borderId="0" xfId="2" applyNumberFormat="1" applyFont="1"/>
    <xf numFmtId="182" fontId="14" fillId="0" borderId="0" xfId="2" applyNumberFormat="1" applyFont="1"/>
    <xf numFmtId="0" fontId="24" fillId="0" borderId="0" xfId="3" applyFont="1" applyAlignment="1">
      <alignment horizontal="left" vertical="top" wrapText="1"/>
    </xf>
    <xf numFmtId="0" fontId="24" fillId="0" borderId="0" xfId="3" applyFont="1" applyAlignment="1">
      <alignment vertical="center" wrapText="1"/>
    </xf>
    <xf numFmtId="0" fontId="25" fillId="0" borderId="0" xfId="3" applyFont="1" applyAlignment="1">
      <alignment vertical="center"/>
    </xf>
    <xf numFmtId="0" fontId="29" fillId="0" borderId="0" xfId="4" applyFont="1" applyAlignment="1">
      <alignment horizontal="left" vertical="center"/>
    </xf>
    <xf numFmtId="184" fontId="29" fillId="0" borderId="0" xfId="5" applyNumberFormat="1" applyFont="1" applyFill="1" applyBorder="1" applyAlignment="1">
      <alignment horizontal="left" vertical="center"/>
    </xf>
    <xf numFmtId="0" fontId="27" fillId="0" borderId="0" xfId="4" applyFont="1" applyAlignment="1">
      <alignment horizontal="left" vertical="center"/>
    </xf>
    <xf numFmtId="0" fontId="31" fillId="0" borderId="0" xfId="4" applyFont="1" applyAlignment="1">
      <alignment horizontal="left" vertical="center"/>
    </xf>
    <xf numFmtId="0" fontId="31" fillId="0" borderId="0" xfId="4" applyFont="1">
      <alignment vertical="center"/>
    </xf>
    <xf numFmtId="43" fontId="29" fillId="0" borderId="3" xfId="5" applyFont="1" applyFill="1" applyBorder="1" applyAlignment="1">
      <alignment horizontal="left" vertical="center"/>
    </xf>
    <xf numFmtId="185" fontId="29" fillId="0" borderId="4" xfId="5" applyNumberFormat="1" applyFont="1" applyFill="1" applyBorder="1" applyAlignment="1">
      <alignment horizontal="right" vertical="center"/>
    </xf>
    <xf numFmtId="43" fontId="29" fillId="0" borderId="5" xfId="5" applyFont="1" applyFill="1" applyBorder="1" applyAlignment="1">
      <alignment horizontal="left" vertical="center"/>
    </xf>
    <xf numFmtId="185" fontId="29" fillId="0" borderId="6" xfId="5" applyNumberFormat="1" applyFont="1" applyFill="1" applyBorder="1" applyAlignment="1">
      <alignment horizontal="right" vertical="center"/>
    </xf>
    <xf numFmtId="0" fontId="31" fillId="0" borderId="0" xfId="4" applyFont="1" applyAlignment="1">
      <alignment horizontal="center" vertical="center"/>
    </xf>
    <xf numFmtId="0" fontId="34" fillId="0" borderId="0" xfId="4" applyFont="1">
      <alignment vertical="center"/>
    </xf>
    <xf numFmtId="43" fontId="29" fillId="0" borderId="7" xfId="5" applyFont="1" applyFill="1" applyBorder="1" applyAlignment="1">
      <alignment horizontal="left" vertical="center"/>
    </xf>
    <xf numFmtId="185" fontId="29" fillId="0" borderId="8" xfId="5" applyNumberFormat="1" applyFont="1" applyFill="1" applyBorder="1" applyAlignment="1">
      <alignment horizontal="right" vertical="center"/>
    </xf>
    <xf numFmtId="0" fontId="29" fillId="0" borderId="0" xfId="4" quotePrefix="1" applyFont="1" applyAlignment="1">
      <alignment horizontal="left" vertical="center"/>
    </xf>
    <xf numFmtId="181" fontId="29" fillId="0" borderId="0" xfId="4" applyNumberFormat="1" applyFont="1" applyAlignment="1">
      <alignment horizontal="left" vertical="center"/>
    </xf>
    <xf numFmtId="186" fontId="29" fillId="0" borderId="0" xfId="4" applyNumberFormat="1" applyFont="1" applyAlignment="1">
      <alignment horizontal="left" vertical="center"/>
    </xf>
    <xf numFmtId="0" fontId="35" fillId="0" borderId="9" xfId="4" applyFont="1" applyBorder="1" applyAlignment="1">
      <alignment horizontal="left" vertical="center"/>
    </xf>
    <xf numFmtId="0" fontId="36" fillId="0" borderId="9" xfId="4" applyFont="1" applyBorder="1">
      <alignment vertical="center"/>
    </xf>
    <xf numFmtId="0" fontId="36" fillId="0" borderId="9" xfId="4" applyFont="1" applyBorder="1" applyAlignment="1">
      <alignment horizontal="left" vertical="center"/>
    </xf>
    <xf numFmtId="183" fontId="36" fillId="0" borderId="9" xfId="5" applyNumberFormat="1" applyFont="1" applyFill="1" applyBorder="1" applyAlignment="1">
      <alignment horizontal="left" vertical="center"/>
    </xf>
    <xf numFmtId="184" fontId="36" fillId="0" borderId="9" xfId="5" applyNumberFormat="1" applyFont="1" applyFill="1" applyBorder="1" applyAlignment="1">
      <alignment horizontal="left" vertical="center"/>
    </xf>
    <xf numFmtId="0" fontId="37" fillId="0" borderId="9" xfId="4" applyFont="1" applyBorder="1" applyAlignment="1">
      <alignment horizontal="left" vertical="center"/>
    </xf>
    <xf numFmtId="0" fontId="36" fillId="0" borderId="9" xfId="7" applyFont="1" applyFill="1" applyBorder="1" applyAlignment="1">
      <alignment horizontal="left" vertical="center"/>
    </xf>
    <xf numFmtId="0" fontId="36" fillId="7" borderId="9" xfId="4" applyFont="1" applyFill="1" applyBorder="1" applyAlignment="1">
      <alignment horizontal="left" vertical="center"/>
    </xf>
    <xf numFmtId="0" fontId="39" fillId="0" borderId="0" xfId="4" applyFont="1" applyAlignment="1">
      <alignment horizontal="left" vertical="center"/>
    </xf>
    <xf numFmtId="0" fontId="41" fillId="0" borderId="0" xfId="4" applyFont="1" applyAlignment="1">
      <alignment horizontal="left" vertical="center"/>
    </xf>
    <xf numFmtId="0" fontId="42" fillId="0" borderId="0" xfId="4" applyFont="1" applyAlignment="1">
      <alignment horizontal="left" vertical="center"/>
    </xf>
    <xf numFmtId="0" fontId="42" fillId="3" borderId="0" xfId="4" applyFont="1" applyFill="1" applyAlignment="1">
      <alignment horizontal="left" vertical="center"/>
    </xf>
    <xf numFmtId="183" fontId="27" fillId="0" borderId="0" xfId="5" applyNumberFormat="1" applyFont="1" applyFill="1" applyBorder="1" applyAlignment="1">
      <alignment horizontal="left" vertical="center"/>
    </xf>
    <xf numFmtId="184" fontId="27" fillId="0" borderId="0" xfId="5" applyNumberFormat="1" applyFont="1" applyFill="1" applyBorder="1" applyAlignment="1">
      <alignment horizontal="left" vertical="center"/>
    </xf>
    <xf numFmtId="0" fontId="22" fillId="3" borderId="0" xfId="4" applyFont="1" applyFill="1" applyAlignment="1">
      <alignment horizontal="center" vertical="center"/>
    </xf>
    <xf numFmtId="0" fontId="28" fillId="0" borderId="0" xfId="4">
      <alignment vertical="center"/>
    </xf>
    <xf numFmtId="0" fontId="45" fillId="3" borderId="0" xfId="4" applyFont="1" applyFill="1" applyAlignment="1">
      <alignment horizontal="center" vertical="center"/>
    </xf>
    <xf numFmtId="0" fontId="46" fillId="3" borderId="0" xfId="4" applyFont="1" applyFill="1" applyAlignment="1">
      <alignment horizontal="center" vertical="center"/>
    </xf>
    <xf numFmtId="0" fontId="49" fillId="3" borderId="11" xfId="4" applyFont="1" applyFill="1" applyBorder="1" applyAlignment="1">
      <alignment horizontal="center" vertical="center"/>
    </xf>
    <xf numFmtId="0" fontId="49" fillId="3" borderId="0" xfId="4" applyFont="1" applyFill="1" applyAlignment="1">
      <alignment horizontal="center" vertical="center"/>
    </xf>
    <xf numFmtId="0" fontId="50" fillId="3" borderId="0" xfId="9" applyFont="1" applyFill="1">
      <alignment vertical="center"/>
    </xf>
    <xf numFmtId="0" fontId="50" fillId="3" borderId="9" xfId="9" applyFont="1" applyFill="1" applyBorder="1" applyAlignment="1">
      <alignment horizontal="left" vertical="center"/>
    </xf>
    <xf numFmtId="0" fontId="49" fillId="3" borderId="0" xfId="4" applyFont="1" applyFill="1">
      <alignment vertical="center"/>
    </xf>
    <xf numFmtId="0" fontId="50" fillId="3" borderId="0" xfId="9" applyFont="1" applyFill="1" applyAlignment="1">
      <alignment horizontal="left" vertical="center"/>
    </xf>
    <xf numFmtId="0" fontId="26" fillId="3" borderId="0" xfId="9" applyFont="1" applyFill="1">
      <alignment vertical="center"/>
    </xf>
    <xf numFmtId="0" fontId="22" fillId="3" borderId="0" xfId="4" applyFont="1" applyFill="1">
      <alignment vertical="center"/>
    </xf>
    <xf numFmtId="0" fontId="26" fillId="3" borderId="0" xfId="9" applyFont="1" applyFill="1" applyAlignment="1">
      <alignment horizontal="left" vertical="center"/>
    </xf>
    <xf numFmtId="0" fontId="26" fillId="3" borderId="0" xfId="9" applyFont="1" applyFill="1" applyAlignment="1">
      <alignment horizontal="center" vertical="center"/>
    </xf>
    <xf numFmtId="0" fontId="51" fillId="2" borderId="12" xfId="9" applyFont="1" applyFill="1" applyBorder="1" applyAlignment="1">
      <alignment horizontal="left" vertical="center"/>
    </xf>
    <xf numFmtId="0" fontId="51" fillId="2" borderId="13" xfId="9" applyFont="1" applyFill="1" applyBorder="1" applyAlignment="1">
      <alignment horizontal="left" vertical="center"/>
    </xf>
    <xf numFmtId="0" fontId="51" fillId="2" borderId="13" xfId="9" applyFont="1" applyFill="1" applyBorder="1" applyAlignment="1">
      <alignment horizontal="right" vertical="center"/>
    </xf>
    <xf numFmtId="0" fontId="51" fillId="2" borderId="14" xfId="9" applyFont="1" applyFill="1" applyBorder="1" applyAlignment="1">
      <alignment horizontal="left" vertical="center"/>
    </xf>
    <xf numFmtId="0" fontId="52" fillId="3" borderId="5" xfId="10" applyFont="1" applyFill="1" applyBorder="1">
      <alignment vertical="center"/>
    </xf>
    <xf numFmtId="0" fontId="52" fillId="3" borderId="9" xfId="10" applyFont="1" applyFill="1" applyBorder="1" applyAlignment="1"/>
    <xf numFmtId="0" fontId="53" fillId="3" borderId="0" xfId="9" applyFont="1" applyFill="1" applyAlignment="1"/>
    <xf numFmtId="0" fontId="53" fillId="3" borderId="0" xfId="9" applyFont="1" applyFill="1" applyAlignment="1">
      <alignment horizontal="left" vertical="center"/>
    </xf>
    <xf numFmtId="0" fontId="53" fillId="3" borderId="6" xfId="9" applyFont="1" applyFill="1" applyBorder="1" applyAlignment="1">
      <alignment horizontal="left" vertical="center"/>
    </xf>
    <xf numFmtId="0" fontId="52" fillId="3" borderId="15" xfId="10" applyFont="1" applyFill="1" applyBorder="1">
      <alignment vertical="center"/>
    </xf>
    <xf numFmtId="0" fontId="52" fillId="3" borderId="16" xfId="10" applyFont="1" applyFill="1" applyBorder="1" applyAlignment="1"/>
    <xf numFmtId="0" fontId="53" fillId="3" borderId="17" xfId="9" applyFont="1" applyFill="1" applyBorder="1" applyAlignment="1"/>
    <xf numFmtId="0" fontId="53" fillId="3" borderId="17" xfId="9" applyFont="1" applyFill="1" applyBorder="1" applyAlignment="1">
      <alignment horizontal="left" vertical="center"/>
    </xf>
    <xf numFmtId="0" fontId="53" fillId="3" borderId="18" xfId="9" applyFont="1" applyFill="1" applyBorder="1" applyAlignment="1">
      <alignment horizontal="left" vertical="center"/>
    </xf>
    <xf numFmtId="0" fontId="52" fillId="3" borderId="17" xfId="10" applyFont="1" applyFill="1" applyBorder="1" applyAlignment="1"/>
    <xf numFmtId="16" fontId="53" fillId="3" borderId="17" xfId="9" applyNumberFormat="1" applyFont="1" applyFill="1" applyBorder="1" applyAlignment="1">
      <alignment horizontal="left" vertical="center"/>
    </xf>
    <xf numFmtId="185" fontId="53" fillId="3" borderId="17" xfId="9" applyNumberFormat="1" applyFont="1" applyFill="1" applyBorder="1" applyAlignment="1">
      <alignment horizontal="left" vertical="center"/>
    </xf>
    <xf numFmtId="0" fontId="53" fillId="3" borderId="16" xfId="9" applyFont="1" applyFill="1" applyBorder="1" applyAlignment="1"/>
    <xf numFmtId="0" fontId="53" fillId="3" borderId="19" xfId="9" applyFont="1" applyFill="1" applyBorder="1" applyAlignment="1">
      <alignment horizontal="left" vertical="center"/>
    </xf>
    <xf numFmtId="0" fontId="53" fillId="3" borderId="20" xfId="9" applyFont="1" applyFill="1" applyBorder="1">
      <alignment vertical="center"/>
    </xf>
    <xf numFmtId="0" fontId="52" fillId="3" borderId="21" xfId="10" applyFont="1" applyFill="1" applyBorder="1" applyAlignment="1"/>
    <xf numFmtId="0" fontId="54" fillId="3" borderId="21" xfId="4" applyFont="1" applyFill="1" applyBorder="1" applyAlignment="1">
      <alignment horizontal="right"/>
    </xf>
    <xf numFmtId="44" fontId="54" fillId="3" borderId="21" xfId="4" applyNumberFormat="1" applyFont="1" applyFill="1" applyBorder="1" applyAlignment="1">
      <alignment horizontal="left" vertical="center"/>
    </xf>
    <xf numFmtId="0" fontId="54" fillId="3" borderId="22" xfId="4" applyFont="1" applyFill="1" applyBorder="1" applyAlignment="1">
      <alignment horizontal="left" vertical="center"/>
    </xf>
    <xf numFmtId="0" fontId="26" fillId="3" borderId="0" xfId="9" applyFont="1" applyFill="1" applyAlignment="1">
      <alignment horizontal="center" vertical="center" wrapText="1"/>
    </xf>
    <xf numFmtId="0" fontId="55" fillId="3" borderId="0" xfId="9" applyFont="1" applyFill="1" applyAlignment="1">
      <alignment horizontal="center" vertical="center"/>
    </xf>
    <xf numFmtId="0" fontId="51" fillId="3" borderId="0" xfId="9" applyFont="1" applyFill="1">
      <alignment vertical="center"/>
    </xf>
    <xf numFmtId="0" fontId="51" fillId="2" borderId="12" xfId="9" applyFont="1" applyFill="1" applyBorder="1">
      <alignment vertical="center"/>
    </xf>
    <xf numFmtId="0" fontId="51" fillId="2" borderId="13" xfId="9" applyFont="1" applyFill="1" applyBorder="1">
      <alignment vertical="center"/>
    </xf>
    <xf numFmtId="0" fontId="51" fillId="2" borderId="13" xfId="9" applyFont="1" applyFill="1" applyBorder="1" applyAlignment="1">
      <alignment horizontal="center" vertical="center"/>
    </xf>
    <xf numFmtId="0" fontId="56" fillId="2" borderId="14" xfId="9" applyFont="1" applyFill="1" applyBorder="1" applyAlignment="1">
      <alignment horizontal="center" vertical="center"/>
    </xf>
    <xf numFmtId="0" fontId="52" fillId="3" borderId="0" xfId="10" applyFont="1" applyFill="1">
      <alignment vertical="center"/>
    </xf>
    <xf numFmtId="0" fontId="53" fillId="3" borderId="0" xfId="11" applyFont="1" applyFill="1" applyAlignment="1">
      <alignment horizontal="right" vertical="center"/>
    </xf>
    <xf numFmtId="0" fontId="54" fillId="3" borderId="0" xfId="4" applyFont="1" applyFill="1" applyAlignment="1">
      <alignment horizontal="right" vertical="center"/>
    </xf>
    <xf numFmtId="187" fontId="53" fillId="3" borderId="23" xfId="12" applyNumberFormat="1" applyFont="1" applyFill="1" applyBorder="1">
      <alignment vertical="center"/>
    </xf>
    <xf numFmtId="187" fontId="50" fillId="3" borderId="24" xfId="12" applyNumberFormat="1" applyFont="1" applyFill="1" applyBorder="1" applyAlignment="1">
      <alignment vertical="center"/>
    </xf>
    <xf numFmtId="0" fontId="53" fillId="3" borderId="17" xfId="11" applyFont="1" applyFill="1" applyBorder="1" applyAlignment="1">
      <alignment horizontal="right" vertical="center"/>
    </xf>
    <xf numFmtId="0" fontId="54" fillId="3" borderId="17" xfId="4" applyFont="1" applyFill="1" applyBorder="1" applyAlignment="1">
      <alignment horizontal="right" vertical="center"/>
    </xf>
    <xf numFmtId="187" fontId="53" fillId="3" borderId="16" xfId="12" applyNumberFormat="1" applyFont="1" applyFill="1" applyBorder="1">
      <alignment vertical="center"/>
    </xf>
    <xf numFmtId="187" fontId="50" fillId="3" borderId="19" xfId="12" applyNumberFormat="1" applyFont="1" applyFill="1" applyBorder="1" applyAlignment="1">
      <alignment vertical="center"/>
    </xf>
    <xf numFmtId="187" fontId="53" fillId="3" borderId="17" xfId="9" applyNumberFormat="1" applyFont="1" applyFill="1" applyBorder="1" applyAlignment="1">
      <alignment horizontal="right" vertical="center"/>
    </xf>
    <xf numFmtId="0" fontId="53" fillId="3" borderId="17" xfId="9" applyFont="1" applyFill="1" applyBorder="1" applyAlignment="1">
      <alignment horizontal="right" vertical="center"/>
    </xf>
    <xf numFmtId="0" fontId="52" fillId="3" borderId="25" xfId="10" applyFont="1" applyFill="1" applyBorder="1">
      <alignment vertical="center"/>
    </xf>
    <xf numFmtId="0" fontId="53" fillId="3" borderId="26" xfId="9" applyFont="1" applyFill="1" applyBorder="1" applyAlignment="1">
      <alignment horizontal="right" vertical="center"/>
    </xf>
    <xf numFmtId="0" fontId="54" fillId="3" borderId="26" xfId="4" applyFont="1" applyFill="1" applyBorder="1" applyAlignment="1">
      <alignment horizontal="right" vertical="center"/>
    </xf>
    <xf numFmtId="187" fontId="53" fillId="3" borderId="26" xfId="12" applyNumberFormat="1" applyFont="1" applyFill="1" applyBorder="1">
      <alignment vertical="center"/>
    </xf>
    <xf numFmtId="187" fontId="50" fillId="3" borderId="27" xfId="12" applyNumberFormat="1" applyFont="1" applyFill="1" applyBorder="1" applyAlignment="1">
      <alignment vertical="center"/>
    </xf>
    <xf numFmtId="0" fontId="7" fillId="3" borderId="0" xfId="11" applyFont="1" applyFill="1">
      <alignment vertical="center"/>
    </xf>
    <xf numFmtId="0" fontId="7" fillId="6" borderId="7" xfId="11" applyFont="1" applyFill="1" applyBorder="1">
      <alignment vertical="center"/>
    </xf>
    <xf numFmtId="0" fontId="10" fillId="6" borderId="28" xfId="11" applyFont="1" applyFill="1" applyBorder="1" applyAlignment="1">
      <alignment horizontal="right" vertical="center"/>
    </xf>
    <xf numFmtId="0" fontId="51" fillId="6" borderId="28" xfId="11" applyFont="1" applyFill="1" applyBorder="1" applyAlignment="1">
      <alignment horizontal="right" vertical="center"/>
    </xf>
    <xf numFmtId="187" fontId="51" fillId="6" borderId="28" xfId="12" applyNumberFormat="1" applyFont="1" applyFill="1" applyBorder="1" applyAlignment="1">
      <alignment horizontal="center" vertical="center"/>
    </xf>
    <xf numFmtId="187" fontId="56" fillId="6" borderId="8" xfId="12" applyNumberFormat="1" applyFont="1" applyFill="1" applyBorder="1" applyAlignment="1">
      <alignment horizontal="center" vertical="center"/>
    </xf>
    <xf numFmtId="187" fontId="28" fillId="0" borderId="0" xfId="4" applyNumberFormat="1">
      <alignment vertical="center"/>
    </xf>
    <xf numFmtId="0" fontId="52" fillId="0" borderId="0" xfId="10" applyFont="1">
      <alignment vertical="center"/>
    </xf>
    <xf numFmtId="0" fontId="22" fillId="0" borderId="0" xfId="4" applyFont="1">
      <alignment vertical="center"/>
    </xf>
    <xf numFmtId="0" fontId="55" fillId="3" borderId="0" xfId="9" applyFont="1" applyFill="1">
      <alignment vertical="center"/>
    </xf>
    <xf numFmtId="0" fontId="55" fillId="3" borderId="0" xfId="9" applyFont="1" applyFill="1" applyAlignment="1">
      <alignment horizontal="right" vertical="center"/>
    </xf>
    <xf numFmtId="0" fontId="55" fillId="3" borderId="9" xfId="9" applyFont="1" applyFill="1" applyBorder="1">
      <alignment vertical="center"/>
    </xf>
    <xf numFmtId="0" fontId="22" fillId="3" borderId="9" xfId="4" applyFont="1" applyFill="1" applyBorder="1">
      <alignment vertical="center"/>
    </xf>
    <xf numFmtId="0" fontId="57" fillId="3" borderId="0" xfId="4" applyFont="1" applyFill="1">
      <alignment vertical="center"/>
    </xf>
    <xf numFmtId="0" fontId="26" fillId="3" borderId="9" xfId="9" applyFont="1" applyFill="1" applyBorder="1">
      <alignment vertical="center"/>
    </xf>
    <xf numFmtId="0" fontId="26" fillId="3" borderId="9" xfId="9" applyFont="1" applyFill="1" applyBorder="1" applyAlignment="1">
      <alignment horizontal="center" vertical="center"/>
    </xf>
    <xf numFmtId="49" fontId="53" fillId="3" borderId="17" xfId="9" applyNumberFormat="1" applyFont="1" applyFill="1" applyBorder="1" applyAlignment="1">
      <alignment horizontal="left" vertical="center"/>
    </xf>
    <xf numFmtId="0" fontId="53" fillId="3" borderId="16" xfId="9" applyFont="1" applyFill="1" applyBorder="1" applyAlignment="1">
      <alignment horizontal="left" vertical="center"/>
    </xf>
    <xf numFmtId="187" fontId="53" fillId="3" borderId="23" xfId="12" applyNumberFormat="1" applyFont="1" applyFill="1" applyBorder="1" applyAlignment="1">
      <alignment vertical="center"/>
    </xf>
    <xf numFmtId="187" fontId="53" fillId="3" borderId="16" xfId="12" applyNumberFormat="1" applyFont="1" applyFill="1" applyBorder="1" applyAlignment="1">
      <alignment vertical="center"/>
    </xf>
    <xf numFmtId="187" fontId="53" fillId="3" borderId="26" xfId="12" applyNumberFormat="1" applyFont="1" applyFill="1" applyBorder="1" applyAlignment="1">
      <alignment vertical="center"/>
    </xf>
    <xf numFmtId="17" fontId="53" fillId="3" borderId="17" xfId="9" applyNumberFormat="1" applyFont="1" applyFill="1" applyBorder="1" applyAlignment="1">
      <alignment horizontal="left" vertical="center"/>
    </xf>
    <xf numFmtId="0" fontId="47" fillId="3" borderId="10" xfId="13" applyFont="1" applyFill="1" applyBorder="1" applyAlignment="1">
      <alignment horizontal="center" vertical="center"/>
    </xf>
    <xf numFmtId="0" fontId="48" fillId="3" borderId="0" xfId="13" applyFont="1" applyFill="1" applyAlignment="1">
      <alignment horizontal="center" vertical="center"/>
    </xf>
    <xf numFmtId="0" fontId="50" fillId="3" borderId="0" xfId="13" applyFont="1" applyFill="1">
      <alignment vertical="center"/>
    </xf>
    <xf numFmtId="0" fontId="50" fillId="3" borderId="9" xfId="13" applyFont="1" applyFill="1" applyBorder="1" applyAlignment="1">
      <alignment horizontal="left" vertical="center"/>
    </xf>
    <xf numFmtId="0" fontId="50" fillId="3" borderId="0" xfId="13" applyFont="1" applyFill="1" applyAlignment="1">
      <alignment horizontal="left" vertical="center"/>
    </xf>
    <xf numFmtId="0" fontId="26" fillId="3" borderId="0" xfId="13" applyFont="1" applyFill="1">
      <alignment vertical="center"/>
    </xf>
    <xf numFmtId="0" fontId="26" fillId="3" borderId="0" xfId="13" applyFont="1" applyFill="1" applyAlignment="1">
      <alignment horizontal="left" vertical="center"/>
    </xf>
    <xf numFmtId="0" fontId="26" fillId="3" borderId="0" xfId="13" applyFont="1" applyFill="1" applyAlignment="1">
      <alignment horizontal="center" vertical="center"/>
    </xf>
    <xf numFmtId="0" fontId="51" fillId="2" borderId="12" xfId="13" applyFont="1" applyFill="1" applyBorder="1" applyAlignment="1">
      <alignment horizontal="left" vertical="center"/>
    </xf>
    <xf numFmtId="0" fontId="51" fillId="2" borderId="13" xfId="13" applyFont="1" applyFill="1" applyBorder="1" applyAlignment="1">
      <alignment horizontal="left" vertical="center"/>
    </xf>
    <xf numFmtId="0" fontId="51" fillId="2" borderId="13" xfId="13" applyFont="1" applyFill="1" applyBorder="1" applyAlignment="1">
      <alignment horizontal="right" vertical="center"/>
    </xf>
    <xf numFmtId="0" fontId="51" fillId="2" borderId="14" xfId="13" applyFont="1" applyFill="1" applyBorder="1" applyAlignment="1">
      <alignment horizontal="left" vertical="center"/>
    </xf>
    <xf numFmtId="0" fontId="53" fillId="3" borderId="0" xfId="13" applyFont="1" applyFill="1" applyAlignment="1"/>
    <xf numFmtId="0" fontId="53" fillId="3" borderId="0" xfId="13" applyFont="1" applyFill="1" applyAlignment="1">
      <alignment horizontal="left" vertical="center"/>
    </xf>
    <xf numFmtId="0" fontId="53" fillId="3" borderId="6" xfId="13" applyFont="1" applyFill="1" applyBorder="1" applyAlignment="1">
      <alignment horizontal="left" vertical="center"/>
    </xf>
    <xf numFmtId="0" fontId="53" fillId="3" borderId="17" xfId="13" applyFont="1" applyFill="1" applyBorder="1" applyAlignment="1"/>
    <xf numFmtId="9" fontId="53" fillId="3" borderId="17" xfId="13" applyNumberFormat="1" applyFont="1" applyFill="1" applyBorder="1" applyAlignment="1">
      <alignment horizontal="left" vertical="center"/>
    </xf>
    <xf numFmtId="0" fontId="53" fillId="3" borderId="18" xfId="13" applyFont="1" applyFill="1" applyBorder="1" applyAlignment="1">
      <alignment horizontal="left" vertical="center"/>
    </xf>
    <xf numFmtId="16" fontId="53" fillId="3" borderId="17" xfId="13" applyNumberFormat="1" applyFont="1" applyFill="1" applyBorder="1" applyAlignment="1">
      <alignment horizontal="left" vertical="center"/>
    </xf>
    <xf numFmtId="0" fontId="53" fillId="3" borderId="17" xfId="13" applyFont="1" applyFill="1" applyBorder="1" applyAlignment="1">
      <alignment horizontal="left" vertical="center"/>
    </xf>
    <xf numFmtId="0" fontId="53" fillId="3" borderId="16" xfId="13" applyFont="1" applyFill="1" applyBorder="1" applyAlignment="1"/>
    <xf numFmtId="0" fontId="53" fillId="3" borderId="16" xfId="13" applyFont="1" applyFill="1" applyBorder="1" applyAlignment="1">
      <alignment horizontal="left" vertical="center"/>
    </xf>
    <xf numFmtId="0" fontId="53" fillId="3" borderId="19" xfId="13" applyFont="1" applyFill="1" applyBorder="1" applyAlignment="1">
      <alignment horizontal="left" vertical="center"/>
    </xf>
    <xf numFmtId="0" fontId="53" fillId="3" borderId="20" xfId="13" applyFont="1" applyFill="1" applyBorder="1">
      <alignment vertical="center"/>
    </xf>
    <xf numFmtId="0" fontId="26" fillId="3" borderId="0" xfId="13" applyFont="1" applyFill="1" applyAlignment="1">
      <alignment horizontal="center" vertical="center" wrapText="1"/>
    </xf>
    <xf numFmtId="0" fontId="55" fillId="3" borderId="0" xfId="13" applyFont="1" applyFill="1" applyAlignment="1">
      <alignment horizontal="center" vertical="center"/>
    </xf>
    <xf numFmtId="0" fontId="51" fillId="3" borderId="0" xfId="13" applyFont="1" applyFill="1">
      <alignment vertical="center"/>
    </xf>
    <xf numFmtId="0" fontId="51" fillId="2" borderId="12" xfId="13" applyFont="1" applyFill="1" applyBorder="1">
      <alignment vertical="center"/>
    </xf>
    <xf numFmtId="0" fontId="51" fillId="2" borderId="13" xfId="13" applyFont="1" applyFill="1" applyBorder="1">
      <alignment vertical="center"/>
    </xf>
    <xf numFmtId="0" fontId="51" fillId="2" borderId="13" xfId="13" applyFont="1" applyFill="1" applyBorder="1" applyAlignment="1">
      <alignment horizontal="center" vertical="center"/>
    </xf>
    <xf numFmtId="0" fontId="56" fillId="2" borderId="14" xfId="13" applyFont="1" applyFill="1" applyBorder="1" applyAlignment="1">
      <alignment horizontal="center" vertical="center"/>
    </xf>
    <xf numFmtId="187" fontId="53" fillId="3" borderId="17" xfId="13" applyNumberFormat="1" applyFont="1" applyFill="1" applyBorder="1" applyAlignment="1">
      <alignment horizontal="right" vertical="center"/>
    </xf>
    <xf numFmtId="0" fontId="53" fillId="3" borderId="17" xfId="13" applyFont="1" applyFill="1" applyBorder="1" applyAlignment="1">
      <alignment horizontal="right" vertical="center"/>
    </xf>
    <xf numFmtId="0" fontId="53" fillId="3" borderId="26" xfId="13" applyFont="1" applyFill="1" applyBorder="1" applyAlignment="1">
      <alignment horizontal="right" vertical="center"/>
    </xf>
    <xf numFmtId="187" fontId="26" fillId="3" borderId="0" xfId="13" applyNumberFormat="1" applyFont="1" applyFill="1" applyAlignment="1">
      <alignment horizontal="center" vertical="center"/>
    </xf>
    <xf numFmtId="8" fontId="26" fillId="3" borderId="0" xfId="13" applyNumberFormat="1" applyFont="1" applyFill="1" applyAlignment="1">
      <alignment horizontal="center" vertical="center"/>
    </xf>
    <xf numFmtId="0" fontId="26" fillId="3" borderId="0" xfId="13" applyFont="1" applyFill="1" applyAlignment="1">
      <alignment horizontal="right" vertical="center"/>
    </xf>
    <xf numFmtId="0" fontId="55" fillId="3" borderId="0" xfId="13" applyFont="1" applyFill="1">
      <alignment vertical="center"/>
    </xf>
    <xf numFmtId="0" fontId="55" fillId="3" borderId="0" xfId="13" applyFont="1" applyFill="1" applyAlignment="1">
      <alignment horizontal="right" vertical="center"/>
    </xf>
    <xf numFmtId="0" fontId="55" fillId="3" borderId="9" xfId="13" applyFont="1" applyFill="1" applyBorder="1">
      <alignment vertical="center"/>
    </xf>
    <xf numFmtId="0" fontId="26" fillId="3" borderId="9" xfId="13" applyFont="1" applyFill="1" applyBorder="1">
      <alignment vertical="center"/>
    </xf>
    <xf numFmtId="0" fontId="26" fillId="3" borderId="9" xfId="13" applyFont="1" applyFill="1" applyBorder="1" applyAlignment="1">
      <alignment horizontal="center" vertical="center"/>
    </xf>
    <xf numFmtId="180" fontId="59" fillId="0" borderId="0" xfId="2" applyNumberFormat="1" applyFont="1"/>
    <xf numFmtId="0" fontId="18" fillId="0" borderId="0" xfId="0" applyFont="1">
      <alignment vertical="center"/>
    </xf>
    <xf numFmtId="9" fontId="0" fillId="0" borderId="0" xfId="0" applyNumberFormat="1">
      <alignment vertical="center"/>
    </xf>
    <xf numFmtId="185" fontId="29" fillId="0" borderId="0" xfId="4" applyNumberFormat="1" applyFont="1" applyAlignment="1">
      <alignment horizontal="left" vertical="center"/>
    </xf>
    <xf numFmtId="0" fontId="62" fillId="0" borderId="0" xfId="4" applyFont="1" applyAlignment="1">
      <alignment horizontal="left" vertical="center"/>
    </xf>
    <xf numFmtId="0" fontId="0" fillId="6" borderId="0" xfId="0" applyFill="1">
      <alignment vertical="center"/>
    </xf>
    <xf numFmtId="0" fontId="63" fillId="0" borderId="0" xfId="0" applyFont="1">
      <alignment vertical="center"/>
    </xf>
    <xf numFmtId="0" fontId="0" fillId="0" borderId="0" xfId="0" pivotButton="1">
      <alignment vertical="center"/>
    </xf>
    <xf numFmtId="0" fontId="31" fillId="6" borderId="0" xfId="4" applyFont="1" applyFill="1">
      <alignment vertical="center"/>
    </xf>
    <xf numFmtId="0" fontId="31" fillId="6" borderId="0" xfId="4" applyFont="1" applyFill="1" applyAlignment="1">
      <alignment horizontal="right" vertical="center"/>
    </xf>
    <xf numFmtId="0" fontId="63" fillId="0" borderId="0" xfId="0" applyFont="1" applyProtection="1">
      <alignment vertical="center"/>
      <protection locked="0"/>
    </xf>
    <xf numFmtId="14" fontId="0" fillId="6" borderId="0" xfId="0" applyNumberFormat="1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189" fontId="6" fillId="3" borderId="0" xfId="0" applyNumberFormat="1" applyFont="1" applyFill="1" applyAlignment="1" applyProtection="1">
      <alignment horizontal="center" vertical="center"/>
      <protection locked="0"/>
    </xf>
    <xf numFmtId="189" fontId="0" fillId="0" borderId="0" xfId="0" applyNumberForma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64" fillId="0" borderId="1" xfId="0" applyFont="1" applyBorder="1" applyAlignment="1" applyProtection="1">
      <alignment horizontal="center" vertical="center"/>
      <protection locked="0"/>
    </xf>
    <xf numFmtId="188" fontId="6" fillId="3" borderId="0" xfId="0" applyNumberFormat="1" applyFont="1" applyFill="1" applyAlignment="1" applyProtection="1">
      <alignment horizontal="center" vertical="center"/>
      <protection locked="0"/>
    </xf>
    <xf numFmtId="0" fontId="64" fillId="0" borderId="1" xfId="0" applyFont="1" applyBorder="1" applyAlignment="1" applyProtection="1">
      <alignment horizontal="center" vertical="center" wrapText="1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12" fontId="10" fillId="0" borderId="0" xfId="1" applyNumberFormat="1" applyFont="1" applyFill="1" applyBorder="1" applyAlignment="1" applyProtection="1">
      <alignment vertical="center" wrapText="1"/>
      <protection locked="0"/>
    </xf>
    <xf numFmtId="0" fontId="11" fillId="8" borderId="2" xfId="0" applyFont="1" applyFill="1" applyBorder="1" applyAlignment="1" applyProtection="1">
      <alignment horizontal="left" vertical="center"/>
      <protection locked="0"/>
    </xf>
    <xf numFmtId="0" fontId="12" fillId="8" borderId="2" xfId="0" applyFont="1" applyFill="1" applyBorder="1" applyAlignment="1" applyProtection="1">
      <alignment horizontal="left" vertical="center"/>
      <protection locked="0"/>
    </xf>
    <xf numFmtId="0" fontId="13" fillId="8" borderId="2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188" fontId="6" fillId="0" borderId="2" xfId="0" applyNumberFormat="1" applyFont="1" applyBorder="1" applyAlignment="1">
      <alignment horizontal="center" vertical="center"/>
    </xf>
    <xf numFmtId="189" fontId="6" fillId="0" borderId="2" xfId="0" applyNumberFormat="1" applyFont="1" applyBorder="1" applyAlignment="1">
      <alignment horizontal="center" vertical="center"/>
    </xf>
    <xf numFmtId="189" fontId="6" fillId="0" borderId="30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12" fontId="10" fillId="0" borderId="2" xfId="1" applyNumberFormat="1" applyFont="1" applyFill="1" applyBorder="1" applyAlignment="1" applyProtection="1">
      <alignment vertical="center" wrapText="1"/>
    </xf>
    <xf numFmtId="12" fontId="10" fillId="0" borderId="0" xfId="1" applyNumberFormat="1" applyFont="1" applyFill="1" applyBorder="1" applyAlignment="1" applyProtection="1">
      <alignment vertical="center" wrapText="1"/>
    </xf>
    <xf numFmtId="12" fontId="0" fillId="0" borderId="0" xfId="0" applyNumberFormat="1" applyAlignment="1">
      <alignment horizontal="center" vertical="center"/>
    </xf>
    <xf numFmtId="0" fontId="60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60" fillId="0" borderId="0" xfId="0" applyFont="1" applyProtection="1">
      <alignment vertical="center"/>
      <protection locked="0"/>
    </xf>
    <xf numFmtId="0" fontId="18" fillId="0" borderId="0" xfId="0" applyFont="1" applyProtection="1">
      <alignment vertical="center"/>
      <protection locked="0"/>
    </xf>
    <xf numFmtId="14" fontId="58" fillId="4" borderId="0" xfId="0" applyNumberFormat="1" applyFont="1" applyFill="1" applyAlignment="1" applyProtection="1">
      <alignment horizontal="center" vertical="center"/>
      <protection locked="0"/>
    </xf>
    <xf numFmtId="0" fontId="61" fillId="0" borderId="0" xfId="0" applyFont="1" applyAlignment="1" applyProtection="1">
      <alignment horizontal="center" vertical="center"/>
      <protection locked="0"/>
    </xf>
    <xf numFmtId="0" fontId="58" fillId="4" borderId="0" xfId="0" applyFont="1" applyFill="1" applyAlignment="1" applyProtection="1">
      <alignment horizontal="left" vertical="center"/>
      <protection locked="0"/>
    </xf>
    <xf numFmtId="0" fontId="61" fillId="0" borderId="0" xfId="0" applyFont="1" applyProtection="1">
      <alignment vertical="center"/>
      <protection locked="0"/>
    </xf>
    <xf numFmtId="0" fontId="58" fillId="4" borderId="0" xfId="0" applyFont="1" applyFill="1" applyProtection="1">
      <alignment vertical="center"/>
      <protection locked="0"/>
    </xf>
    <xf numFmtId="0" fontId="58" fillId="0" borderId="0" xfId="0" applyFo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8" borderId="2" xfId="0" applyFill="1" applyBorder="1" applyProtection="1">
      <alignment vertical="center"/>
      <protection locked="0"/>
    </xf>
    <xf numFmtId="14" fontId="0" fillId="8" borderId="2" xfId="0" applyNumberFormat="1" applyFill="1" applyBorder="1" applyProtection="1">
      <alignment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61" fillId="0" borderId="2" xfId="0" applyFont="1" applyBorder="1" applyAlignment="1" applyProtection="1">
      <alignment horizontal="center" vertical="center"/>
      <protection locked="0"/>
    </xf>
    <xf numFmtId="20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0" fillId="8" borderId="2" xfId="0" applyFill="1" applyBorder="1">
      <alignment vertical="center"/>
    </xf>
    <xf numFmtId="14" fontId="0" fillId="8" borderId="2" xfId="0" applyNumberFormat="1" applyFill="1" applyBorder="1">
      <alignment vertical="center"/>
    </xf>
    <xf numFmtId="190" fontId="0" fillId="8" borderId="2" xfId="0" applyNumberFormat="1" applyFill="1" applyBorder="1" applyAlignment="1">
      <alignment horizontal="center" vertical="center"/>
    </xf>
    <xf numFmtId="185" fontId="0" fillId="8" borderId="2" xfId="0" applyNumberFormat="1" applyFill="1" applyBorder="1">
      <alignment vertical="center"/>
    </xf>
    <xf numFmtId="0" fontId="0" fillId="8" borderId="2" xfId="0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19" fillId="0" borderId="0" xfId="0" applyFont="1">
      <alignment vertical="center"/>
    </xf>
    <xf numFmtId="0" fontId="61" fillId="8" borderId="2" xfId="0" applyFont="1" applyFill="1" applyBorder="1" applyAlignment="1">
      <alignment horizontal="center" vertical="center"/>
    </xf>
    <xf numFmtId="191" fontId="14" fillId="0" borderId="0" xfId="2" applyNumberFormat="1" applyFont="1"/>
    <xf numFmtId="191" fontId="18" fillId="0" borderId="0" xfId="2" applyNumberFormat="1" applyFont="1"/>
    <xf numFmtId="191" fontId="19" fillId="0" borderId="0" xfId="2" applyNumberFormat="1" applyFont="1"/>
    <xf numFmtId="191" fontId="0" fillId="0" borderId="2" xfId="0" applyNumberFormat="1" applyBorder="1" applyAlignment="1" applyProtection="1">
      <alignment horizontal="center" vertical="center"/>
      <protection locked="0"/>
    </xf>
    <xf numFmtId="192" fontId="0" fillId="0" borderId="0" xfId="0" applyNumberFormat="1">
      <alignment vertical="center"/>
    </xf>
    <xf numFmtId="2" fontId="62" fillId="0" borderId="0" xfId="4" applyNumberFormat="1" applyFont="1" applyAlignment="1">
      <alignment horizontal="left" vertical="center"/>
    </xf>
    <xf numFmtId="0" fontId="20" fillId="0" borderId="0" xfId="2" applyFont="1"/>
    <xf numFmtId="0" fontId="23" fillId="0" borderId="0" xfId="2" applyFont="1"/>
    <xf numFmtId="0" fontId="14" fillId="0" borderId="0" xfId="2" quotePrefix="1" applyFont="1"/>
    <xf numFmtId="9" fontId="0" fillId="0" borderId="0" xfId="14" applyFont="1">
      <alignment vertical="center"/>
    </xf>
    <xf numFmtId="192" fontId="0" fillId="0" borderId="0" xfId="14" applyNumberFormat="1" applyFont="1">
      <alignment vertical="center"/>
    </xf>
    <xf numFmtId="0" fontId="67" fillId="0" borderId="0" xfId="4" applyFont="1" applyAlignment="1">
      <alignment vertical="center" wrapText="1"/>
    </xf>
    <xf numFmtId="193" fontId="0" fillId="0" borderId="0" xfId="0" applyNumberFormat="1">
      <alignment vertical="center"/>
    </xf>
    <xf numFmtId="0" fontId="69" fillId="0" borderId="31" xfId="0" applyFont="1" applyBorder="1" applyAlignment="1">
      <alignment wrapText="1"/>
    </xf>
    <xf numFmtId="0" fontId="69" fillId="0" borderId="31" xfId="0" applyFont="1" applyBorder="1" applyAlignment="1">
      <alignment horizontal="center" wrapText="1"/>
    </xf>
    <xf numFmtId="0" fontId="26" fillId="0" borderId="0" xfId="3" applyFont="1" applyAlignment="1">
      <alignment horizontal="center" vertical="center" wrapText="1"/>
    </xf>
    <xf numFmtId="0" fontId="24" fillId="0" borderId="0" xfId="3" applyFont="1" applyAlignment="1">
      <alignment horizontal="center" vertical="center" wrapText="1"/>
    </xf>
    <xf numFmtId="0" fontId="66" fillId="0" borderId="0" xfId="3" applyFont="1" applyAlignment="1">
      <alignment horizontal="center" vertical="center" wrapText="1"/>
    </xf>
    <xf numFmtId="194" fontId="24" fillId="0" borderId="0" xfId="3" applyNumberFormat="1" applyFont="1" applyAlignment="1">
      <alignment horizontal="left" vertical="top"/>
    </xf>
    <xf numFmtId="194" fontId="69" fillId="0" borderId="31" xfId="0" applyNumberFormat="1" applyFont="1" applyBorder="1" applyAlignment="1">
      <alignment horizontal="center" wrapText="1"/>
    </xf>
    <xf numFmtId="194" fontId="27" fillId="0" borderId="0" xfId="3" applyNumberFormat="1" applyFont="1" applyAlignment="1">
      <alignment horizontal="center" vertical="center"/>
    </xf>
    <xf numFmtId="194" fontId="24" fillId="0" borderId="0" xfId="3" applyNumberFormat="1" applyFont="1" applyAlignment="1">
      <alignment vertical="center"/>
    </xf>
    <xf numFmtId="0" fontId="57" fillId="0" borderId="31" xfId="0" applyFont="1" applyBorder="1" applyAlignment="1">
      <alignment wrapText="1"/>
    </xf>
    <xf numFmtId="0" fontId="20" fillId="0" borderId="0" xfId="3" applyFont="1" applyAlignment="1">
      <alignment horizontal="center" vertical="top" wrapText="1"/>
    </xf>
    <xf numFmtId="17" fontId="0" fillId="0" borderId="2" xfId="0" applyNumberFormat="1" applyBorder="1">
      <alignment vertical="center"/>
    </xf>
    <xf numFmtId="0" fontId="0" fillId="0" borderId="2" xfId="0" applyBorder="1">
      <alignment vertical="center"/>
    </xf>
    <xf numFmtId="0" fontId="19" fillId="0" borderId="2" xfId="0" applyFont="1" applyBorder="1">
      <alignment vertical="center"/>
    </xf>
    <xf numFmtId="17" fontId="0" fillId="10" borderId="2" xfId="0" applyNumberFormat="1" applyFill="1" applyBorder="1">
      <alignment vertical="center"/>
    </xf>
    <xf numFmtId="0" fontId="0" fillId="10" borderId="2" xfId="0" applyFill="1" applyBorder="1">
      <alignment vertical="center"/>
    </xf>
    <xf numFmtId="0" fontId="72" fillId="9" borderId="2" xfId="0" applyFont="1" applyFill="1" applyBorder="1">
      <alignment vertical="center"/>
    </xf>
    <xf numFmtId="0" fontId="62" fillId="0" borderId="32" xfId="4" applyFont="1" applyBorder="1" applyAlignment="1">
      <alignment horizontal="left" vertical="center"/>
    </xf>
    <xf numFmtId="191" fontId="18" fillId="0" borderId="2" xfId="0" applyNumberFormat="1" applyFont="1" applyBorder="1" applyAlignment="1" applyProtection="1">
      <alignment horizontal="center" vertical="center"/>
      <protection locked="0"/>
    </xf>
    <xf numFmtId="20" fontId="18" fillId="0" borderId="2" xfId="0" applyNumberFormat="1" applyFont="1" applyBorder="1" applyAlignment="1" applyProtection="1">
      <alignment horizontal="center" vertical="center"/>
      <protection locked="0"/>
    </xf>
    <xf numFmtId="0" fontId="62" fillId="6" borderId="0" xfId="4" applyFont="1" applyFill="1" applyAlignment="1">
      <alignment horizontal="left" vertical="center"/>
    </xf>
    <xf numFmtId="0" fontId="31" fillId="6" borderId="0" xfId="6" applyFont="1" applyFill="1" applyBorder="1" applyAlignment="1">
      <alignment horizontal="center" vertical="center"/>
    </xf>
    <xf numFmtId="0" fontId="51" fillId="2" borderId="13" xfId="9" applyFont="1" applyFill="1" applyBorder="1" applyAlignment="1">
      <alignment horizontal="center" vertical="center"/>
    </xf>
    <xf numFmtId="187" fontId="51" fillId="6" borderId="28" xfId="12" applyNumberFormat="1" applyFont="1" applyFill="1" applyBorder="1" applyAlignment="1">
      <alignment horizontal="center" vertical="center"/>
    </xf>
    <xf numFmtId="187" fontId="26" fillId="3" borderId="0" xfId="9" applyNumberFormat="1" applyFont="1" applyFill="1" applyAlignment="1">
      <alignment horizontal="center" vertical="center"/>
    </xf>
    <xf numFmtId="8" fontId="26" fillId="3" borderId="0" xfId="9" applyNumberFormat="1" applyFont="1" applyFill="1" applyAlignment="1">
      <alignment horizontal="center" vertical="center"/>
    </xf>
    <xf numFmtId="0" fontId="26" fillId="3" borderId="0" xfId="9" applyFont="1" applyFill="1" applyAlignment="1">
      <alignment horizontal="right" vertical="center"/>
    </xf>
    <xf numFmtId="0" fontId="55" fillId="3" borderId="0" xfId="9" applyFont="1" applyFill="1" applyAlignment="1">
      <alignment horizontal="right" vertical="center"/>
    </xf>
    <xf numFmtId="0" fontId="22" fillId="3" borderId="0" xfId="4" applyFont="1" applyFill="1" applyAlignment="1">
      <alignment horizontal="center" vertical="center"/>
    </xf>
    <xf numFmtId="0" fontId="43" fillId="3" borderId="0" xfId="9" applyFont="1" applyFill="1" applyAlignment="1">
      <alignment horizontal="center" vertical="center"/>
    </xf>
    <xf numFmtId="0" fontId="44" fillId="3" borderId="0" xfId="9" applyFont="1" applyFill="1" applyAlignment="1">
      <alignment horizontal="center" vertical="center"/>
    </xf>
    <xf numFmtId="0" fontId="45" fillId="3" borderId="0" xfId="4" applyFont="1" applyFill="1" applyAlignment="1">
      <alignment horizontal="center" vertical="center"/>
    </xf>
    <xf numFmtId="0" fontId="46" fillId="3" borderId="0" xfId="4" applyFont="1" applyFill="1" applyAlignment="1">
      <alignment horizontal="center" vertical="center"/>
    </xf>
    <xf numFmtId="0" fontId="47" fillId="3" borderId="10" xfId="9" applyFont="1" applyFill="1" applyBorder="1" applyAlignment="1">
      <alignment horizontal="center" vertical="center"/>
    </xf>
    <xf numFmtId="0" fontId="48" fillId="3" borderId="0" xfId="9" applyFont="1" applyFill="1" applyAlignment="1">
      <alignment horizontal="center" vertical="center"/>
    </xf>
    <xf numFmtId="0" fontId="49" fillId="3" borderId="11" xfId="4" applyFont="1" applyFill="1" applyBorder="1" applyAlignment="1">
      <alignment horizontal="center" vertical="center"/>
    </xf>
    <xf numFmtId="0" fontId="51" fillId="2" borderId="12" xfId="9" applyFont="1" applyFill="1" applyBorder="1" applyAlignment="1">
      <alignment horizontal="left" vertical="center"/>
    </xf>
    <xf numFmtId="0" fontId="51" fillId="2" borderId="13" xfId="9" applyFont="1" applyFill="1" applyBorder="1" applyAlignment="1">
      <alignment horizontal="left" vertical="center"/>
    </xf>
    <xf numFmtId="187" fontId="26" fillId="3" borderId="29" xfId="9" applyNumberFormat="1" applyFont="1" applyFill="1" applyBorder="1" applyAlignment="1">
      <alignment horizontal="center" vertical="center"/>
    </xf>
  </cellXfs>
  <cellStyles count="15">
    <cellStyle name="20% - 强调文字颜色 1 6 3 2 3 2 2" xfId="6" xr:uid="{9DEEDEC2-B056-4891-95A8-367268EC38C2}"/>
    <cellStyle name="20% - 强调文字颜色 1 6 3 5 2" xfId="7" xr:uid="{31F8E220-1338-485C-8B02-70515CBC5377}"/>
    <cellStyle name="一般" xfId="0" builtinId="0"/>
    <cellStyle name="一般 11 3 2" xfId="10" xr:uid="{F19F67F6-D0FB-4040-AEC2-6B3EA97D0600}"/>
    <cellStyle name="一般 11 5" xfId="8" xr:uid="{20666CA0-235E-4B10-B48F-2B408113C63C}"/>
    <cellStyle name="一般 2" xfId="2" xr:uid="{0CC6C296-2CA6-4B2B-B472-2C53DA863A37}"/>
    <cellStyle name="一般 2 10 2" xfId="13" xr:uid="{38865CD9-9960-4E5D-A119-F92AA61F5D1D}"/>
    <cellStyle name="一般 2 2" xfId="9" xr:uid="{6FA48018-F462-4F24-BCDB-45645329EAAD}"/>
    <cellStyle name="一般 3" xfId="3" xr:uid="{95228AEC-774E-4B47-B2C6-8D705EAC3085}"/>
    <cellStyle name="一般 4" xfId="4" xr:uid="{139857E6-5960-410A-B180-1E6D290922CE}"/>
    <cellStyle name="千分位" xfId="1" builtinId="3"/>
    <cellStyle name="千分位 2" xfId="5" xr:uid="{854EC763-43C8-4B38-B75E-8C391CDBE18E}"/>
    <cellStyle name="百分比" xfId="14" builtinId="5"/>
    <cellStyle name="貨幣 2" xfId="12" xr:uid="{DB06F885-8625-4C59-AE22-56B9EDFF0B84}"/>
    <cellStyle name="貨幣 2 10 2 2 2" xfId="11" xr:uid="{E86E2730-B171-4393-BD73-8C7409DB8736}"/>
  </cellStyles>
  <dxfs count="1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Hei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94" formatCode="0;[Red]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94" formatCode="0;[Red]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scheme val="none"/>
      </font>
      <numFmt numFmtId="178" formatCode="d/m/yyyy;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191" formatCode="yyyy\-mm\-dd;@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numFmt numFmtId="192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4"/>
        <scheme val="none"/>
      </font>
    </dxf>
    <dxf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sz val="11"/>
        <color auto="1"/>
        <name val="Microsoft YaHei"/>
        <family val="1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1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F1A91D4E-198A-4F19-A7A9-C894489D2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A0EC90A8-32A8-4B15-837F-21E0D7067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89D7225B-D451-4305-A6E6-E7FF82720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764209D5-515D-4262-9CF8-03ADA0B24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7FA4FCED-50D4-4B79-A69F-11813D89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280C7BEB-FE4B-4D06-9A63-B178B7E62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6481CBA6-8728-49D4-81D2-074FCBD8A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4C2ED027-ACC8-4315-A58B-714C0EE9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0BAD5AFF-F8C5-4528-A7E0-C7EE6339C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02F261DB-1A37-48DC-84D0-7EFE06C4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835AB119-5D78-45E9-BB7D-3D85556D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A52839D6-E295-4F59-B90E-5D956FD80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09F5948A-D948-49C8-A0EA-93E958186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F872CB1-D40A-4527-AD2D-7268E538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22B7DC7C-BF44-40F0-B162-EA51F5B9A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F5CD362-0E37-4206-A27B-4821187F5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476823B0-ACFC-4444-AED2-D4520242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5B74D5C8-44C4-4945-BA2C-5F63C647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51FF4452-0086-433A-A3D3-F13415A11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DDA14955-5F77-409F-AD90-E93CF02C9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9B226D61-28CF-43F7-9844-4506C58C5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178FD6C-9809-4E28-A4BB-13B6A12C1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9BCBA2AA-277F-43A5-9FF9-F03418A4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5E9A8646-38A6-4A69-B096-2438697E4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CB67AAEB-72F9-4731-83AF-ECD34EF6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0C4CBDA-237D-41A8-BB08-E90305FC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BD325598-5D0A-45AB-893B-08195151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F03DC0EB-41B0-4324-A096-17762EBEA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C5A02D2-8A3E-4BC6-96EC-D79132C93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89059800-FB26-4A03-890C-FBD0B80D0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2DBABBC3-A234-46F9-9645-A2A4A73D8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EF4271E3-F140-4894-8A71-D5ECCB757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1CCA393A-5941-4070-86F0-869EFB18D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7BBB75B2-5D2F-4F90-A61B-3485D89E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40476D1E-9BA8-43B3-BCD0-8A3158ACF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37" name="Picture 5" descr="I%20Wall%20logo">
          <a:extLst>
            <a:ext uri="{FF2B5EF4-FFF2-40B4-BE49-F238E27FC236}">
              <a16:creationId xmlns:a16="http://schemas.microsoft.com/office/drawing/2014/main" id="{CD0AB60F-96F8-4CC5-91BF-188F31A50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8" name="Picture 5" descr="I%20Wall%20logo">
          <a:extLst>
            <a:ext uri="{FF2B5EF4-FFF2-40B4-BE49-F238E27FC236}">
              <a16:creationId xmlns:a16="http://schemas.microsoft.com/office/drawing/2014/main" id="{40D63685-1A4A-4079-A017-2A5DD35B0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9" name="Picture 5" descr="I%20Wall%20logo">
          <a:extLst>
            <a:ext uri="{FF2B5EF4-FFF2-40B4-BE49-F238E27FC236}">
              <a16:creationId xmlns:a16="http://schemas.microsoft.com/office/drawing/2014/main" id="{6CFBEB4D-50BD-4A70-A61A-CCEE129DF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0" name="Picture 5" descr="I%20Wall%20logo">
          <a:extLst>
            <a:ext uri="{FF2B5EF4-FFF2-40B4-BE49-F238E27FC236}">
              <a16:creationId xmlns:a16="http://schemas.microsoft.com/office/drawing/2014/main" id="{0E1C76B3-453A-419D-BF72-315548217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1" name="Picture 5" descr="I%20Wall%20logo">
          <a:extLst>
            <a:ext uri="{FF2B5EF4-FFF2-40B4-BE49-F238E27FC236}">
              <a16:creationId xmlns:a16="http://schemas.microsoft.com/office/drawing/2014/main" id="{F2F0BA99-A1A6-4CF8-85A5-9C5C3826F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2" name="Picture 5" descr="I%20Wall%20logo">
          <a:extLst>
            <a:ext uri="{FF2B5EF4-FFF2-40B4-BE49-F238E27FC236}">
              <a16:creationId xmlns:a16="http://schemas.microsoft.com/office/drawing/2014/main" id="{6A973ABA-1524-41A3-9F4A-9ED61B0A3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3" name="Picture 5" descr="I%20Wall%20logo">
          <a:extLst>
            <a:ext uri="{FF2B5EF4-FFF2-40B4-BE49-F238E27FC236}">
              <a16:creationId xmlns:a16="http://schemas.microsoft.com/office/drawing/2014/main" id="{1288AFB1-3AC6-4B20-A5B5-D1FF1390A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44" name="Picture 5" descr="I%20Wall%20logo">
          <a:extLst>
            <a:ext uri="{FF2B5EF4-FFF2-40B4-BE49-F238E27FC236}">
              <a16:creationId xmlns:a16="http://schemas.microsoft.com/office/drawing/2014/main" id="{6F9CB463-30AE-443D-B076-5FE13DF3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5" name="Picture 5" descr="I%20Wall%20logo">
          <a:extLst>
            <a:ext uri="{FF2B5EF4-FFF2-40B4-BE49-F238E27FC236}">
              <a16:creationId xmlns:a16="http://schemas.microsoft.com/office/drawing/2014/main" id="{98EEBB43-5FDA-4B3F-80AB-3C42610D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6" name="Picture 5" descr="I%20Wall%20logo">
          <a:extLst>
            <a:ext uri="{FF2B5EF4-FFF2-40B4-BE49-F238E27FC236}">
              <a16:creationId xmlns:a16="http://schemas.microsoft.com/office/drawing/2014/main" id="{7D5EE26B-7380-48A5-832D-3EACDE41B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7" name="Picture 5" descr="I%20Wall%20logo">
          <a:extLst>
            <a:ext uri="{FF2B5EF4-FFF2-40B4-BE49-F238E27FC236}">
              <a16:creationId xmlns:a16="http://schemas.microsoft.com/office/drawing/2014/main" id="{8745F795-7BAA-41AF-9DC1-03E450D8C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8" name="Picture 5" descr="I%20Wall%20logo">
          <a:extLst>
            <a:ext uri="{FF2B5EF4-FFF2-40B4-BE49-F238E27FC236}">
              <a16:creationId xmlns:a16="http://schemas.microsoft.com/office/drawing/2014/main" id="{3DE88613-8802-4C38-82C0-9473D6DD7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49" name="Picture 5" descr="I%20Wall%20logo">
          <a:extLst>
            <a:ext uri="{FF2B5EF4-FFF2-40B4-BE49-F238E27FC236}">
              <a16:creationId xmlns:a16="http://schemas.microsoft.com/office/drawing/2014/main" id="{85C21F0E-C02D-48DF-B804-1392BE986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50" name="Picture 5" descr="I%20Wall%20logo">
          <a:extLst>
            <a:ext uri="{FF2B5EF4-FFF2-40B4-BE49-F238E27FC236}">
              <a16:creationId xmlns:a16="http://schemas.microsoft.com/office/drawing/2014/main" id="{74DDD80D-878E-4240-AD19-0626F43AB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51" name="Picture 5" descr="I%20Wall%20logo">
          <a:extLst>
            <a:ext uri="{FF2B5EF4-FFF2-40B4-BE49-F238E27FC236}">
              <a16:creationId xmlns:a16="http://schemas.microsoft.com/office/drawing/2014/main" id="{EA7B7F1B-1E34-4080-AB52-48ECB49D5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2" name="Picture 5" descr="I%20Wall%20logo">
          <a:extLst>
            <a:ext uri="{FF2B5EF4-FFF2-40B4-BE49-F238E27FC236}">
              <a16:creationId xmlns:a16="http://schemas.microsoft.com/office/drawing/2014/main" id="{A3A682F5-9FEB-4228-9F28-BEC2DC19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3" name="Picture 5" descr="I%20Wall%20logo">
          <a:extLst>
            <a:ext uri="{FF2B5EF4-FFF2-40B4-BE49-F238E27FC236}">
              <a16:creationId xmlns:a16="http://schemas.microsoft.com/office/drawing/2014/main" id="{659D6342-7EF1-40A0-8880-AF6A906C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54" name="Picture 5" descr="I%20Wall%20logo">
          <a:extLst>
            <a:ext uri="{FF2B5EF4-FFF2-40B4-BE49-F238E27FC236}">
              <a16:creationId xmlns:a16="http://schemas.microsoft.com/office/drawing/2014/main" id="{12A06122-4A78-4D5E-942A-F60E6A5F4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55" name="Picture 5" descr="I%20Wall%20logo">
          <a:extLst>
            <a:ext uri="{FF2B5EF4-FFF2-40B4-BE49-F238E27FC236}">
              <a16:creationId xmlns:a16="http://schemas.microsoft.com/office/drawing/2014/main" id="{53406388-1AE5-4306-A3BB-7D31689E0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56" name="Picture 5" descr="I%20Wall%20logo">
          <a:extLst>
            <a:ext uri="{FF2B5EF4-FFF2-40B4-BE49-F238E27FC236}">
              <a16:creationId xmlns:a16="http://schemas.microsoft.com/office/drawing/2014/main" id="{55FD3DA8-9D42-4872-9378-4E1488230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57" name="Picture 5" descr="I%20Wall%20logo">
          <a:extLst>
            <a:ext uri="{FF2B5EF4-FFF2-40B4-BE49-F238E27FC236}">
              <a16:creationId xmlns:a16="http://schemas.microsoft.com/office/drawing/2014/main" id="{4DA0255D-6962-47D4-BA7A-C22404558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58" name="Picture 5" descr="I%20Wall%20logo">
          <a:extLst>
            <a:ext uri="{FF2B5EF4-FFF2-40B4-BE49-F238E27FC236}">
              <a16:creationId xmlns:a16="http://schemas.microsoft.com/office/drawing/2014/main" id="{5BA49098-8DDA-448E-9471-A27B2035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59" name="Picture 5" descr="I%20Wall%20logo">
          <a:extLst>
            <a:ext uri="{FF2B5EF4-FFF2-40B4-BE49-F238E27FC236}">
              <a16:creationId xmlns:a16="http://schemas.microsoft.com/office/drawing/2014/main" id="{A48A60A7-27DE-49DA-95DB-FB7294AE6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60" name="Picture 5" descr="I%20Wall%20logo">
          <a:extLst>
            <a:ext uri="{FF2B5EF4-FFF2-40B4-BE49-F238E27FC236}">
              <a16:creationId xmlns:a16="http://schemas.microsoft.com/office/drawing/2014/main" id="{129086FE-11D9-498D-AAF0-5D82E8346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61" name="Picture 5" descr="I%20Wall%20logo">
          <a:extLst>
            <a:ext uri="{FF2B5EF4-FFF2-40B4-BE49-F238E27FC236}">
              <a16:creationId xmlns:a16="http://schemas.microsoft.com/office/drawing/2014/main" id="{74D9D6F8-2939-44E2-B892-FDA2296B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62" name="Picture 5" descr="I%20Wall%20logo">
          <a:extLst>
            <a:ext uri="{FF2B5EF4-FFF2-40B4-BE49-F238E27FC236}">
              <a16:creationId xmlns:a16="http://schemas.microsoft.com/office/drawing/2014/main" id="{CADDDFDC-A5FA-4587-B6B3-8967C491A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63" name="Picture 5" descr="I%20Wall%20logo">
          <a:extLst>
            <a:ext uri="{FF2B5EF4-FFF2-40B4-BE49-F238E27FC236}">
              <a16:creationId xmlns:a16="http://schemas.microsoft.com/office/drawing/2014/main" id="{4CE677C1-6EAA-49A1-841B-46A8C46A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64" name="Picture 5" descr="I%20Wall%20logo">
          <a:extLst>
            <a:ext uri="{FF2B5EF4-FFF2-40B4-BE49-F238E27FC236}">
              <a16:creationId xmlns:a16="http://schemas.microsoft.com/office/drawing/2014/main" id="{BEA839D3-409D-461A-89FF-69C0D4F5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5" name="Picture 5" descr="I%20Wall%20logo">
          <a:extLst>
            <a:ext uri="{FF2B5EF4-FFF2-40B4-BE49-F238E27FC236}">
              <a16:creationId xmlns:a16="http://schemas.microsoft.com/office/drawing/2014/main" id="{E4D2EA58-7BED-47D6-8438-42C3E46E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66" name="Picture 5" descr="I%20Wall%20logo">
          <a:extLst>
            <a:ext uri="{FF2B5EF4-FFF2-40B4-BE49-F238E27FC236}">
              <a16:creationId xmlns:a16="http://schemas.microsoft.com/office/drawing/2014/main" id="{90CA204A-880C-4F9B-A79E-ECBDE2125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67" name="Picture 5" descr="I%20Wall%20logo">
          <a:extLst>
            <a:ext uri="{FF2B5EF4-FFF2-40B4-BE49-F238E27FC236}">
              <a16:creationId xmlns:a16="http://schemas.microsoft.com/office/drawing/2014/main" id="{5C35067B-6BED-4E2B-A37F-CF5FC01A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68" name="Picture 5" descr="I%20Wall%20logo">
          <a:extLst>
            <a:ext uri="{FF2B5EF4-FFF2-40B4-BE49-F238E27FC236}">
              <a16:creationId xmlns:a16="http://schemas.microsoft.com/office/drawing/2014/main" id="{0EFC0AA6-2A99-4A8B-8274-93778D9F1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69" name="Picture 5" descr="I%20Wall%20logo">
          <a:extLst>
            <a:ext uri="{FF2B5EF4-FFF2-40B4-BE49-F238E27FC236}">
              <a16:creationId xmlns:a16="http://schemas.microsoft.com/office/drawing/2014/main" id="{FF063094-D9BD-43F2-B0E3-CC3F9D30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70" name="Picture 5" descr="I%20Wall%20logo">
          <a:extLst>
            <a:ext uri="{FF2B5EF4-FFF2-40B4-BE49-F238E27FC236}">
              <a16:creationId xmlns:a16="http://schemas.microsoft.com/office/drawing/2014/main" id="{5476A29F-2532-40AA-B8E3-607DF5BA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1" name="Picture 5" descr="I%20Wall%20logo">
          <a:extLst>
            <a:ext uri="{FF2B5EF4-FFF2-40B4-BE49-F238E27FC236}">
              <a16:creationId xmlns:a16="http://schemas.microsoft.com/office/drawing/2014/main" id="{9AD56352-5F07-4E42-8BD2-D36CBCAB5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2" name="Picture 5" descr="I%20Wall%20logo">
          <a:extLst>
            <a:ext uri="{FF2B5EF4-FFF2-40B4-BE49-F238E27FC236}">
              <a16:creationId xmlns:a16="http://schemas.microsoft.com/office/drawing/2014/main" id="{63C7373A-E210-4E5A-9611-76A05F01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3" name="Picture 5" descr="I%20Wall%20logo">
          <a:extLst>
            <a:ext uri="{FF2B5EF4-FFF2-40B4-BE49-F238E27FC236}">
              <a16:creationId xmlns:a16="http://schemas.microsoft.com/office/drawing/2014/main" id="{2F0DEF79-0E48-4678-BE70-DC6378408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4" name="Picture 5" descr="I%20Wall%20logo">
          <a:extLst>
            <a:ext uri="{FF2B5EF4-FFF2-40B4-BE49-F238E27FC236}">
              <a16:creationId xmlns:a16="http://schemas.microsoft.com/office/drawing/2014/main" id="{95524CFA-E93E-43EF-8338-C7913423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75" name="Picture 5" descr="I%20Wall%20logo">
          <a:extLst>
            <a:ext uri="{FF2B5EF4-FFF2-40B4-BE49-F238E27FC236}">
              <a16:creationId xmlns:a16="http://schemas.microsoft.com/office/drawing/2014/main" id="{90F3FC6B-A8BA-4A94-97F5-50804E40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6" name="Picture 5" descr="I%20Wall%20logo">
          <a:extLst>
            <a:ext uri="{FF2B5EF4-FFF2-40B4-BE49-F238E27FC236}">
              <a16:creationId xmlns:a16="http://schemas.microsoft.com/office/drawing/2014/main" id="{E94A8E87-2FF7-47F4-B29B-A459FBB6B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7" name="Picture 5" descr="I%20Wall%20logo">
          <a:extLst>
            <a:ext uri="{FF2B5EF4-FFF2-40B4-BE49-F238E27FC236}">
              <a16:creationId xmlns:a16="http://schemas.microsoft.com/office/drawing/2014/main" id="{B1D65EDA-2B9B-4481-B598-923D8DF3B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8" name="Picture 5" descr="I%20Wall%20logo">
          <a:extLst>
            <a:ext uri="{FF2B5EF4-FFF2-40B4-BE49-F238E27FC236}">
              <a16:creationId xmlns:a16="http://schemas.microsoft.com/office/drawing/2014/main" id="{483BB28E-51CA-4032-B48A-F21B59A0A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9" name="Picture 5" descr="I%20Wall%20logo">
          <a:extLst>
            <a:ext uri="{FF2B5EF4-FFF2-40B4-BE49-F238E27FC236}">
              <a16:creationId xmlns:a16="http://schemas.microsoft.com/office/drawing/2014/main" id="{65A2E23E-B21E-4784-BA70-E7CD3F7B7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80" name="Picture 5" descr="I%20Wall%20logo">
          <a:extLst>
            <a:ext uri="{FF2B5EF4-FFF2-40B4-BE49-F238E27FC236}">
              <a16:creationId xmlns:a16="http://schemas.microsoft.com/office/drawing/2014/main" id="{941DC735-4BC5-4026-85D6-24DDED99F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81" name="Picture 5" descr="I%20Wall%20logo">
          <a:extLst>
            <a:ext uri="{FF2B5EF4-FFF2-40B4-BE49-F238E27FC236}">
              <a16:creationId xmlns:a16="http://schemas.microsoft.com/office/drawing/2014/main" id="{2883CBC1-0793-45DF-914B-4A8AC1C55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2D878184-16ED-4260-8637-2B54CB6F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E13F412D-8001-466A-94AC-502492837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D8287B9C-5A19-4A2C-9C8F-7159515C6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811968AC-1435-49D9-A93F-46127D09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D19CFB56-30A9-4A69-8DE6-273F672D3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49A936A8-BD03-4059-8A6E-860340EF0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02E4ADC7-2BC9-460B-8345-D96AB3F3E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F64F03DF-D27C-43C0-BC5F-9CF9AD89C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7CEC3CC5-C82F-42D3-A7F4-B9CA2803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ADC91AFC-559E-4E7D-A55F-A0D1D9E5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6421A1B3-231C-49F4-97E9-2EFD687A2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BD5ACCEC-53EB-46ED-90BE-E3832E432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31DBFC26-3DA8-45EC-8394-6FD75E5F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9C8E6B9-B0D3-4F96-B6F6-6BB3CD30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10217FFC-9AAF-4A7D-BC09-CDE98DEBB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0DDCDF8-CB58-4D43-9282-E44EB0578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DBDAB83B-C0EB-4B2A-9770-7916F8EE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D10F6601-C4A1-4742-945F-936E4E73C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119AEA0C-33A3-445E-9136-51CE742FF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AB2AF44C-9BA9-4D2D-BF23-E8B306FFB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4EB279EC-36DF-412F-95B1-182B7D204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45877FF-13D7-43B6-B0F2-BCE48F01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ED7F405B-56C8-4DDF-90F4-3D0E589D5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94BA98BC-563F-49CF-A51F-31B5743ED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609C82AE-655B-44BD-B334-01D6993A9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3BA6957-5B58-40F0-9FB9-51FB4D197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8FF6A0D5-6D2C-4016-958B-5D30BD25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CA421F88-97B6-4074-9BAC-2BE980A9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84E9A5B-8B10-4AB4-BC66-D0ABD451F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44ABE7D9-4CB2-4A3A-ADDC-650F699D8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D7D4804D-B763-4441-A9BB-B98EEAC96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6835CFFE-4696-4E9A-A7CA-1B3BEF91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720B644D-B001-4469-BD98-F3266C6B3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10F7DD6D-0778-4875-88BD-ADEC56B35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3FBEB625-47E0-4F75-AEE1-92355E9F3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0</xdr:rowOff>
    </xdr:from>
    <xdr:to>
      <xdr:col>19</xdr:col>
      <xdr:colOff>304800</xdr:colOff>
      <xdr:row>2</xdr:row>
      <xdr:rowOff>93297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5E2A33B-11E0-470C-8542-85C2395AF10D}"/>
            </a:ext>
          </a:extLst>
        </xdr:cNvPr>
        <xdr:cNvSpPr>
          <a:spLocks noChangeAspect="1" noChangeArrowheads="1"/>
        </xdr:cNvSpPr>
      </xdr:nvSpPr>
      <xdr:spPr bwMode="auto">
        <a:xfrm>
          <a:off x="14973300" y="196850"/>
          <a:ext cx="304800" cy="2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59871</xdr:colOff>
      <xdr:row>994</xdr:row>
      <xdr:rowOff>0</xdr:rowOff>
    </xdr:from>
    <xdr:to>
      <xdr:col>25</xdr:col>
      <xdr:colOff>397937</xdr:colOff>
      <xdr:row>1002</xdr:row>
      <xdr:rowOff>28972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5AB00BF-0A38-41C1-AD6F-771333B23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33171" y="296864315"/>
          <a:ext cx="3928503" cy="1572023"/>
        </a:xfrm>
        <a:prstGeom prst="rect">
          <a:avLst/>
        </a:prstGeom>
      </xdr:spPr>
    </xdr:pic>
    <xdr:clientData/>
  </xdr:twoCellAnchor>
  <xdr:oneCellAnchor>
    <xdr:from>
      <xdr:col>18</xdr:col>
      <xdr:colOff>102577</xdr:colOff>
      <xdr:row>37</xdr:row>
      <xdr:rowOff>185616</xdr:rowOff>
    </xdr:from>
    <xdr:ext cx="304800" cy="296985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8016D8DF-D320-4168-A05F-275353E9EB88}"/>
            </a:ext>
          </a:extLst>
        </xdr:cNvPr>
        <xdr:cNvSpPr>
          <a:spLocks noChangeAspect="1" noChangeArrowheads="1"/>
        </xdr:cNvSpPr>
      </xdr:nvSpPr>
      <xdr:spPr bwMode="auto">
        <a:xfrm>
          <a:off x="14868769" y="7927731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</xdr:row>
      <xdr:rowOff>0</xdr:rowOff>
    </xdr:from>
    <xdr:ext cx="304800" cy="296985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8F20B05-90B1-46E2-8554-5FE6B5F22DD6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</xdr:row>
      <xdr:rowOff>0</xdr:rowOff>
    </xdr:from>
    <xdr:ext cx="304800" cy="296985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4A3A176-3E37-419E-A0B6-6D3FAB24413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9</xdr:row>
      <xdr:rowOff>0</xdr:rowOff>
    </xdr:from>
    <xdr:ext cx="304800" cy="296985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54FA0AB-5E42-45C3-907E-06C2B33F6F7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11</xdr:row>
      <xdr:rowOff>0</xdr:rowOff>
    </xdr:from>
    <xdr:ext cx="304800" cy="296985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D264AE97-5174-4E5A-AE7B-019339F32E3B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13</xdr:row>
      <xdr:rowOff>0</xdr:rowOff>
    </xdr:from>
    <xdr:ext cx="304800" cy="296985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7D352230-E663-48E1-ABB2-1183B6DA8FA7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15</xdr:row>
      <xdr:rowOff>0</xdr:rowOff>
    </xdr:from>
    <xdr:ext cx="304800" cy="296985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C490513-D7CD-41F0-9006-98C354F8A190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304800" cy="296985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CF59695-BB60-4C14-81B3-AF44CA49276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19</xdr:row>
      <xdr:rowOff>0</xdr:rowOff>
    </xdr:from>
    <xdr:ext cx="304800" cy="296985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3C8A437-1E40-4A00-9FDF-11D803B700F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21</xdr:row>
      <xdr:rowOff>0</xdr:rowOff>
    </xdr:from>
    <xdr:ext cx="304800" cy="296985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00147DB-7D56-403C-B1DD-9567D8BB830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23</xdr:row>
      <xdr:rowOff>0</xdr:rowOff>
    </xdr:from>
    <xdr:ext cx="304800" cy="296985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BA7904FD-4229-4812-9500-F3BB2CAAC9E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25</xdr:row>
      <xdr:rowOff>0</xdr:rowOff>
    </xdr:from>
    <xdr:ext cx="304800" cy="296985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69CA77F0-612A-4575-AEBF-22EE0619368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27</xdr:row>
      <xdr:rowOff>0</xdr:rowOff>
    </xdr:from>
    <xdr:ext cx="304800" cy="296985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F09F7E9-FC72-4C62-AA38-6B245D65A6E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304800" cy="296985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70BDBDB-9AA3-4163-9D28-0C778A77953F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S-NAS01\Public\New%20Public\Promotion%20Team\Century%20Field(Philips%20WA)\202603%20Century%20Field%20Payroll%20(Philips%20WA).xlsx" TargetMode="External"/><Relationship Id="rId1" Type="http://schemas.openxmlformats.org/officeDocument/2006/relationships/externalLinkPath" Target="202603%20Century%20Field%20Payroll%20(Philips%20W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-10"/>
      <sheetName val="11-20"/>
      <sheetName val="Roster"/>
      <sheetName val="Total"/>
      <sheetName val="工作表1"/>
      <sheetName val="Name List"/>
      <sheetName val="editable-sales-form"/>
      <sheetName val="店鋪"/>
      <sheetName val="Ref-List"/>
      <sheetName val="202601~Now"/>
      <sheetName val="202603 Century Field Payroll (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A" refreshedDate="45968.647863194441" createdVersion="8" refreshedVersion="8" minRefreshableVersion="3" recordCount="182" xr:uid="{5421BE1D-8080-4F50-B901-78E36725BA0B}">
  <cacheSource type="worksheet">
    <worksheetSource name="表格3_5"/>
  </cacheSource>
  <cacheFields count="20">
    <cacheField name="No" numFmtId="0">
      <sharedItems containsSemiMixedTypes="0" containsString="0" containsNumber="1" containsInteger="1" minValue="1" maxValue="182"/>
    </cacheField>
    <cacheField name="Test" numFmtId="0">
      <sharedItems/>
    </cacheField>
    <cacheField name="ID1" numFmtId="14">
      <sharedItems containsNonDate="0" containsString="0" containsBlank="1"/>
    </cacheField>
    <cacheField name="ID2" numFmtId="0">
      <sharedItems containsNonDate="0" containsString="0" containsBlank="1"/>
    </cacheField>
    <cacheField name="ID3" numFmtId="0">
      <sharedItems/>
    </cacheField>
    <cacheField name="Date" numFmtId="191">
      <sharedItems containsNonDate="0" containsDate="1" containsString="0" containsBlank="1" minDate="2025-10-01T00:00:00" maxDate="2025-11-01T00:00:00"/>
    </cacheField>
    <cacheField name="Nick Name" numFmtId="0">
      <sharedItems containsMixedTypes="1" containsNumber="1" containsInteger="1" minValue="0" maxValue="0" count="11">
        <s v="Carol"/>
        <s v="Irene"/>
        <s v="Joe"/>
        <s v="Mei Kiu"/>
        <s v="Ling"/>
        <s v="Wah"/>
        <s v="Pinky"/>
        <s v=" Wu Sir"/>
        <s v="Yu"/>
        <e v="#N/A"/>
        <n v="0" u="1"/>
      </sharedItems>
    </cacheField>
    <cacheField name="Location" numFmtId="0">
      <sharedItems containsBlank="1" count="16">
        <s v="Suning TKO Roadshow"/>
        <s v="SW Wing On"/>
        <s v="Tai Po Yata"/>
        <s v="Tuen Wan Yata "/>
        <s v="Tuen Wan Aeon"/>
        <s v="Yuen Long Citistore"/>
        <s v="Kowloon Bay Fortress"/>
        <s v="Kwai Fong Fortress"/>
        <s v="CWB Sogo"/>
        <m/>
        <s v="F487" u="1"/>
        <s v="SW Wing On_1" u="1"/>
        <s v="F487_1" u="1"/>
        <s v="SW Wing On_2" u="1"/>
        <s v="F487_2" u="1"/>
        <s v="F487_3" u="1"/>
      </sharedItems>
    </cacheField>
    <cacheField name="Name" numFmtId="0">
      <sharedItems containsBlank="1" count="13">
        <s v="Yuen Maria Wing Yan"/>
        <s v="Chan Yun Hing"/>
        <s v="Wong Sui Ping"/>
        <s v="Leung Mei Kiu"/>
        <s v="Lok Yin Ling"/>
        <s v="Lo Chun Wah"/>
        <s v="Chueng Yin Ping"/>
        <s v="Woo Kin Ming"/>
        <s v="Chan Fung Yu"/>
        <m/>
        <s v="Chan Chan Chan" u="1"/>
        <s v="Ho ho ho" u="1"/>
        <s v="Man Man Man" u="1"/>
      </sharedItems>
    </cacheField>
    <cacheField name="In-Time" numFmtId="20">
      <sharedItems containsNonDate="0" containsDate="1" containsString="0" containsBlank="1" minDate="1899-12-30T09:00:00" maxDate="1899-12-30T12:00:00"/>
    </cacheField>
    <cacheField name="Out-Time" numFmtId="20">
      <sharedItems containsNonDate="0" containsDate="1" containsString="0" containsBlank="1" minDate="1899-12-30T19:00:00" maxDate="1899-12-30T21:00:00"/>
    </cacheField>
    <cacheField name=" Hours" numFmtId="190">
      <sharedItems containsSemiMixedTypes="0" containsString="0" containsNumber="1" minValue="0" maxValue="12"/>
    </cacheField>
    <cacheField name="OT Hours" numFmtId="185">
      <sharedItems containsSemiMixedTypes="0" containsString="0" containsNumber="1" minValue="0" maxValue="0.23333333333334139"/>
    </cacheField>
    <cacheField name="In-Time2" numFmtId="20">
      <sharedItems containsNonDate="0" containsDate="1" containsString="0" containsBlank="1" minDate="1899-12-30T09:00:00" maxDate="1899-12-30T12:00:00"/>
    </cacheField>
    <cacheField name="Out-Time2" numFmtId="20">
      <sharedItems containsNonDate="0" containsDate="1" containsString="0" containsBlank="1" minDate="1899-12-30T19:00:00" maxDate="1899-12-30T21:00:00"/>
    </cacheField>
    <cacheField name="Normal working_x000a_ hours" numFmtId="0">
      <sharedItems containsSemiMixedTypes="0" containsString="0" containsNumber="1" minValue="0" maxValue="12"/>
    </cacheField>
    <cacheField name="Hours Worked" numFmtId="0">
      <sharedItems containsString="0" containsBlank="1" containsNumber="1" minValue="7.9999999999999902" maxValue="12"/>
    </cacheField>
    <cacheField name="Hourly Rate" numFmtId="0">
      <sharedItems containsMixedTypes="1" containsNumber="1" containsInteger="1" minValue="55" maxValue="65"/>
    </cacheField>
    <cacheField name="Total Pay" numFmtId="0">
      <sharedItems containsMixedTypes="1" containsNumber="1" minValue="440" maxValue="720"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ew Alice" refreshedDate="46128.521353124997" backgroundQuery="1" createdVersion="8" refreshedVersion="8" minRefreshableVersion="3" recordCount="0" supportSubquery="1" supportAdvancedDrill="1" xr:uid="{B30E49A4-26C3-4BD2-AB54-6E19A7DA806D}">
  <cacheSource type="external" connectionId="1"/>
  <cacheFields count="5">
    <cacheField name="[表格468  3   Total].[Full Name].[Full Name]" caption="Full Name" numFmtId="0" hierarchy="4" level="1">
      <sharedItems count="14">
        <s v="Chan Chi Tim"/>
        <s v="Chan Fung Yu"/>
        <s v="Chan Yun Hing"/>
        <s v="Choi Pui Ha"/>
        <s v="Chu Pik Fung"/>
        <s v="Leung Mei Kiu"/>
        <s v="Lo Chun Wah"/>
        <s v="Lok Yin Ling"/>
        <s v="Ng Tsui Ching"/>
        <s v="Sin Wai Chun"/>
        <s v="Wong Sui Ping"/>
        <s v="Woo Kin Ming"/>
        <s v="Yim Wan Chau"/>
        <s v="Yuen Maria Wing Yan"/>
      </sharedItems>
    </cacheField>
    <cacheField name="[表格468  3   Total].[Period].[Period]" caption="Period" numFmtId="0" hierarchy="6" level="1">
      <sharedItems count="29">
        <s v="7,8/March"/>
        <s v="1,2,3,4,9,10,11,16,17,18/Jan"/>
        <s v="1,2,3,8,9,10,11,12,17,23,24,30,31/Jan"/>
        <s v="3,4,5,6,7,10,11,12,13,14,23,24,25,26,27,28/Feb"/>
        <s v="6,7,11,13,14,18,19,20,21,25,26,27,28/March"/>
        <s v="28/Mar"/>
        <s v="1,7,8,14,15,21,22/March"/>
        <s v="1,8,14,15,21,22,28,6/Feb"/>
        <s v="1,14,15,21,22/March"/>
        <s v="11,24,25,31/Jan"/>
        <s v="7,8,14,15,22,28/Feb"/>
        <s v="1,2,3,4,8,9,10,11,15,16,17,18,22,23,24,25,29,30,31/Jan"/>
        <s v="1,5,6,7,8,12,13,14,15,16,21,22,26,27,28/Feb"/>
        <s v="1,5,6,7,8,12,13,14,15,19,20,21,22,26,27,28,29/March"/>
        <s v="1,5,6,7,8,12,13,14,15,19,20,21,22,28,29,30/March"/>
        <s v="1,5,6,7,8,12,13,14,15,20,21,22,26,27,28/Feb"/>
        <s v="2,3,4,9,10,11,16,17,18,22,23,24,25,29,30,31/Jan"/>
        <s v="28,29/March"/>
        <s v="10,16,17,18,24,25,30/Jan"/>
        <s v="2,3/Jan"/>
        <s v="26,27,28,29,30,31/March"/>
        <s v="1,6,7,8,14,15,20,21,22,28/Feb"/>
        <s v="1,8,10,11,12,13,14,15,16,17,18,19,20,21,22,23,28,29/March"/>
        <s v="2,3,4,9,10,11,16,17,18,25,31/Jan"/>
        <s v="6,7/March"/>
        <s v="1,6,7,8,14,21,22,28/Feb"/>
        <s v="1,7,8,14,15,21,22,28,29/March"/>
        <s v="2,3,4,9,10,11,16,17,18,24,25,31/Jan"/>
        <s v="6/Feb"/>
      </sharedItems>
    </cacheField>
    <cacheField name="[Measures].[以下資料的總和: Days]" caption="以下資料的總和: Days" numFmtId="0" hierarchy="26" level="32767"/>
    <cacheField name="[Measures].[以下資料的總和: $]" caption="以下資料的總和: $" numFmtId="0" hierarchy="27" level="32767"/>
    <cacheField name="[表格468  3   Total].[Shop].[Shop]" caption="Shop" numFmtId="0" hierarchy="2" level="1">
      <sharedItems count="14">
        <s v="TW Yata"/>
        <s v="Tai Koo Shing Fortress"/>
        <s v="SW Wing On"/>
        <s v="TW Aeon"/>
        <s v="Tuen Wan Aeon"/>
        <s v="Tuen Wan Yata"/>
        <s v="Kowloon Bay Fortress"/>
        <s v="YL Citistore"/>
        <s v="Yuen Long Citistore"/>
        <s v="Citistore TW"/>
        <s v="Tai Po Yata"/>
        <s v="CWB Sogo"/>
        <s v="Kwai Fong Fortress"/>
        <s v="開會"/>
      </sharedItems>
    </cacheField>
  </cacheFields>
  <cacheHierarchies count="28">
    <cacheHierarchy uniqueName="[表格468  3   Total].[3]" caption="3" attribute="1" defaultMemberUniqueName="[表格468  3   Total].[3].[All]" allUniqueName="[表格468  3   Total].[3].[All]" dimensionUniqueName="[表格468  3   Total]" displayFolder="" count="0" memberValueDatatype="20" unbalanced="0"/>
    <cacheHierarchy uniqueName="[表格468  3   Total].[欄1]" caption="欄1" attribute="1" defaultMemberUniqueName="[表格468  3   Total].[欄1].[All]" allUniqueName="[表格468  3   Total].[欄1].[All]" dimensionUniqueName="[表格468  3   Total]" displayFolder="" count="0" memberValueDatatype="20" unbalanced="0"/>
    <cacheHierarchy uniqueName="[表格468  3   Total].[Shop]" caption="Shop" attribute="1" defaultMemberUniqueName="[表格468  3   Total].[Shop].[All]" allUniqueName="[表格468  3   Total].[Shop].[All]" dimensionUniqueName="[表格468  3   Total]" displayFolder="" count="2" memberValueDatatype="130" unbalanced="0">
      <fieldsUsage count="2">
        <fieldUsage x="-1"/>
        <fieldUsage x="4"/>
      </fieldsUsage>
    </cacheHierarchy>
    <cacheHierarchy uniqueName="[表格468  3   Total].[Name]" caption="Name" attribute="1" defaultMemberUniqueName="[表格468  3   Total].[Name].[All]" allUniqueName="[表格468  3   Total].[Name].[All]" dimensionUniqueName="[表格468  3   Total]" displayFolder="" count="0" memberValueDatatype="130" unbalanced="0"/>
    <cacheHierarchy uniqueName="[表格468  3   Total].[Full Name]" caption="Full Name" attribute="1" defaultMemberUniqueName="[表格468  3   Total].[Full Name].[All]" allUniqueName="[表格468  3   Total].[Full Name].[All]" dimensionUniqueName="[表格468  3   Total]" displayFolder="" count="2" memberValueDatatype="130" unbalanced="0">
      <fieldsUsage count="2">
        <fieldUsage x="-1"/>
        <fieldUsage x="0"/>
      </fieldsUsage>
    </cacheHierarchy>
    <cacheHierarchy uniqueName="[表格468  3   Total].[CQ No.]" caption="CQ No." attribute="1" defaultMemberUniqueName="[表格468  3   Total].[CQ No.].[All]" allUniqueName="[表格468  3   Total].[CQ No.].[All]" dimensionUniqueName="[表格468  3   Total]" displayFolder="" count="0" memberValueDatatype="130" unbalanced="0"/>
    <cacheHierarchy uniqueName="[表格468  3   Total].[Period]" caption="Period" attribute="1" defaultMemberUniqueName="[表格468  3   Total].[Period].[All]" allUniqueName="[表格468  3   Total].[Period].[All]" dimensionUniqueName="[表格468  3   Total]" displayFolder="" count="2" memberValueDatatype="130" unbalanced="0">
      <fieldsUsage count="2">
        <fieldUsage x="-1"/>
        <fieldUsage x="1"/>
      </fieldsUsage>
    </cacheHierarchy>
    <cacheHierarchy uniqueName="[表格468  3   Total].[Days]" caption="Days" attribute="1" defaultMemberUniqueName="[表格468  3   Total].[Days].[All]" allUniqueName="[表格468  3   Total].[Days].[All]" dimensionUniqueName="[表格468  3   Total]" displayFolder="" count="0" memberValueDatatype="20" unbalanced="0"/>
    <cacheHierarchy uniqueName="[表格468  3   Total].[Reg.Hrs]" caption="Reg.Hrs" attribute="1" defaultMemberUniqueName="[表格468  3   Total].[Reg.Hrs].[All]" allUniqueName="[表格468  3   Total].[Reg.Hrs].[All]" dimensionUniqueName="[表格468  3   Total]" displayFolder="" count="0" memberValueDatatype="5" unbalanced="0"/>
    <cacheHierarchy uniqueName="[表格468  3   Total].[$]" caption="$" attribute="1" defaultMemberUniqueName="[表格468  3   Total].[$].[All]" allUniqueName="[表格468  3   Total].[$].[All]" dimensionUniqueName="[表格468  3   Total]" displayFolder="" count="0" memberValueDatatype="20" unbalanced="0"/>
    <cacheHierarchy uniqueName="[表格468  3   Total].[酬  金]" caption="酬  金" attribute="1" defaultMemberUniqueName="[表格468  3   Total].[酬  金].[All]" allUniqueName="[表格468  3   Total].[酬  金].[All]" dimensionUniqueName="[表格468  3   Total]" displayFolder="" count="0" memberValueDatatype="5" unbalanced="0"/>
    <cacheHierarchy uniqueName="[表格468  3   Total].[Sales Amt]" caption="Sales Amt" attribute="1" defaultMemberUniqueName="[表格468  3   Total].[Sales Amt].[All]" allUniqueName="[表格468  3   Total].[Sales Amt].[All]" dimensionUniqueName="[表格468  3   Total]" displayFolder="" count="0" memberValueDatatype="5" unbalanced="0"/>
    <cacheHierarchy uniqueName="[表格468  3   Total].[Qty]" caption="Qty" attribute="1" defaultMemberUniqueName="[表格468  3   Total].[Qty].[All]" allUniqueName="[表格468  3   Total].[Qty].[All]" dimensionUniqueName="[表格468  3   Total]" displayFolder="" count="0" memberValueDatatype="20" unbalanced="0"/>
    <cacheHierarchy uniqueName="[表格468  3   Total].[Basic Comm]" caption="Basic Comm" attribute="1" defaultMemberUniqueName="[表格468  3   Total].[Basic Comm].[All]" allUniqueName="[表格468  3   Total].[Basic Comm].[All]" dimensionUniqueName="[表格468  3   Total]" displayFolder="" count="0" memberValueDatatype="5" unbalanced="0"/>
    <cacheHierarchy uniqueName="[表格468  3   Total].[PH&amp;DA Sales Amt]" caption="PH&amp;DA Sales Amt" attribute="1" defaultMemberUniqueName="[表格468  3   Total].[PH&amp;DA Sales Amt].[All]" allUniqueName="[表格468  3   Total].[PH&amp;DA Sales Amt].[All]" dimensionUniqueName="[表格468  3   Total]" displayFolder="" count="0" memberValueDatatype="5" unbalanced="0"/>
    <cacheHierarchy uniqueName="[表格468  3   Total].[PH &amp;DA Commission]" caption="PH &amp;DA Commission" attribute="1" defaultMemberUniqueName="[表格468  3   Total].[PH &amp;DA Commission].[All]" allUniqueName="[表格468  3   Total].[PH &amp;DA Commission].[All]" dimensionUniqueName="[表格468  3   Total]" displayFolder="" count="0" memberValueDatatype="5" unbalanced="0"/>
    <cacheHierarchy uniqueName="[表格468  3   Total].[Attendance]" caption="Attendance" attribute="1" defaultMemberUniqueName="[表格468  3   Total].[Attendance].[All]" allUniqueName="[表格468  3   Total].[Attendance].[All]" dimensionUniqueName="[表格468  3   Total]" displayFolder="" count="0" memberValueDatatype="130" unbalanced="0"/>
    <cacheHierarchy uniqueName="[表格468  3   Total].[Allowance]" caption="Allowance" attribute="1" defaultMemberUniqueName="[表格468  3   Total].[Allowance].[All]" allUniqueName="[表格468  3   Total].[Allowance].[All]" dimensionUniqueName="[表格468  3   Total]" displayFolder="" count="0" memberValueDatatype="20" unbalanced="0"/>
    <cacheHierarchy uniqueName="[表格468  3   Total].[Award]" caption="Award" attribute="1" defaultMemberUniqueName="[表格468  3   Total].[Award].[All]" allUniqueName="[表格468  3   Total].[Award].[All]" dimensionUniqueName="[表格468  3   Total]" displayFolder="" count="0" memberValueDatatype="130" unbalanced="0"/>
    <cacheHierarchy uniqueName="[表格468  3   Total].[Expenses]" caption="Expenses" attribute="1" defaultMemberUniqueName="[表格468  3   Total].[Expenses].[All]" allUniqueName="[表格468  3   Total].[Expenses].[All]" dimensionUniqueName="[表格468  3   Total]" displayFolder="" count="0" memberValueDatatype="20" unbalanced="0"/>
    <cacheHierarchy uniqueName="[表格468  3   Total].[Adjustmant]" caption="Adjustmant" attribute="1" defaultMemberUniqueName="[表格468  3   Total].[Adjustmant].[All]" allUniqueName="[表格468  3   Total].[Adjustmant].[All]" dimensionUniqueName="[表格468  3   Total]" displayFolder="" count="0" memberValueDatatype="5" unbalanced="0"/>
    <cacheHierarchy uniqueName="[表格468  3   Total].[Other]" caption="Other" attribute="1" defaultMemberUniqueName="[表格468  3   Total].[Other].[All]" allUniqueName="[表格468  3   Total].[Other].[All]" dimensionUniqueName="[表格468  3   Total]" displayFolder="" count="0" memberValueDatatype="130" unbalanced="0"/>
    <cacheHierarchy uniqueName="[表格468  3   Total].[MPF]" caption="MPF" attribute="1" defaultMemberUniqueName="[表格468  3   Total].[MPF].[All]" allUniqueName="[表格468  3   Total].[MPF].[All]" dimensionUniqueName="[表格468  3   Total]" displayFolder="" count="0" memberValueDatatype="5" unbalanced="0"/>
    <cacheHierarchy uniqueName="[表格468  3   Total].[Total]" caption="Total" attribute="1" defaultMemberUniqueName="[表格468  3   Total].[Total].[All]" allUniqueName="[表格468  3   Total].[Total].[All]" dimensionUniqueName="[表格468  3   Total]" displayFolder="" count="0" memberValueDatatype="5" unbalanced="0"/>
    <cacheHierarchy uniqueName="[Measures].[__XL_Count 表格468  3   Total]" caption="__XL_Count 表格468  3   Total" measure="1" displayFolder="" measureGroup="表格468  3   Total" count="0" hidden="1"/>
    <cacheHierarchy uniqueName="[Measures].[__No measures defined]" caption="__No measures defined" measure="1" displayFolder="" count="0" hidden="1"/>
    <cacheHierarchy uniqueName="[Measures].[以下資料的總和: Days]" caption="以下資料的總和: Days" measure="1" displayFolder="" measureGroup="表格468  3   Tota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以下資料的總和: $]" caption="以下資料的總和: $" measure="1" displayFolder="" measureGroup="表格468  3   Total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表格468  3   Total" uniqueName="[表格468  3   Total]" caption="表格468  3   Total"/>
  </dimensions>
  <measureGroups count="1">
    <measureGroup name="表格468  3   Total" caption="表格468  3   Total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1"/>
    <s v="Yuen Maria Wing YanSuning TKO Roadshow"/>
    <m/>
    <m/>
    <s v="17"/>
    <d v="2025-10-17T00:00:00"/>
    <x v="0"/>
    <x v="0"/>
    <x v="0"/>
    <d v="1899-12-30T09:00:00"/>
    <d v="1899-12-30T21:00:00"/>
    <n v="12"/>
    <n v="0"/>
    <d v="1899-12-30T09:00:00"/>
    <d v="1899-12-30T21:00:00"/>
    <n v="12"/>
    <n v="12"/>
    <n v="60"/>
    <n v="720"/>
    <m/>
  </r>
  <r>
    <n v="2"/>
    <s v="Yuen Maria Wing YanSuning TKO Roadshow"/>
    <m/>
    <m/>
    <s v="18"/>
    <d v="2025-10-18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3"/>
    <s v="Yuen Maria Wing YanSuning TKO Roadshow"/>
    <m/>
    <m/>
    <s v="19"/>
    <d v="2025-10-19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4"/>
    <s v="Yuen Maria Wing YanSuning TKO Roadshow"/>
    <m/>
    <m/>
    <s v="20"/>
    <d v="2025-10-20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5"/>
    <s v="Chan Yun HingSW Wing On"/>
    <m/>
    <m/>
    <s v="1"/>
    <d v="2025-10-01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6"/>
    <s v="Chan Yun HingSW Wing On"/>
    <m/>
    <m/>
    <s v="2"/>
    <d v="2025-10-02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7"/>
    <s v="Chan Yun HingSW Wing On"/>
    <m/>
    <m/>
    <s v="3"/>
    <d v="2025-10-0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8"/>
    <s v="Chan Yun HingSW Wing On"/>
    <m/>
    <m/>
    <s v="4"/>
    <d v="2025-10-04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9"/>
    <s v="Chan Yun HingSW Wing On"/>
    <m/>
    <m/>
    <s v="5"/>
    <d v="2025-10-05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0"/>
    <s v="Chan Yun HingSW Wing On"/>
    <m/>
    <m/>
    <s v="6"/>
    <d v="2025-10-0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1"/>
    <s v="Chan Yun HingSW Wing On"/>
    <m/>
    <m/>
    <s v="9"/>
    <d v="2025-10-09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2"/>
    <s v="Chan Yun HingSW Wing On"/>
    <m/>
    <m/>
    <s v="10"/>
    <d v="2025-10-10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3"/>
    <s v="Chan Yun HingSW Wing On"/>
    <m/>
    <m/>
    <s v="11"/>
    <d v="2025-10-11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4"/>
    <s v="Chan Yun HingSW Wing On"/>
    <m/>
    <m/>
    <s v="12"/>
    <d v="2025-10-12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5"/>
    <s v="Chan Yun HingSW Wing On"/>
    <m/>
    <m/>
    <s v="13"/>
    <d v="2025-10-1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6"/>
    <s v="Chan Yun HingSW Wing On"/>
    <m/>
    <m/>
    <s v="16"/>
    <d v="2025-10-1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7"/>
    <s v="Chan Yun HingSW Wing On"/>
    <m/>
    <m/>
    <s v="17"/>
    <d v="2025-10-17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8"/>
    <s v="Chan Yun HingSW Wing On"/>
    <m/>
    <m/>
    <s v="18"/>
    <d v="2025-10-18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9"/>
    <s v="Chan Yun HingSW Wing On"/>
    <m/>
    <m/>
    <s v="19"/>
    <d v="2025-10-19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0"/>
    <s v="Chan Yun HingSW Wing On"/>
    <m/>
    <m/>
    <s v="20"/>
    <d v="2025-10-20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1"/>
    <s v="Chan Yun HingSW Wing On"/>
    <m/>
    <m/>
    <s v="23"/>
    <d v="2025-10-2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2"/>
    <s v="Chan Yun HingSW Wing On"/>
    <m/>
    <m/>
    <s v="24"/>
    <d v="2025-10-24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3"/>
    <s v="Chan Yun HingSW Wing On"/>
    <m/>
    <m/>
    <s v="25"/>
    <d v="2025-10-25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4"/>
    <s v="Chan Yun HingSW Wing On"/>
    <m/>
    <m/>
    <s v="26"/>
    <d v="2025-10-2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5"/>
    <s v="Chan Yun HingSW Wing On"/>
    <m/>
    <m/>
    <s v="27"/>
    <d v="2025-10-27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6"/>
    <s v="Chan Yun HingSW Wing On"/>
    <m/>
    <m/>
    <s v="30"/>
    <d v="2025-10-30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7"/>
    <s v="Chan Yun HingSW Wing On"/>
    <m/>
    <m/>
    <s v="31"/>
    <d v="2025-10-31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8"/>
    <s v="Wong Sui PingTai Po Yata"/>
    <m/>
    <m/>
    <s v="1"/>
    <d v="2025-10-0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29"/>
    <s v="Wong Sui PingTai Po Yata"/>
    <m/>
    <m/>
    <s v="3"/>
    <d v="2025-10-03T00:00:00"/>
    <x v="2"/>
    <x v="2"/>
    <x v="2"/>
    <d v="1899-12-30T09:00:00"/>
    <d v="1899-12-30T20:00:00"/>
    <n v="11"/>
    <n v="0"/>
    <d v="1899-12-30T09:00:00"/>
    <d v="1899-12-30T20:00:00"/>
    <n v="11"/>
    <n v="11"/>
    <n v="60"/>
    <n v="660"/>
    <m/>
  </r>
  <r>
    <n v="30"/>
    <s v="Wong Sui PingTai Po Yata"/>
    <m/>
    <m/>
    <s v="4"/>
    <d v="2025-10-04T00:00:00"/>
    <x v="2"/>
    <x v="2"/>
    <x v="2"/>
    <d v="1899-12-30T11:00:00"/>
    <d v="1899-12-30T19:00:00"/>
    <n v="8"/>
    <n v="0"/>
    <d v="1899-12-30T11:00:00"/>
    <d v="1899-12-30T19:00:00"/>
    <n v="8"/>
    <n v="8"/>
    <n v="60"/>
    <n v="480"/>
    <m/>
  </r>
  <r>
    <n v="31"/>
    <s v="Wong Sui PingTai Po Yata"/>
    <m/>
    <m/>
    <s v="5"/>
    <d v="2025-10-05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2"/>
    <s v="Wong Sui PingTai Po Yata"/>
    <m/>
    <m/>
    <s v="7"/>
    <d v="2025-10-07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3"/>
    <s v="Wong Sui PingTai Po Yata"/>
    <m/>
    <m/>
    <s v="10"/>
    <d v="2025-10-10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4"/>
    <s v="Wong Sui PingTai Po Yata"/>
    <m/>
    <m/>
    <s v="11"/>
    <d v="2025-10-1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5"/>
    <s v="Wong Sui PingTai Po Yata"/>
    <m/>
    <m/>
    <s v="12"/>
    <d v="2025-10-12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6"/>
    <s v="Wong Sui PingTai Po Yata"/>
    <m/>
    <m/>
    <s v="19"/>
    <d v="2025-10-19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7"/>
    <s v="Wong Sui PingTai Po Yata"/>
    <m/>
    <m/>
    <s v="24"/>
    <d v="2025-10-24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8"/>
    <s v="Wong Sui PingTai Po Yata"/>
    <m/>
    <m/>
    <s v="25"/>
    <d v="2025-10-25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9"/>
    <s v="Wong Sui PingTai Po Yata"/>
    <m/>
    <m/>
    <s v="26"/>
    <d v="2025-10-26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0"/>
    <s v="Wong Sui PingTai Po Yata"/>
    <m/>
    <m/>
    <s v="29"/>
    <d v="2025-10-29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1"/>
    <s v="Wong Sui PingTai Po Yata"/>
    <m/>
    <m/>
    <s v="31"/>
    <d v="2025-10-3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2"/>
    <s v="Leung Mei KiuTuen Wan Yata "/>
    <m/>
    <m/>
    <s v="4"/>
    <d v="2025-10-04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3"/>
    <s v="Leung Mei KiuTuen Wan Yata "/>
    <m/>
    <m/>
    <s v="5"/>
    <d v="2025-10-05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4"/>
    <s v="Leung Mei KiuTuen Wan Aeon"/>
    <m/>
    <m/>
    <s v="10"/>
    <d v="2025-10-10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5"/>
    <s v="Leung Mei KiuTuen Wan Aeon"/>
    <m/>
    <m/>
    <s v="11"/>
    <d v="2025-10-11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6"/>
    <s v="Leung Mei KiuTuen Wan Aeon"/>
    <m/>
    <m/>
    <s v="12"/>
    <d v="2025-10-12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7"/>
    <s v="Leung Mei KiuTuen Wan Yata "/>
    <m/>
    <m/>
    <s v="17"/>
    <d v="2025-10-17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8"/>
    <s v="Leung Mei KiuTuen Wan Yata "/>
    <m/>
    <m/>
    <s v="18"/>
    <d v="2025-10-18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9"/>
    <s v="Leung Mei KiuTuen Wan Yata "/>
    <m/>
    <m/>
    <s v="19"/>
    <d v="2025-10-19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0"/>
    <s v="Leung Mei KiuTuen Wan Aeon"/>
    <m/>
    <m/>
    <s v="24"/>
    <d v="2025-10-24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1"/>
    <s v="Leung Mei KiuTuen Wan Aeon"/>
    <m/>
    <m/>
    <s v="25"/>
    <d v="2025-10-25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2"/>
    <s v="Leung Mei KiuTuen Wan Aeon"/>
    <m/>
    <m/>
    <s v="26"/>
    <d v="2025-10-26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3"/>
    <s v="Leung Mei KiuTuen Wan Yata "/>
    <m/>
    <m/>
    <s v="31"/>
    <d v="2025-10-31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4"/>
    <s v="Lok Yin LingYuen Long Citistore"/>
    <m/>
    <m/>
    <s v="3"/>
    <d v="2025-10-03T00:00:00"/>
    <x v="4"/>
    <x v="5"/>
    <x v="4"/>
    <d v="1899-12-30T10:30:00"/>
    <d v="1899-12-30T20:00:00"/>
    <n v="9.4999999999999929"/>
    <n v="0"/>
    <d v="1899-12-30T10:30:00"/>
    <d v="1899-12-30T20:00:00"/>
    <n v="9.4999999999999929"/>
    <n v="9.5"/>
    <n v="55"/>
    <n v="522.5"/>
    <m/>
  </r>
  <r>
    <n v="55"/>
    <s v="Lok Yin LingYuen Long Citistore"/>
    <m/>
    <m/>
    <s v="4"/>
    <d v="2025-10-04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56"/>
    <s v="Lok Yin LingYuen Long Citistore"/>
    <m/>
    <m/>
    <s v="5"/>
    <d v="2025-10-05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57"/>
    <s v="Lok Yin LingYuen Long Citistore"/>
    <m/>
    <m/>
    <s v="10"/>
    <d v="2025-10-10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58"/>
    <s v="Lok Yin LingYuen Long Citistore"/>
    <m/>
    <m/>
    <s v="11"/>
    <d v="2025-10-11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59"/>
    <s v="Lok Yin LingYuen Long Citistore"/>
    <m/>
    <m/>
    <s v="12"/>
    <d v="2025-10-12T00:00:00"/>
    <x v="4"/>
    <x v="5"/>
    <x v="4"/>
    <d v="1899-12-30T11:52:00"/>
    <d v="1899-12-30T20:00:00"/>
    <n v="8.1333333333333258"/>
    <n v="0.13333333333333286"/>
    <d v="1899-12-30T12:00:00"/>
    <d v="1899-12-30T20:00:00"/>
    <n v="7.9999999999999929"/>
    <n v="8"/>
    <n v="55"/>
    <n v="440"/>
    <m/>
  </r>
  <r>
    <n v="60"/>
    <s v="Lok Yin LingYuen Long Citistore"/>
    <m/>
    <m/>
    <s v="17"/>
    <d v="2025-10-17T00:00:00"/>
    <x v="4"/>
    <x v="5"/>
    <x v="4"/>
    <d v="1899-12-30T11:50:00"/>
    <d v="1899-12-30T20:00:00"/>
    <n v="8.166666666666659"/>
    <n v="0.16666666666666607"/>
    <d v="1899-12-30T12:00:00"/>
    <d v="1899-12-30T20:00:00"/>
    <n v="7.9999999999999929"/>
    <n v="8"/>
    <n v="55"/>
    <n v="440"/>
    <m/>
  </r>
  <r>
    <n v="61"/>
    <s v="Lok Yin LingYuen Long Citistore"/>
    <m/>
    <m/>
    <s v="18"/>
    <d v="2025-10-18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62"/>
    <s v="Lok Yin LingYuen Long Citistore"/>
    <m/>
    <m/>
    <s v="19"/>
    <d v="2025-10-19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63"/>
    <s v="Lok Yin LingYuen Long Citistore"/>
    <m/>
    <m/>
    <s v="24"/>
    <d v="2025-10-24T00:00:00"/>
    <x v="4"/>
    <x v="5"/>
    <x v="4"/>
    <d v="1899-12-30T11:51:00"/>
    <d v="1899-12-30T20:00:00"/>
    <n v="8.1499999999999915"/>
    <n v="0.14999999999999858"/>
    <d v="1899-12-30T12:00:00"/>
    <d v="1899-12-30T20:00:00"/>
    <n v="7.9999999999999929"/>
    <n v="8"/>
    <n v="55"/>
    <n v="440"/>
    <m/>
  </r>
  <r>
    <n v="64"/>
    <s v="Lok Yin LingYuen Long Citistore"/>
    <m/>
    <m/>
    <s v="25"/>
    <d v="2025-10-25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65"/>
    <s v="Lok Yin LingYuen Long Citistore"/>
    <m/>
    <m/>
    <s v="26"/>
    <d v="2025-10-26T00:00:00"/>
    <x v="4"/>
    <x v="5"/>
    <x v="4"/>
    <d v="1899-12-30T11:47:00"/>
    <d v="1899-12-30T20:00:00"/>
    <n v="8.2166666666666597"/>
    <n v="0.21666666666666679"/>
    <d v="1899-12-30T12:00:00"/>
    <d v="1899-12-30T20:00:00"/>
    <n v="7.9999999999999929"/>
    <n v="8"/>
    <n v="55"/>
    <n v="440"/>
    <m/>
  </r>
  <r>
    <n v="66"/>
    <s v="Lok Yin LingYuen Long Citistore"/>
    <m/>
    <m/>
    <s v="31"/>
    <d v="2025-10-31T00:00:00"/>
    <x v="4"/>
    <x v="5"/>
    <x v="4"/>
    <d v="1899-12-30T11:52:00"/>
    <d v="1899-12-30T20:00:00"/>
    <n v="8.1333333333333258"/>
    <n v="0.13333333333333286"/>
    <d v="1899-12-30T12:00:00"/>
    <d v="1899-12-30T20:00:00"/>
    <n v="7.9999999999999929"/>
    <n v="8"/>
    <n v="55"/>
    <n v="440"/>
    <m/>
  </r>
  <r>
    <n v="67"/>
    <s v="Lo Chun WahKowloon Bay Fortress"/>
    <m/>
    <m/>
    <s v="1"/>
    <d v="2025-10-0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68"/>
    <s v="Lo Chun WahKowloon Bay Fortress"/>
    <m/>
    <m/>
    <s v="2"/>
    <d v="2025-10-02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69"/>
    <s v="Lo Chun WahKowloon Bay Fortress"/>
    <m/>
    <m/>
    <s v="3"/>
    <d v="2025-10-03T00:00:00"/>
    <x v="5"/>
    <x v="6"/>
    <x v="5"/>
    <d v="1899-12-30T09:00:00"/>
    <d v="1899-12-30T20:00:00"/>
    <n v="10.999999999999993"/>
    <n v="0"/>
    <d v="1899-12-30T09:00:00"/>
    <d v="1899-12-30T20:00:00"/>
    <n v="10.999999999999993"/>
    <n v="10.999999999999993"/>
    <n v="60"/>
    <n v="659.99999999999955"/>
    <m/>
  </r>
  <r>
    <n v="70"/>
    <s v="Lo Chun WahKowloon Bay Fortress"/>
    <m/>
    <m/>
    <s v="4"/>
    <d v="2025-10-04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1"/>
    <s v="Lo Chun WahKowloon Bay Fortress"/>
    <m/>
    <m/>
    <s v="5"/>
    <d v="2025-10-05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2"/>
    <s v="Lo Chun WahKowloon Bay Fortress"/>
    <m/>
    <m/>
    <s v="7"/>
    <d v="2025-10-07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3"/>
    <s v="Lo Chun WahKowloon Bay Fortress"/>
    <m/>
    <m/>
    <s v="9"/>
    <d v="2025-10-0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4"/>
    <s v="Lo Chun WahKowloon Bay Fortress"/>
    <m/>
    <m/>
    <s v="10"/>
    <d v="2025-10-10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5"/>
    <s v="Lo Chun WahKowloon Bay Fortress"/>
    <m/>
    <m/>
    <s v="11"/>
    <d v="2025-10-1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6"/>
    <s v="Lo Chun WahKowloon Bay Fortress"/>
    <m/>
    <m/>
    <s v="12"/>
    <d v="2025-10-12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7"/>
    <s v="Lo Chun WahKowloon Bay Fortress"/>
    <m/>
    <m/>
    <s v="16"/>
    <d v="2025-10-16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8"/>
    <s v="Lo Chun WahKowloon Bay Fortress"/>
    <m/>
    <m/>
    <s v="17"/>
    <d v="2025-10-17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9"/>
    <s v="Lo Chun WahKowloon Bay Fortress"/>
    <m/>
    <m/>
    <s v="18"/>
    <d v="2025-10-18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0"/>
    <s v="Lo Chun WahKowloon Bay Fortress"/>
    <m/>
    <m/>
    <s v="19"/>
    <d v="2025-10-1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1"/>
    <s v="Lo Chun WahKowloon Bay Fortress"/>
    <m/>
    <m/>
    <s v="23"/>
    <d v="2025-10-23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2"/>
    <s v="Lo Chun WahKowloon Bay Fortress"/>
    <m/>
    <m/>
    <s v="24"/>
    <d v="2025-10-24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3"/>
    <s v="Lo Chun WahKowloon Bay Fortress"/>
    <m/>
    <m/>
    <s v="25"/>
    <d v="2025-10-25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4"/>
    <s v="Lo Chun WahKowloon Bay Fortress"/>
    <m/>
    <m/>
    <s v="26"/>
    <d v="2025-10-26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5"/>
    <s v="Lo Chun WahKowloon Bay Fortress"/>
    <m/>
    <m/>
    <s v="29"/>
    <d v="2025-10-2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6"/>
    <s v="Lo Chun WahKowloon Bay Fortress"/>
    <m/>
    <m/>
    <s v="30"/>
    <d v="2025-10-30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7"/>
    <s v="Lo Chun WahKowloon Bay Fortress"/>
    <m/>
    <m/>
    <s v="31"/>
    <d v="2025-10-3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8"/>
    <s v="Chueng Yin PingTai Po Yata"/>
    <m/>
    <m/>
    <s v="17"/>
    <d v="2025-10-17T00:00:00"/>
    <x v="6"/>
    <x v="2"/>
    <x v="6"/>
    <d v="1899-12-30T12:00:00"/>
    <d v="1899-12-30T20:00:00"/>
    <n v="7.9999999999999929"/>
    <n v="0"/>
    <d v="1899-12-30T12:00:00"/>
    <d v="1899-12-30T20:00:00"/>
    <n v="7.9999999999999929"/>
    <n v="7.9999999999999902"/>
    <n v="65"/>
    <n v="519.99999999999932"/>
    <m/>
  </r>
  <r>
    <n v="89"/>
    <s v="Chueng Yin PingTai Po Yata"/>
    <m/>
    <m/>
    <s v="18"/>
    <d v="2025-10-18T00:00:00"/>
    <x v="6"/>
    <x v="2"/>
    <x v="6"/>
    <d v="1899-12-30T12:00:00"/>
    <d v="1899-12-30T20:00:00"/>
    <n v="7.9999999999999929"/>
    <n v="0"/>
    <d v="1899-12-30T12:00:00"/>
    <d v="1899-12-30T20:00:00"/>
    <n v="7.9999999999999929"/>
    <n v="7.9999999999999902"/>
    <n v="65"/>
    <n v="519.99999999999932"/>
    <m/>
  </r>
  <r>
    <n v="90"/>
    <s v="Woo Kin MingKwai Fong Fortress"/>
    <m/>
    <m/>
    <s v="4"/>
    <d v="2025-10-04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1"/>
    <s v="Woo Kin MingKwai Fong Fortress"/>
    <m/>
    <m/>
    <s v="5"/>
    <d v="2025-10-05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2"/>
    <s v="Woo Kin MingKwai Fong Fortress"/>
    <m/>
    <m/>
    <s v="10"/>
    <d v="2025-10-10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3"/>
    <s v="Woo Kin MingKwai Fong Fortress"/>
    <m/>
    <m/>
    <s v="11"/>
    <d v="2025-10-11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4"/>
    <s v="Woo Kin MingKwai Fong Fortress"/>
    <m/>
    <m/>
    <s v="12"/>
    <d v="2025-10-12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5"/>
    <s v="Woo Kin MingKwai Fong Fortress"/>
    <m/>
    <m/>
    <s v="18"/>
    <d v="2025-10-18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6"/>
    <s v="Woo Kin MingKwai Fong Fortress"/>
    <m/>
    <m/>
    <s v="19"/>
    <d v="2025-10-19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7"/>
    <s v="Woo Kin MingCWB Sogo"/>
    <m/>
    <m/>
    <s v="24"/>
    <d v="2025-10-24T00:00:00"/>
    <x v="7"/>
    <x v="8"/>
    <x v="7"/>
    <d v="1899-12-30T12:00:00"/>
    <d v="1899-12-30T21:00:00"/>
    <n v="9"/>
    <n v="0"/>
    <d v="1899-12-30T12:00:00"/>
    <d v="1899-12-30T21:00:00"/>
    <n v="9"/>
    <n v="9"/>
    <n v="65"/>
    <n v="585"/>
    <m/>
  </r>
  <r>
    <n v="98"/>
    <s v="Woo Kin MingCWB Sogo"/>
    <m/>
    <m/>
    <s v="27"/>
    <d v="2025-10-27T00:00:00"/>
    <x v="7"/>
    <x v="8"/>
    <x v="7"/>
    <d v="1899-12-30T10:00:00"/>
    <d v="1899-12-30T19:00:00"/>
    <n v="8.9999999999999982"/>
    <n v="0"/>
    <d v="1899-12-30T10:00:00"/>
    <d v="1899-12-30T19:00:00"/>
    <n v="8.9999999999999982"/>
    <n v="8.9999999999999982"/>
    <n v="65"/>
    <n v="584.99999999999989"/>
    <m/>
  </r>
  <r>
    <n v="99"/>
    <s v="Woo Kin MingCWB Sogo"/>
    <m/>
    <m/>
    <s v="28"/>
    <d v="2025-10-28T00:00:00"/>
    <x v="7"/>
    <x v="8"/>
    <x v="7"/>
    <d v="1899-12-30T10:00:00"/>
    <d v="1899-12-30T19:00:00"/>
    <n v="8.9999999999999982"/>
    <n v="0"/>
    <d v="1899-12-30T10:00:00"/>
    <d v="1899-12-30T19:00:00"/>
    <n v="8.9999999999999982"/>
    <n v="8.9999999999999982"/>
    <n v="65"/>
    <n v="584.99999999999989"/>
    <m/>
  </r>
  <r>
    <n v="100"/>
    <s v="Woo Kin MingCWB Sogo"/>
    <m/>
    <m/>
    <s v="30"/>
    <d v="2025-10-30T00:00:00"/>
    <x v="7"/>
    <x v="8"/>
    <x v="7"/>
    <d v="1899-12-30T12:00:00"/>
    <d v="1899-12-30T21:00:00"/>
    <n v="9"/>
    <n v="0"/>
    <d v="1899-12-30T12:00:00"/>
    <d v="1899-12-30T21:00:00"/>
    <n v="9"/>
    <n v="9"/>
    <n v="65"/>
    <n v="585"/>
    <m/>
  </r>
  <r>
    <n v="101"/>
    <s v="Chan Fung YuKwai Fong Fortress"/>
    <m/>
    <m/>
    <s v="24"/>
    <d v="2025-10-24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2"/>
    <s v="Chan Fung YuKwai Fong Fortress"/>
    <m/>
    <m/>
    <s v="25"/>
    <d v="2025-10-25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3"/>
    <s v="Chan Fung YuKwai Fong Fortress"/>
    <m/>
    <m/>
    <s v="26"/>
    <d v="2025-10-26T00:00:00"/>
    <x v="8"/>
    <x v="7"/>
    <x v="8"/>
    <d v="1899-12-30T11:51:00"/>
    <d v="1899-12-30T20:05:00"/>
    <n v="8.2333333333333343"/>
    <n v="0.23333333333334139"/>
    <d v="1899-12-30T12:00:00"/>
    <d v="1899-12-30T20:00:00"/>
    <n v="7.9999999999999929"/>
    <n v="8"/>
    <n v="60"/>
    <n v="480"/>
    <m/>
  </r>
  <r>
    <n v="104"/>
    <s v="Chan Fung YuKwai Fong Fortress"/>
    <m/>
    <m/>
    <s v="31"/>
    <d v="2025-10-31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5"/>
    <s v=""/>
    <m/>
    <m/>
    <s v="0"/>
    <m/>
    <x v="9"/>
    <x v="9"/>
    <x v="9"/>
    <m/>
    <m/>
    <n v="0"/>
    <n v="0"/>
    <m/>
    <m/>
    <n v="0"/>
    <m/>
    <e v="#N/A"/>
    <e v="#N/A"/>
    <m/>
  </r>
  <r>
    <n v="106"/>
    <s v=""/>
    <m/>
    <m/>
    <s v="0"/>
    <m/>
    <x v="9"/>
    <x v="9"/>
    <x v="9"/>
    <m/>
    <m/>
    <n v="0"/>
    <n v="0"/>
    <m/>
    <m/>
    <n v="0"/>
    <m/>
    <e v="#N/A"/>
    <e v="#N/A"/>
    <m/>
  </r>
  <r>
    <n v="107"/>
    <s v=""/>
    <m/>
    <m/>
    <s v="0"/>
    <m/>
    <x v="9"/>
    <x v="9"/>
    <x v="9"/>
    <m/>
    <m/>
    <n v="0"/>
    <n v="0"/>
    <m/>
    <m/>
    <n v="0"/>
    <m/>
    <e v="#N/A"/>
    <e v="#N/A"/>
    <m/>
  </r>
  <r>
    <n v="108"/>
    <s v=""/>
    <m/>
    <m/>
    <s v="0"/>
    <m/>
    <x v="9"/>
    <x v="9"/>
    <x v="9"/>
    <m/>
    <m/>
    <n v="0"/>
    <n v="0"/>
    <m/>
    <m/>
    <n v="0"/>
    <m/>
    <e v="#N/A"/>
    <e v="#N/A"/>
    <m/>
  </r>
  <r>
    <n v="109"/>
    <s v=""/>
    <m/>
    <m/>
    <s v="0"/>
    <m/>
    <x v="9"/>
    <x v="9"/>
    <x v="9"/>
    <m/>
    <m/>
    <n v="0"/>
    <n v="0"/>
    <m/>
    <m/>
    <n v="0"/>
    <m/>
    <e v="#N/A"/>
    <e v="#N/A"/>
    <m/>
  </r>
  <r>
    <n v="110"/>
    <s v=""/>
    <m/>
    <m/>
    <s v="0"/>
    <m/>
    <x v="9"/>
    <x v="9"/>
    <x v="9"/>
    <m/>
    <m/>
    <n v="0"/>
    <n v="0"/>
    <m/>
    <m/>
    <n v="0"/>
    <m/>
    <e v="#N/A"/>
    <e v="#N/A"/>
    <m/>
  </r>
  <r>
    <n v="111"/>
    <s v=""/>
    <m/>
    <m/>
    <s v="0"/>
    <m/>
    <x v="9"/>
    <x v="9"/>
    <x v="9"/>
    <m/>
    <m/>
    <n v="0"/>
    <n v="0"/>
    <m/>
    <m/>
    <n v="0"/>
    <m/>
    <e v="#N/A"/>
    <e v="#N/A"/>
    <m/>
  </r>
  <r>
    <n v="112"/>
    <s v=""/>
    <m/>
    <m/>
    <s v="0"/>
    <m/>
    <x v="9"/>
    <x v="9"/>
    <x v="9"/>
    <m/>
    <m/>
    <n v="0"/>
    <n v="0"/>
    <m/>
    <m/>
    <n v="0"/>
    <m/>
    <e v="#N/A"/>
    <e v="#N/A"/>
    <m/>
  </r>
  <r>
    <n v="113"/>
    <s v=""/>
    <m/>
    <m/>
    <s v="0"/>
    <m/>
    <x v="9"/>
    <x v="9"/>
    <x v="9"/>
    <m/>
    <m/>
    <n v="0"/>
    <n v="0"/>
    <m/>
    <m/>
    <n v="0"/>
    <m/>
    <e v="#N/A"/>
    <e v="#N/A"/>
    <m/>
  </r>
  <r>
    <n v="114"/>
    <s v=""/>
    <m/>
    <m/>
    <s v="0"/>
    <m/>
    <x v="9"/>
    <x v="9"/>
    <x v="9"/>
    <m/>
    <m/>
    <n v="0"/>
    <n v="0"/>
    <m/>
    <m/>
    <n v="0"/>
    <m/>
    <e v="#N/A"/>
    <e v="#N/A"/>
    <m/>
  </r>
  <r>
    <n v="115"/>
    <s v=""/>
    <m/>
    <m/>
    <s v="0"/>
    <m/>
    <x v="9"/>
    <x v="9"/>
    <x v="9"/>
    <m/>
    <m/>
    <n v="0"/>
    <n v="0"/>
    <m/>
    <m/>
    <n v="0"/>
    <m/>
    <e v="#N/A"/>
    <e v="#N/A"/>
    <m/>
  </r>
  <r>
    <n v="116"/>
    <s v=""/>
    <m/>
    <m/>
    <s v="0"/>
    <m/>
    <x v="9"/>
    <x v="9"/>
    <x v="9"/>
    <m/>
    <m/>
    <n v="0"/>
    <n v="0"/>
    <m/>
    <m/>
    <n v="0"/>
    <m/>
    <e v="#N/A"/>
    <e v="#N/A"/>
    <m/>
  </r>
  <r>
    <n v="117"/>
    <s v=""/>
    <m/>
    <m/>
    <s v="0"/>
    <m/>
    <x v="9"/>
    <x v="9"/>
    <x v="9"/>
    <m/>
    <m/>
    <n v="0"/>
    <n v="0"/>
    <m/>
    <m/>
    <n v="0"/>
    <m/>
    <e v="#N/A"/>
    <e v="#N/A"/>
    <m/>
  </r>
  <r>
    <n v="118"/>
    <s v=""/>
    <m/>
    <m/>
    <s v="0"/>
    <m/>
    <x v="9"/>
    <x v="9"/>
    <x v="9"/>
    <m/>
    <m/>
    <n v="0"/>
    <n v="0"/>
    <m/>
    <m/>
    <n v="0"/>
    <m/>
    <e v="#N/A"/>
    <e v="#N/A"/>
    <m/>
  </r>
  <r>
    <n v="119"/>
    <s v=""/>
    <m/>
    <m/>
    <s v="0"/>
    <m/>
    <x v="9"/>
    <x v="9"/>
    <x v="9"/>
    <m/>
    <m/>
    <n v="0"/>
    <n v="0"/>
    <m/>
    <m/>
    <n v="0"/>
    <m/>
    <e v="#N/A"/>
    <e v="#N/A"/>
    <m/>
  </r>
  <r>
    <n v="120"/>
    <s v=""/>
    <m/>
    <m/>
    <s v="0"/>
    <m/>
    <x v="9"/>
    <x v="9"/>
    <x v="9"/>
    <m/>
    <m/>
    <n v="0"/>
    <n v="0"/>
    <m/>
    <m/>
    <n v="0"/>
    <m/>
    <e v="#N/A"/>
    <e v="#N/A"/>
    <m/>
  </r>
  <r>
    <n v="121"/>
    <s v=""/>
    <m/>
    <m/>
    <s v="0"/>
    <m/>
    <x v="9"/>
    <x v="9"/>
    <x v="9"/>
    <m/>
    <m/>
    <n v="0"/>
    <n v="0"/>
    <m/>
    <m/>
    <n v="0"/>
    <m/>
    <e v="#N/A"/>
    <e v="#N/A"/>
    <m/>
  </r>
  <r>
    <n v="122"/>
    <s v=""/>
    <m/>
    <m/>
    <s v="0"/>
    <m/>
    <x v="9"/>
    <x v="9"/>
    <x v="9"/>
    <m/>
    <m/>
    <n v="0"/>
    <n v="0"/>
    <m/>
    <m/>
    <n v="0"/>
    <m/>
    <e v="#N/A"/>
    <e v="#N/A"/>
    <m/>
  </r>
  <r>
    <n v="123"/>
    <s v=""/>
    <m/>
    <m/>
    <s v="0"/>
    <m/>
    <x v="9"/>
    <x v="9"/>
    <x v="9"/>
    <m/>
    <m/>
    <n v="0"/>
    <n v="0"/>
    <m/>
    <m/>
    <n v="0"/>
    <m/>
    <e v="#N/A"/>
    <e v="#N/A"/>
    <m/>
  </r>
  <r>
    <n v="124"/>
    <s v=""/>
    <m/>
    <m/>
    <s v="0"/>
    <m/>
    <x v="9"/>
    <x v="9"/>
    <x v="9"/>
    <m/>
    <m/>
    <n v="0"/>
    <n v="0"/>
    <m/>
    <m/>
    <n v="0"/>
    <m/>
    <e v="#N/A"/>
    <e v="#N/A"/>
    <m/>
  </r>
  <r>
    <n v="125"/>
    <s v=""/>
    <m/>
    <m/>
    <s v="0"/>
    <m/>
    <x v="9"/>
    <x v="9"/>
    <x v="9"/>
    <m/>
    <m/>
    <n v="0"/>
    <n v="0"/>
    <m/>
    <m/>
    <n v="0"/>
    <m/>
    <e v="#N/A"/>
    <e v="#N/A"/>
    <m/>
  </r>
  <r>
    <n v="126"/>
    <s v=""/>
    <m/>
    <m/>
    <s v="0"/>
    <m/>
    <x v="9"/>
    <x v="9"/>
    <x v="9"/>
    <m/>
    <m/>
    <n v="0"/>
    <n v="0"/>
    <m/>
    <m/>
    <n v="0"/>
    <m/>
    <e v="#N/A"/>
    <e v="#N/A"/>
    <m/>
  </r>
  <r>
    <n v="127"/>
    <s v=""/>
    <m/>
    <m/>
    <s v="0"/>
    <m/>
    <x v="9"/>
    <x v="9"/>
    <x v="9"/>
    <m/>
    <m/>
    <n v="0"/>
    <n v="0"/>
    <m/>
    <m/>
    <n v="0"/>
    <m/>
    <e v="#N/A"/>
    <e v="#N/A"/>
    <m/>
  </r>
  <r>
    <n v="128"/>
    <s v=""/>
    <m/>
    <m/>
    <s v="0"/>
    <m/>
    <x v="9"/>
    <x v="9"/>
    <x v="9"/>
    <m/>
    <m/>
    <n v="0"/>
    <n v="0"/>
    <m/>
    <m/>
    <n v="0"/>
    <m/>
    <e v="#N/A"/>
    <e v="#N/A"/>
    <m/>
  </r>
  <r>
    <n v="129"/>
    <s v=""/>
    <m/>
    <m/>
    <s v="0"/>
    <m/>
    <x v="9"/>
    <x v="9"/>
    <x v="9"/>
    <m/>
    <m/>
    <n v="0"/>
    <n v="0"/>
    <m/>
    <m/>
    <n v="0"/>
    <m/>
    <e v="#N/A"/>
    <e v="#N/A"/>
    <m/>
  </r>
  <r>
    <n v="130"/>
    <s v=""/>
    <m/>
    <m/>
    <s v="0"/>
    <m/>
    <x v="9"/>
    <x v="9"/>
    <x v="9"/>
    <m/>
    <m/>
    <n v="0"/>
    <n v="0"/>
    <m/>
    <m/>
    <n v="0"/>
    <m/>
    <e v="#N/A"/>
    <e v="#N/A"/>
    <m/>
  </r>
  <r>
    <n v="131"/>
    <s v=""/>
    <m/>
    <m/>
    <s v="0"/>
    <m/>
    <x v="9"/>
    <x v="9"/>
    <x v="9"/>
    <m/>
    <m/>
    <n v="0"/>
    <n v="0"/>
    <m/>
    <m/>
    <n v="0"/>
    <m/>
    <e v="#N/A"/>
    <e v="#N/A"/>
    <m/>
  </r>
  <r>
    <n v="132"/>
    <s v=""/>
    <m/>
    <m/>
    <s v="0"/>
    <m/>
    <x v="9"/>
    <x v="9"/>
    <x v="9"/>
    <m/>
    <m/>
    <n v="0"/>
    <n v="0"/>
    <m/>
    <m/>
    <n v="0"/>
    <m/>
    <e v="#N/A"/>
    <e v="#N/A"/>
    <m/>
  </r>
  <r>
    <n v="133"/>
    <s v=""/>
    <m/>
    <m/>
    <s v="0"/>
    <m/>
    <x v="9"/>
    <x v="9"/>
    <x v="9"/>
    <m/>
    <m/>
    <n v="0"/>
    <n v="0"/>
    <m/>
    <m/>
    <n v="0"/>
    <m/>
    <e v="#N/A"/>
    <e v="#N/A"/>
    <m/>
  </r>
  <r>
    <n v="134"/>
    <s v=""/>
    <m/>
    <m/>
    <s v="0"/>
    <m/>
    <x v="9"/>
    <x v="9"/>
    <x v="9"/>
    <m/>
    <m/>
    <n v="0"/>
    <n v="0"/>
    <m/>
    <m/>
    <n v="0"/>
    <m/>
    <e v="#N/A"/>
    <e v="#N/A"/>
    <m/>
  </r>
  <r>
    <n v="135"/>
    <s v=""/>
    <m/>
    <m/>
    <s v="0"/>
    <m/>
    <x v="9"/>
    <x v="9"/>
    <x v="9"/>
    <m/>
    <m/>
    <n v="0"/>
    <n v="0"/>
    <m/>
    <m/>
    <n v="0"/>
    <m/>
    <e v="#N/A"/>
    <e v="#N/A"/>
    <m/>
  </r>
  <r>
    <n v="136"/>
    <s v=""/>
    <m/>
    <m/>
    <s v="0"/>
    <m/>
    <x v="9"/>
    <x v="9"/>
    <x v="9"/>
    <m/>
    <m/>
    <n v="0"/>
    <n v="0"/>
    <m/>
    <m/>
    <n v="0"/>
    <m/>
    <e v="#N/A"/>
    <e v="#N/A"/>
    <m/>
  </r>
  <r>
    <n v="137"/>
    <s v=""/>
    <m/>
    <m/>
    <s v="0"/>
    <m/>
    <x v="9"/>
    <x v="9"/>
    <x v="9"/>
    <m/>
    <m/>
    <n v="0"/>
    <n v="0"/>
    <m/>
    <m/>
    <n v="0"/>
    <m/>
    <e v="#N/A"/>
    <e v="#N/A"/>
    <m/>
  </r>
  <r>
    <n v="138"/>
    <s v=""/>
    <m/>
    <m/>
    <s v="0"/>
    <m/>
    <x v="9"/>
    <x v="9"/>
    <x v="9"/>
    <m/>
    <m/>
    <n v="0"/>
    <n v="0"/>
    <m/>
    <m/>
    <n v="0"/>
    <m/>
    <e v="#N/A"/>
    <e v="#N/A"/>
    <m/>
  </r>
  <r>
    <n v="139"/>
    <s v=""/>
    <m/>
    <m/>
    <s v="0"/>
    <m/>
    <x v="9"/>
    <x v="9"/>
    <x v="9"/>
    <m/>
    <m/>
    <n v="0"/>
    <n v="0"/>
    <m/>
    <m/>
    <n v="0"/>
    <m/>
    <e v="#N/A"/>
    <e v="#N/A"/>
    <m/>
  </r>
  <r>
    <n v="140"/>
    <s v=""/>
    <m/>
    <m/>
    <s v="0"/>
    <m/>
    <x v="9"/>
    <x v="9"/>
    <x v="9"/>
    <m/>
    <m/>
    <n v="0"/>
    <n v="0"/>
    <m/>
    <m/>
    <n v="0"/>
    <m/>
    <e v="#N/A"/>
    <e v="#N/A"/>
    <m/>
  </r>
  <r>
    <n v="141"/>
    <s v=""/>
    <m/>
    <m/>
    <s v="0"/>
    <m/>
    <x v="9"/>
    <x v="9"/>
    <x v="9"/>
    <m/>
    <m/>
    <n v="0"/>
    <n v="0"/>
    <m/>
    <m/>
    <n v="0"/>
    <m/>
    <e v="#N/A"/>
    <e v="#N/A"/>
    <m/>
  </r>
  <r>
    <n v="142"/>
    <s v=""/>
    <m/>
    <m/>
    <s v="0"/>
    <m/>
    <x v="9"/>
    <x v="9"/>
    <x v="9"/>
    <m/>
    <m/>
    <n v="0"/>
    <n v="0"/>
    <m/>
    <m/>
    <n v="0"/>
    <m/>
    <e v="#N/A"/>
    <e v="#N/A"/>
    <m/>
  </r>
  <r>
    <n v="143"/>
    <s v=""/>
    <m/>
    <m/>
    <s v="0"/>
    <m/>
    <x v="9"/>
    <x v="9"/>
    <x v="9"/>
    <m/>
    <m/>
    <n v="0"/>
    <n v="0"/>
    <m/>
    <m/>
    <n v="0"/>
    <m/>
    <e v="#N/A"/>
    <e v="#N/A"/>
    <m/>
  </r>
  <r>
    <n v="144"/>
    <s v=""/>
    <m/>
    <m/>
    <s v="0"/>
    <m/>
    <x v="9"/>
    <x v="9"/>
    <x v="9"/>
    <m/>
    <m/>
    <n v="0"/>
    <n v="0"/>
    <m/>
    <m/>
    <n v="0"/>
    <m/>
    <e v="#N/A"/>
    <e v="#N/A"/>
    <m/>
  </r>
  <r>
    <n v="145"/>
    <s v=""/>
    <m/>
    <m/>
    <s v="0"/>
    <m/>
    <x v="9"/>
    <x v="9"/>
    <x v="9"/>
    <m/>
    <m/>
    <n v="0"/>
    <n v="0"/>
    <m/>
    <m/>
    <n v="0"/>
    <m/>
    <e v="#N/A"/>
    <e v="#N/A"/>
    <m/>
  </r>
  <r>
    <n v="146"/>
    <s v=""/>
    <m/>
    <m/>
    <s v="0"/>
    <m/>
    <x v="9"/>
    <x v="9"/>
    <x v="9"/>
    <m/>
    <m/>
    <n v="0"/>
    <n v="0"/>
    <m/>
    <m/>
    <n v="0"/>
    <m/>
    <e v="#N/A"/>
    <e v="#N/A"/>
    <m/>
  </r>
  <r>
    <n v="147"/>
    <s v=""/>
    <m/>
    <m/>
    <s v="0"/>
    <m/>
    <x v="9"/>
    <x v="9"/>
    <x v="9"/>
    <m/>
    <m/>
    <n v="0"/>
    <n v="0"/>
    <m/>
    <m/>
    <n v="0"/>
    <m/>
    <e v="#N/A"/>
    <e v="#N/A"/>
    <m/>
  </r>
  <r>
    <n v="148"/>
    <s v=""/>
    <m/>
    <m/>
    <s v="0"/>
    <m/>
    <x v="9"/>
    <x v="9"/>
    <x v="9"/>
    <m/>
    <m/>
    <n v="0"/>
    <n v="0"/>
    <m/>
    <m/>
    <n v="0"/>
    <m/>
    <e v="#N/A"/>
    <e v="#N/A"/>
    <m/>
  </r>
  <r>
    <n v="149"/>
    <s v=""/>
    <m/>
    <m/>
    <s v="0"/>
    <m/>
    <x v="9"/>
    <x v="9"/>
    <x v="9"/>
    <m/>
    <m/>
    <n v="0"/>
    <n v="0"/>
    <m/>
    <m/>
    <n v="0"/>
    <m/>
    <e v="#N/A"/>
    <e v="#N/A"/>
    <m/>
  </r>
  <r>
    <n v="150"/>
    <s v=""/>
    <m/>
    <m/>
    <s v="0"/>
    <m/>
    <x v="9"/>
    <x v="9"/>
    <x v="9"/>
    <m/>
    <m/>
    <n v="0"/>
    <n v="0"/>
    <m/>
    <m/>
    <n v="0"/>
    <m/>
    <e v="#N/A"/>
    <e v="#N/A"/>
    <m/>
  </r>
  <r>
    <n v="151"/>
    <s v=""/>
    <m/>
    <m/>
    <s v="0"/>
    <m/>
    <x v="9"/>
    <x v="9"/>
    <x v="9"/>
    <m/>
    <m/>
    <n v="0"/>
    <n v="0"/>
    <m/>
    <m/>
    <n v="0"/>
    <m/>
    <e v="#N/A"/>
    <e v="#N/A"/>
    <m/>
  </r>
  <r>
    <n v="152"/>
    <s v=""/>
    <m/>
    <m/>
    <s v="0"/>
    <m/>
    <x v="9"/>
    <x v="9"/>
    <x v="9"/>
    <m/>
    <m/>
    <n v="0"/>
    <n v="0"/>
    <m/>
    <m/>
    <n v="0"/>
    <m/>
    <e v="#N/A"/>
    <e v="#N/A"/>
    <m/>
  </r>
  <r>
    <n v="153"/>
    <s v=""/>
    <m/>
    <m/>
    <s v="0"/>
    <m/>
    <x v="9"/>
    <x v="9"/>
    <x v="9"/>
    <m/>
    <m/>
    <n v="0"/>
    <n v="0"/>
    <m/>
    <m/>
    <n v="0"/>
    <m/>
    <e v="#N/A"/>
    <e v="#N/A"/>
    <m/>
  </r>
  <r>
    <n v="154"/>
    <s v=""/>
    <m/>
    <m/>
    <s v="0"/>
    <m/>
    <x v="9"/>
    <x v="9"/>
    <x v="9"/>
    <m/>
    <m/>
    <n v="0"/>
    <n v="0"/>
    <m/>
    <m/>
    <n v="0"/>
    <m/>
    <e v="#N/A"/>
    <e v="#N/A"/>
    <m/>
  </r>
  <r>
    <n v="155"/>
    <s v=""/>
    <m/>
    <m/>
    <s v="0"/>
    <m/>
    <x v="9"/>
    <x v="9"/>
    <x v="9"/>
    <m/>
    <m/>
    <n v="0"/>
    <n v="0"/>
    <m/>
    <m/>
    <n v="0"/>
    <m/>
    <e v="#N/A"/>
    <e v="#N/A"/>
    <m/>
  </r>
  <r>
    <n v="156"/>
    <s v=""/>
    <m/>
    <m/>
    <s v="0"/>
    <m/>
    <x v="9"/>
    <x v="9"/>
    <x v="9"/>
    <m/>
    <m/>
    <n v="0"/>
    <n v="0"/>
    <m/>
    <m/>
    <n v="0"/>
    <m/>
    <e v="#N/A"/>
    <e v="#N/A"/>
    <m/>
  </r>
  <r>
    <n v="157"/>
    <s v=""/>
    <m/>
    <m/>
    <s v="0"/>
    <m/>
    <x v="9"/>
    <x v="9"/>
    <x v="9"/>
    <m/>
    <m/>
    <n v="0"/>
    <n v="0"/>
    <m/>
    <m/>
    <n v="0"/>
    <m/>
    <e v="#N/A"/>
    <e v="#N/A"/>
    <m/>
  </r>
  <r>
    <n v="158"/>
    <s v=""/>
    <m/>
    <m/>
    <s v="0"/>
    <m/>
    <x v="9"/>
    <x v="9"/>
    <x v="9"/>
    <m/>
    <m/>
    <n v="0"/>
    <n v="0"/>
    <m/>
    <m/>
    <n v="0"/>
    <m/>
    <e v="#N/A"/>
    <e v="#N/A"/>
    <m/>
  </r>
  <r>
    <n v="159"/>
    <s v=""/>
    <m/>
    <m/>
    <s v="0"/>
    <m/>
    <x v="9"/>
    <x v="9"/>
    <x v="9"/>
    <m/>
    <m/>
    <n v="0"/>
    <n v="0"/>
    <m/>
    <m/>
    <n v="0"/>
    <m/>
    <e v="#N/A"/>
    <e v="#N/A"/>
    <m/>
  </r>
  <r>
    <n v="160"/>
    <s v=""/>
    <m/>
    <m/>
    <s v="0"/>
    <m/>
    <x v="9"/>
    <x v="9"/>
    <x v="9"/>
    <m/>
    <m/>
    <n v="0"/>
    <n v="0"/>
    <m/>
    <m/>
    <n v="0"/>
    <m/>
    <e v="#N/A"/>
    <e v="#N/A"/>
    <m/>
  </r>
  <r>
    <n v="161"/>
    <s v=""/>
    <m/>
    <m/>
    <s v="0"/>
    <m/>
    <x v="9"/>
    <x v="9"/>
    <x v="9"/>
    <m/>
    <m/>
    <n v="0"/>
    <n v="0"/>
    <m/>
    <m/>
    <n v="0"/>
    <m/>
    <e v="#N/A"/>
    <e v="#N/A"/>
    <m/>
  </r>
  <r>
    <n v="162"/>
    <s v=""/>
    <m/>
    <m/>
    <s v="0"/>
    <m/>
    <x v="9"/>
    <x v="9"/>
    <x v="9"/>
    <m/>
    <m/>
    <n v="0"/>
    <n v="0"/>
    <m/>
    <m/>
    <n v="0"/>
    <m/>
    <e v="#N/A"/>
    <e v="#N/A"/>
    <m/>
  </r>
  <r>
    <n v="163"/>
    <s v=""/>
    <m/>
    <m/>
    <s v="0"/>
    <m/>
    <x v="9"/>
    <x v="9"/>
    <x v="9"/>
    <m/>
    <m/>
    <n v="0"/>
    <n v="0"/>
    <m/>
    <m/>
    <n v="0"/>
    <m/>
    <e v="#N/A"/>
    <e v="#N/A"/>
    <m/>
  </r>
  <r>
    <n v="164"/>
    <s v=""/>
    <m/>
    <m/>
    <s v="0"/>
    <m/>
    <x v="9"/>
    <x v="9"/>
    <x v="9"/>
    <m/>
    <m/>
    <n v="0"/>
    <n v="0"/>
    <m/>
    <m/>
    <n v="0"/>
    <m/>
    <e v="#N/A"/>
    <e v="#N/A"/>
    <m/>
  </r>
  <r>
    <n v="165"/>
    <s v=""/>
    <m/>
    <m/>
    <s v="0"/>
    <m/>
    <x v="9"/>
    <x v="9"/>
    <x v="9"/>
    <m/>
    <m/>
    <n v="0"/>
    <n v="0"/>
    <m/>
    <m/>
    <n v="0"/>
    <m/>
    <e v="#N/A"/>
    <e v="#N/A"/>
    <m/>
  </r>
  <r>
    <n v="166"/>
    <s v=""/>
    <m/>
    <m/>
    <s v="0"/>
    <m/>
    <x v="9"/>
    <x v="9"/>
    <x v="9"/>
    <m/>
    <m/>
    <n v="0"/>
    <n v="0"/>
    <m/>
    <m/>
    <n v="0"/>
    <m/>
    <e v="#N/A"/>
    <e v="#N/A"/>
    <m/>
  </r>
  <r>
    <n v="167"/>
    <s v=""/>
    <m/>
    <m/>
    <s v="0"/>
    <m/>
    <x v="9"/>
    <x v="9"/>
    <x v="9"/>
    <m/>
    <m/>
    <n v="0"/>
    <n v="0"/>
    <m/>
    <m/>
    <n v="0"/>
    <m/>
    <e v="#N/A"/>
    <e v="#N/A"/>
    <m/>
  </r>
  <r>
    <n v="168"/>
    <s v=""/>
    <m/>
    <m/>
    <s v="0"/>
    <m/>
    <x v="9"/>
    <x v="9"/>
    <x v="9"/>
    <m/>
    <m/>
    <n v="0"/>
    <n v="0"/>
    <m/>
    <m/>
    <n v="0"/>
    <m/>
    <e v="#N/A"/>
    <e v="#N/A"/>
    <m/>
  </r>
  <r>
    <n v="169"/>
    <s v=""/>
    <m/>
    <m/>
    <s v="0"/>
    <m/>
    <x v="9"/>
    <x v="9"/>
    <x v="9"/>
    <m/>
    <m/>
    <n v="0"/>
    <n v="0"/>
    <m/>
    <m/>
    <n v="0"/>
    <m/>
    <e v="#N/A"/>
    <e v="#N/A"/>
    <m/>
  </r>
  <r>
    <n v="170"/>
    <s v=""/>
    <m/>
    <m/>
    <s v="0"/>
    <m/>
    <x v="9"/>
    <x v="9"/>
    <x v="9"/>
    <m/>
    <m/>
    <n v="0"/>
    <n v="0"/>
    <m/>
    <m/>
    <n v="0"/>
    <m/>
    <e v="#N/A"/>
    <e v="#N/A"/>
    <m/>
  </r>
  <r>
    <n v="171"/>
    <s v=""/>
    <m/>
    <m/>
    <s v="0"/>
    <m/>
    <x v="9"/>
    <x v="9"/>
    <x v="9"/>
    <m/>
    <m/>
    <n v="0"/>
    <n v="0"/>
    <m/>
    <m/>
    <n v="0"/>
    <m/>
    <e v="#N/A"/>
    <e v="#N/A"/>
    <m/>
  </r>
  <r>
    <n v="172"/>
    <s v=""/>
    <m/>
    <m/>
    <s v="0"/>
    <m/>
    <x v="9"/>
    <x v="9"/>
    <x v="9"/>
    <m/>
    <m/>
    <n v="0"/>
    <n v="0"/>
    <m/>
    <m/>
    <n v="0"/>
    <m/>
    <e v="#N/A"/>
    <e v="#N/A"/>
    <m/>
  </r>
  <r>
    <n v="173"/>
    <s v=""/>
    <m/>
    <m/>
    <s v="0"/>
    <m/>
    <x v="9"/>
    <x v="9"/>
    <x v="9"/>
    <m/>
    <m/>
    <n v="0"/>
    <n v="0"/>
    <m/>
    <m/>
    <n v="0"/>
    <m/>
    <e v="#N/A"/>
    <e v="#N/A"/>
    <m/>
  </r>
  <r>
    <n v="174"/>
    <s v=""/>
    <m/>
    <m/>
    <s v="0"/>
    <m/>
    <x v="9"/>
    <x v="9"/>
    <x v="9"/>
    <m/>
    <m/>
    <n v="0"/>
    <n v="0"/>
    <m/>
    <m/>
    <n v="0"/>
    <m/>
    <e v="#N/A"/>
    <e v="#N/A"/>
    <m/>
  </r>
  <r>
    <n v="175"/>
    <s v=""/>
    <m/>
    <m/>
    <s v="0"/>
    <m/>
    <x v="9"/>
    <x v="9"/>
    <x v="9"/>
    <m/>
    <m/>
    <n v="0"/>
    <n v="0"/>
    <m/>
    <m/>
    <n v="0"/>
    <m/>
    <e v="#N/A"/>
    <e v="#N/A"/>
    <m/>
  </r>
  <r>
    <n v="176"/>
    <s v=""/>
    <m/>
    <m/>
    <s v="0"/>
    <m/>
    <x v="9"/>
    <x v="9"/>
    <x v="9"/>
    <m/>
    <m/>
    <n v="0"/>
    <n v="0"/>
    <m/>
    <m/>
    <n v="0"/>
    <m/>
    <e v="#N/A"/>
    <e v="#N/A"/>
    <m/>
  </r>
  <r>
    <n v="177"/>
    <s v=""/>
    <m/>
    <m/>
    <s v="0"/>
    <m/>
    <x v="9"/>
    <x v="9"/>
    <x v="9"/>
    <m/>
    <m/>
    <n v="0"/>
    <n v="0"/>
    <m/>
    <m/>
    <n v="0"/>
    <m/>
    <e v="#N/A"/>
    <e v="#N/A"/>
    <m/>
  </r>
  <r>
    <n v="178"/>
    <s v=""/>
    <m/>
    <m/>
    <s v="0"/>
    <m/>
    <x v="9"/>
    <x v="9"/>
    <x v="9"/>
    <m/>
    <m/>
    <n v="0"/>
    <n v="0"/>
    <m/>
    <m/>
    <n v="0"/>
    <m/>
    <e v="#N/A"/>
    <e v="#N/A"/>
    <m/>
  </r>
  <r>
    <n v="179"/>
    <s v=""/>
    <m/>
    <m/>
    <s v="0"/>
    <m/>
    <x v="9"/>
    <x v="9"/>
    <x v="9"/>
    <m/>
    <m/>
    <n v="0"/>
    <n v="0"/>
    <m/>
    <m/>
    <n v="0"/>
    <m/>
    <e v="#N/A"/>
    <e v="#N/A"/>
    <m/>
  </r>
  <r>
    <n v="180"/>
    <s v=""/>
    <m/>
    <m/>
    <s v="0"/>
    <m/>
    <x v="9"/>
    <x v="9"/>
    <x v="9"/>
    <m/>
    <m/>
    <n v="0"/>
    <n v="0"/>
    <m/>
    <m/>
    <n v="0"/>
    <m/>
    <e v="#N/A"/>
    <e v="#N/A"/>
    <m/>
  </r>
  <r>
    <n v="181"/>
    <s v=""/>
    <m/>
    <m/>
    <s v="0"/>
    <m/>
    <x v="9"/>
    <x v="9"/>
    <x v="9"/>
    <m/>
    <m/>
    <n v="0"/>
    <n v="0"/>
    <m/>
    <m/>
    <n v="0"/>
    <m/>
    <e v="#N/A"/>
    <e v="#N/A"/>
    <m/>
  </r>
  <r>
    <n v="182"/>
    <s v=""/>
    <m/>
    <m/>
    <s v="0"/>
    <m/>
    <x v="9"/>
    <x v="9"/>
    <x v="9"/>
    <m/>
    <m/>
    <n v="0"/>
    <n v="0"/>
    <m/>
    <m/>
    <n v="0"/>
    <m/>
    <e v="#N/A"/>
    <e v="#N/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00E9D-8D73-423D-A887-E46AE1D2A078}" name="樞紐分析表1" cacheId="12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N2:Q15" firstHeaderRow="1" firstDataRow="1" firstDataCol="3"/>
  <pivotFields count="2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sortType="descending" defaultSubtotal="0">
      <items count="11">
        <item x="9"/>
        <item x="8"/>
        <item x="5"/>
        <item x="6"/>
        <item x="3"/>
        <item x="4"/>
        <item x="2"/>
        <item x="1"/>
        <item x="0"/>
        <item x="7"/>
        <item m="1"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6">
        <item x="8"/>
        <item m="1" x="10"/>
        <item m="1" x="12"/>
        <item m="1" x="14"/>
        <item m="1" x="15"/>
        <item x="6"/>
        <item x="7"/>
        <item x="0"/>
        <item x="1"/>
        <item m="1" x="11"/>
        <item m="1" x="13"/>
        <item x="2"/>
        <item x="4"/>
        <item x="3"/>
        <item x="5"/>
        <item x="9"/>
      </items>
    </pivotField>
    <pivotField axis="axisRow" compact="0" outline="0" showAll="0" defaultSubtotal="0">
      <items count="13">
        <item m="1" x="10"/>
        <item x="1"/>
        <item m="1" x="11"/>
        <item x="9"/>
        <item m="1" x="12"/>
        <item x="0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8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6"/>
    <field x="8"/>
    <field x="7"/>
  </rowFields>
  <rowItems count="13">
    <i>
      <x/>
      <x v="3"/>
      <x v="15"/>
    </i>
    <i>
      <x v="1"/>
      <x v="12"/>
      <x v="6"/>
    </i>
    <i>
      <x v="2"/>
      <x v="9"/>
      <x v="5"/>
    </i>
    <i>
      <x v="3"/>
      <x v="10"/>
      <x v="11"/>
    </i>
    <i>
      <x v="4"/>
      <x v="7"/>
      <x v="12"/>
    </i>
    <i r="2">
      <x v="13"/>
    </i>
    <i>
      <x v="5"/>
      <x v="8"/>
      <x v="14"/>
    </i>
    <i>
      <x v="6"/>
      <x v="6"/>
      <x v="11"/>
    </i>
    <i>
      <x v="7"/>
      <x v="1"/>
      <x v="8"/>
    </i>
    <i>
      <x v="8"/>
      <x v="5"/>
      <x v="7"/>
    </i>
    <i>
      <x v="9"/>
      <x v="11"/>
      <x/>
    </i>
    <i r="2">
      <x v="6"/>
    </i>
    <i t="grand">
      <x/>
    </i>
  </rowItems>
  <colItems count="1">
    <i/>
  </colItems>
  <dataFields count="1">
    <dataField name="計數 - D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6F57A-A837-46C8-B622-E0B85ABB7A65}" name="樞紐分析表1" cacheId="127" applyNumberFormats="0" applyBorderFormats="0" applyFontFormats="0" applyPatternFormats="0" applyAlignmentFormats="0" applyWidthHeightFormats="1" dataCaption="值" updatedVersion="8" minRefreshableVersion="3" visualTotals="0" useAutoFormatting="1" itemPrintTitles="1" createdVersion="8" indent="0" compact="0" compactData="0" gridDropZones="1" fieldListSortAscending="1">
  <location ref="AE2:AI62" firstHeaderRow="1" firstDataRow="2" firstDataCol="3"/>
  <pivotFields count="5">
    <pivotField axis="axisRow" compact="0" allDrilled="1" outline="0" subtotalTop="0" showAll="0" insertBlankRow="1" sortType="ascending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allDrilled="1" outline="0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3">
    <field x="0"/>
    <field x="1"/>
    <field x="4"/>
  </rowFields>
  <rowItems count="59">
    <i>
      <x/>
      <x/>
      <x/>
    </i>
    <i t="default">
      <x/>
    </i>
    <i t="blank">
      <x/>
    </i>
    <i>
      <x v="1"/>
      <x v="1"/>
      <x v="1"/>
    </i>
    <i t="default">
      <x v="1"/>
    </i>
    <i t="blank">
      <x v="1"/>
    </i>
    <i>
      <x v="2"/>
      <x v="2"/>
      <x v="2"/>
    </i>
    <i r="1">
      <x v="3"/>
      <x v="2"/>
    </i>
    <i r="1">
      <x v="4"/>
      <x v="2"/>
    </i>
    <i t="default">
      <x v="2"/>
    </i>
    <i t="blank">
      <x v="2"/>
    </i>
    <i>
      <x v="3"/>
      <x v="5"/>
      <x/>
    </i>
    <i t="default">
      <x v="3"/>
    </i>
    <i t="blank">
      <x v="3"/>
    </i>
    <i>
      <x v="4"/>
      <x v="6"/>
      <x v="3"/>
    </i>
    <i r="1">
      <x v="7"/>
      <x v="4"/>
    </i>
    <i t="default">
      <x v="4"/>
    </i>
    <i t="blank">
      <x v="4"/>
    </i>
    <i>
      <x v="5"/>
      <x v="8"/>
      <x/>
    </i>
    <i r="1">
      <x v="9"/>
      <x/>
    </i>
    <i r="1">
      <x v="10"/>
      <x v="5"/>
    </i>
    <i t="default">
      <x v="5"/>
    </i>
    <i t="blank">
      <x v="5"/>
    </i>
    <i>
      <x v="6"/>
      <x v="11"/>
      <x v="6"/>
    </i>
    <i r="1">
      <x v="12"/>
      <x v="6"/>
    </i>
    <i r="1">
      <x v="13"/>
      <x v="6"/>
    </i>
    <i t="default">
      <x v="6"/>
    </i>
    <i t="blank">
      <x v="6"/>
    </i>
    <i>
      <x v="7"/>
      <x v="14"/>
      <x v="7"/>
    </i>
    <i r="1">
      <x v="15"/>
      <x v="8"/>
    </i>
    <i r="1">
      <x v="16"/>
      <x v="7"/>
    </i>
    <i t="default">
      <x v="7"/>
    </i>
    <i t="blank">
      <x v="7"/>
    </i>
    <i>
      <x v="8"/>
      <x v="17"/>
      <x v="3"/>
    </i>
    <i t="default">
      <x v="8"/>
    </i>
    <i t="blank">
      <x v="8"/>
    </i>
    <i>
      <x v="9"/>
      <x v="18"/>
      <x v="3"/>
    </i>
    <i r="1">
      <x v="19"/>
      <x/>
    </i>
    <i r="1">
      <x v="20"/>
      <x v="9"/>
    </i>
    <i t="default">
      <x v="9"/>
    </i>
    <i t="blank">
      <x v="9"/>
    </i>
    <i>
      <x v="10"/>
      <x v="21"/>
      <x v="10"/>
    </i>
    <i r="1">
      <x v="22"/>
      <x v="10"/>
    </i>
    <i r="1">
      <x v="23"/>
      <x v="10"/>
    </i>
    <i r="1">
      <x v="24"/>
      <x v="11"/>
    </i>
    <i t="default">
      <x v="10"/>
    </i>
    <i t="blank">
      <x v="10"/>
    </i>
    <i>
      <x v="11"/>
      <x v="25"/>
      <x v="12"/>
    </i>
    <i r="1">
      <x v="26"/>
      <x v="12"/>
    </i>
    <i t="default">
      <x v="11"/>
    </i>
    <i t="blank">
      <x v="11"/>
    </i>
    <i>
      <x v="12"/>
      <x v="27"/>
      <x v="12"/>
    </i>
    <i r="1">
      <x v="28"/>
      <x v="13"/>
    </i>
    <i t="default">
      <x v="12"/>
    </i>
    <i t="blank">
      <x v="12"/>
    </i>
    <i>
      <x v="13"/>
      <x v="17"/>
      <x/>
    </i>
    <i t="default">
      <x v="13"/>
    </i>
    <i t="blank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以下資料的總和: Days" fld="2" baseField="0" baseItem="0"/>
    <dataField name="以下資料的總和: $" fld="3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4"/>
    <rowHierarchyUsage hierarchyUsage="6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03 Century Field Payroll (Philips WA).xlsx!表格468[[3]:[Total]]">
        <x15:activeTabTopLevelEntity name="[表格468  3   Tot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7C9376-CD39-4BB0-A1ED-97B4EBE8DE59}" name="表格3_5" displayName="表格3_5" ref="A2:T184" totalsRowShown="0" headerRowDxfId="136" dataDxfId="135">
  <autoFilter ref="A2:T184" xr:uid="{FB7C9376-CD39-4BB0-A1ED-97B4EBE8DE59}"/>
  <tableColumns count="20">
    <tableColumn id="13" xr3:uid="{2874696B-9BDE-4C04-91EB-8EDC56794719}" name="No" dataDxfId="134"/>
    <tableColumn id="14" xr3:uid="{E65B20DA-E9F7-4681-81A2-EF180DC3C643}" name="Test" dataDxfId="133">
      <calculatedColumnFormula>_xlfn.CONCAT(表格3_5[[#This Row],[Name]],表格3_5[[#This Row],[Location]])</calculatedColumnFormula>
    </tableColumn>
    <tableColumn id="15" xr3:uid="{4A2C482C-7FB9-4B78-A50F-B376F2CC2D2A}" name="ID1" dataDxfId="132">
      <calculatedColumnFormula>表格3_5[[#This Row],[Location]] &amp; 表格3_5[[#This Row],[Date]] &amp;表格3_5[[#This Row],[Nick Name]]</calculatedColumnFormula>
    </tableColumn>
    <tableColumn id="16" xr3:uid="{05EEFD3D-EF14-4F2E-9E0A-8C3AAA806833}" name="ID2" dataDxfId="131"/>
    <tableColumn id="20" xr3:uid="{FBD12250-F322-4497-A3FD-A59648777288}" name="ID3" dataDxfId="130">
      <calculatedColumnFormula>DAY(表格3_5[[#This Row],[Date]])&amp;""</calculatedColumnFormula>
    </tableColumn>
    <tableColumn id="2" xr3:uid="{2BBD8007-9EF9-45B8-BACC-724D59F1F676}" name="Date" dataDxfId="129"/>
    <tableColumn id="3" xr3:uid="{F3D250B3-6DCD-4BE5-B46C-D1245A409DEE}" name="Nick Name" dataDxfId="128">
      <calculatedColumnFormula>_xlfn.XLOOKUP(表格3_5[[#This Row],[Name]],Name_list[Full Name],Name_list[Nick Name])</calculatedColumnFormula>
    </tableColumn>
    <tableColumn id="1" xr3:uid="{19B51487-0E62-4FF3-AC51-3DE7711870AA}" name="Location" dataDxfId="127"/>
    <tableColumn id="4" xr3:uid="{78154911-DE11-422D-9D96-8EDB250BF6A8}" name="Name" dataDxfId="126"/>
    <tableColumn id="5" xr3:uid="{AF65B323-E956-499C-8F84-815139EC6C06}" name="In-Time" dataDxfId="125"/>
    <tableColumn id="6" xr3:uid="{F259D679-A08B-4AD0-A1DC-022A0E458F5F}" name="Out-Time" dataDxfId="124"/>
    <tableColumn id="7" xr3:uid="{7C72EEB4-78DC-4F05-ACFB-16E0F709C10C}" name=" Hours" dataDxfId="123">
      <calculatedColumnFormula>(表格3_5[[#This Row],[Out-Time]] - 表格3_5[[#This Row],[In-Time]])*24</calculatedColumnFormula>
    </tableColumn>
    <tableColumn id="8" xr3:uid="{104AF85D-9346-44D3-A241-0B6EA56A3501}" name="OT Hours" dataDxfId="122">
      <calculatedColumnFormula>表格3_5[[#This Row],[ Hours]]-表格3_5[[#This Row],[Normal working
 hours]]</calculatedColumnFormula>
    </tableColumn>
    <tableColumn id="12" xr3:uid="{6A6F6267-8B80-46C1-BC05-587408D6B8E6}" name="In-Time2" dataDxfId="121"/>
    <tableColumn id="11" xr3:uid="{5E6E5408-F060-450C-8375-A2ED6377199B}" name="Out-Time2" dataDxfId="120"/>
    <tableColumn id="9" xr3:uid="{A5E76E85-35C3-4B29-97DC-60C68C3C47A2}" name="Normal working_x000a_ hours" dataDxfId="119">
      <calculatedColumnFormula>(表格3_5[[#This Row],[Out-Time2]] - 表格3_5[[#This Row],[In-Time2]])*24</calculatedColumnFormula>
    </tableColumn>
    <tableColumn id="10" xr3:uid="{A4E956A4-3F14-44B4-80C1-166459CE9341}" name="Hours Worked" dataDxfId="118"/>
    <tableColumn id="17" xr3:uid="{A3DD4952-7DA4-458D-89B8-83BD3B9544A2}" name="Hourly Rate" dataDxfId="117">
      <calculatedColumnFormula>_xlfn.XLOOKUP(表格3_5[[#This Row],[Name]],Name_list[Full Name],Name_list[Hourr Rate])</calculatedColumnFormula>
    </tableColumn>
    <tableColumn id="18" xr3:uid="{D50FF328-0FF4-4F07-81E0-FA59F4B496D9}" name="Total Pay" dataDxfId="116">
      <calculatedColumnFormula>表格3_5[[#This Row],[Hours Worked]]*表格3_5[[#This Row],[Hourly Rate]]</calculatedColumnFormula>
    </tableColumn>
    <tableColumn id="19" xr3:uid="{C35F4E1E-9235-43F7-B163-B08ABE6387B0}" name="Remark" dataDxfId="1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571C1-0DB0-46F2-987D-23CC32FBC42A}" name="表格3" displayName="表格3" ref="A7:X28" totalsRowShown="0" headerRowDxfId="163" dataDxfId="161" headerRowBorderDxfId="162" headerRowCellStyle="一般 4" dataCellStyle="一般 4">
  <autoFilter ref="A7:X28" xr:uid="{88C571C1-0DB0-46F2-987D-23CC32FBC42A}"/>
  <tableColumns count="24">
    <tableColumn id="1" xr3:uid="{81BCFB90-644D-4920-971E-4F937DD68BCE}" name="3" dataDxfId="160" dataCellStyle="一般 4"/>
    <tableColumn id="2" xr3:uid="{C10AAF58-C7C4-49D9-8EBB-6DB7482BC302}" name="欄1" dataDxfId="159" dataCellStyle="一般 4"/>
    <tableColumn id="3" xr3:uid="{3DCA9FEB-0BAB-451E-89D4-CFB15576299F}" name="Shop" dataDxfId="158" dataCellStyle="一般 4"/>
    <tableColumn id="4" xr3:uid="{9BFA08B7-396E-4498-96B7-2902D08878F4}" name="Name" dataDxfId="157" dataCellStyle="一般 4">
      <calculatedColumnFormula>_xlfn.XLOOKUP(E8,表格3_5[Name],表格3_5[Nick Name])</calculatedColumnFormula>
    </tableColumn>
    <tableColumn id="5" xr3:uid="{DBC8C10A-D7FD-455D-8F17-BE7010511FA8}" name="Full Name" dataDxfId="156" dataCellStyle="一般 4"/>
    <tableColumn id="6" xr3:uid="{C2DABCBA-C20D-48AF-A68A-7AF3FF18A8D8}" name="CQ No." dataDxfId="155" dataCellStyle="一般 4"/>
    <tableColumn id="7" xr3:uid="{5908027D-1B7A-4B42-AB9A-27CC95179CE3}" name="Period" dataDxfId="154" dataCellStyle="一般 4">
      <calculatedColumnFormula array="1">_xlfn.TEXTJOIN(",",1,_xlfn._xlws.FILTER(表格3_5[ID3],(表格3_5[Location]=C8)*(表格3_5[Name]=E8),""))&amp;"/"&amp;$A$6</calculatedColumnFormula>
    </tableColumn>
    <tableColumn id="8" xr3:uid="{89A3DA5D-684E-41D3-A34B-2D3EC7A23B88}" name="Days" dataDxfId="153" dataCellStyle="一般 4">
      <calculatedColumnFormula array="1">IF(OR(Total!E8="", C8=""), 0,
    COUNTA(_xlfn._xlws.FILTER(工作表1!$F$3:$F$681,
        (工作表1!$I$3:$I$681=Total!E8) *
        (工作表1!$H$3:$H$681=C8) *
        (工作表1!$F$3:$F$681&lt;&gt;"")
    ))
)</calculatedColumnFormula>
    </tableColumn>
    <tableColumn id="9" xr3:uid="{845FBAEC-588B-4458-BCA9-C6DCE24AC03D}" name="Reg.Hrs" dataDxfId="152" dataCellStyle="一般 4">
      <calculatedColumnFormula>SUMIFS(工作表1!$Q$3:$Q$681,工作表1!$I$3:$I$681,Total!E8,工作表1!$H$3:$H$681,C8)</calculatedColumnFormula>
    </tableColumn>
    <tableColumn id="10" xr3:uid="{E8EFD742-1C9B-47C0-BB0E-23B8E60752A2}" name="$" dataDxfId="151" dataCellStyle="一般 4">
      <calculatedColumnFormula>_xlfn.XLOOKUP(_xlfn.CONCAT($E8,$C8),表格3_5[Test],表格3_5[Hourly Rate])</calculatedColumnFormula>
    </tableColumn>
    <tableColumn id="11" xr3:uid="{A480C37A-8337-4ED4-926A-818199E7237D}" name="酬  金" dataDxfId="150" dataCellStyle="一般 4">
      <calculatedColumnFormula>J8*I8</calculatedColumnFormula>
    </tableColumn>
    <tableColumn id="12" xr3:uid="{4D68B7AA-44E6-4016-BED8-5737FA3D2F92}" name="Sales Amt" dataDxfId="149" dataCellStyle="一般 4">
      <calculatedColumnFormula>SUMIFS(sales[Total Price],sales[Promoter],表格3[[#This Row],[Name]],sales[concat],表格3[[#This Row],[Shop]])</calculatedColumnFormula>
    </tableColumn>
    <tableColumn id="13" xr3:uid="{347F9B88-D792-4EDD-A509-C394865E5E64}" name="Qty" dataDxfId="148" dataCellStyle="一般 4">
      <calculatedColumnFormula>SUMIFS(sales[quantity],sales[Promoter],表格3[[#This Row],[Name]],sales[concat],表格3[[#This Row],[Shop]])</calculatedColumnFormula>
    </tableColumn>
    <tableColumn id="14" xr3:uid="{AD361304-7A52-49CC-9D86-ACE413D43147}" name="Basic Comm" dataDxfId="147" dataCellStyle="一般 4">
      <calculatedColumnFormula>_xlfn.XLOOKUP(E8,Name_list[Full Name],Name_list[rate])*表格3[[#This Row],[Sales Amt]]</calculatedColumnFormula>
    </tableColumn>
    <tableColumn id="25" xr3:uid="{61F09042-822A-4EA7-A231-3F238D72AFBD}" name="PH&amp;DA Sales Amt" dataDxfId="146" dataCellStyle="一般 4"/>
    <tableColumn id="26" xr3:uid="{8F523514-DC27-4C3C-803B-7813220434FA}" name="PH &amp;DA Commission" dataDxfId="145" dataCellStyle="一般 4">
      <calculatedColumnFormula>_xlfn.XLOOKUP(E8,Name_list[Full Name],Name_list[ph da comm])*表格3[[#This Row],[PH&amp;DA Sales Amt]]</calculatedColumnFormula>
    </tableColumn>
    <tableColumn id="15" xr3:uid="{A4A97923-1110-4D54-A970-1AC2ECD173DD}" name="Attendance" dataDxfId="144" dataCellStyle="一般 4"/>
    <tableColumn id="16" xr3:uid="{CD6EB5AE-951F-428E-A352-63D0FAA112A7}" name="Allowance" dataDxfId="143" dataCellStyle="一般 4">
      <calculatedColumnFormula>_xlfn.XLOOKUP(E8,Name_list[Full Name],Name_list[Allowance])*H8</calculatedColumnFormula>
    </tableColumn>
    <tableColumn id="18" xr3:uid="{6C9BB000-FB2E-4E56-95E0-86BC039C2CB6}" name="Expenses" dataDxfId="142" dataCellStyle="一般 4"/>
    <tableColumn id="19" xr3:uid="{7FCEE108-4795-47AB-9F68-A72352B27D8F}" name="Adjustmant" dataDxfId="141" dataCellStyle="一般 4"/>
    <tableColumn id="21" xr3:uid="{D78B0A3D-0F89-420C-ACA2-CF95168D3977}" name="MPF" dataDxfId="140" dataCellStyle="一般 4">
      <calculatedColumnFormula>-_xlfn.XLOOKUP(E8,Name_list[Full Name],Name_list[MPF])*(表格3[[#This Row],[酬  金]]+表格3[[#This Row],[Basic Comm]]+表格3[[#This Row],[Allowance]]+表格3[[#This Row],[Expenses]]+#REF!+表格3[[#This Row],[Adjustmant]])</calculatedColumnFormula>
    </tableColumn>
    <tableColumn id="22" xr3:uid="{4B8CC6D0-E4CE-486B-98AB-9E4C1512F7C9}" name="Total" dataDxfId="139" dataCellStyle="一般 4">
      <calculatedColumnFormula>SUM(K8:U8)-表格3[[#This Row],[Sales Amt]]-表格3[[#This Row],[Qty]]-表格3[[#This Row],[PH&amp;DA Sales Amt]]</calculatedColumnFormula>
    </tableColumn>
    <tableColumn id="23" xr3:uid="{6411E7A2-DC7E-4718-8014-6EFE2DC20E16}" name="Input" dataDxfId="138" dataCellStyle="一般 4">
      <calculatedColumnFormula>ROUND(V8,0)</calculatedColumnFormula>
    </tableColumn>
    <tableColumn id="24" xr3:uid="{E16804F7-0A85-4760-9C24-85989D74137F}" name="GP" dataDxfId="137" dataCellStyle="一般 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1DEA1C-C8FE-479B-BE61-BEBC7C9E5773}" name="Name_list" displayName="Name_list" ref="A2:I34" totalsRowShown="0">
  <autoFilter ref="A2:I34" xr:uid="{411DEA1C-C8FE-479B-BE61-BEBC7C9E5773}"/>
  <tableColumns count="9">
    <tableColumn id="1" xr3:uid="{A8F25786-2661-425E-8D5F-3C46EB051915}" name="No"/>
    <tableColumn id="2" xr3:uid="{6493BE65-8D71-4535-92BC-2A51312D8ACE}" name="Full Name"/>
    <tableColumn id="3" xr3:uid="{C5066DF0-B499-4BF4-91C8-B931A664C88F}" name="Nick Name" dataDxfId="114"/>
    <tableColumn id="4" xr3:uid="{F7DF9810-DBFD-413A-8BFB-2D83856E176E}" name="Hourr Rate"/>
    <tableColumn id="5" xr3:uid="{AB1EF825-AE3D-470B-ACE7-29D4AE41C499}" name="Allowance"/>
    <tableColumn id="11" xr3:uid="{F5918D4B-52F1-4B9B-B84A-9E33813E7D86}" name="rate" dataDxfId="113" dataCellStyle="百分比"/>
    <tableColumn id="10" xr3:uid="{61EF5AD0-ABE5-41C5-A629-5A8D6574CE82}" name="ph da comm"/>
    <tableColumn id="7" xr3:uid="{D499A6F4-F4C4-48B9-AF5B-670E5C8BC6B8}" name="MPF"/>
    <tableColumn id="6" xr3:uid="{E12D2750-E7E4-4081-9162-E4C42EC54D53}" name="Remar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EDD44-663B-468D-A833-023EEC86EBBB}" name="sales" displayName="sales" ref="A2:S994" totalsRowShown="0" headerRowDxfId="112" dataDxfId="111" headerRowCellStyle="一般 2" dataCellStyle="一般 2">
  <autoFilter ref="A2:S994" xr:uid="{00000000-0009-0000-0100-000003000000}"/>
  <sortState xmlns:xlrd2="http://schemas.microsoft.com/office/spreadsheetml/2017/richdata2" ref="A3:S281">
    <sortCondition ref="D2:D994"/>
  </sortState>
  <tableColumns count="19">
    <tableColumn id="1" xr3:uid="{BB41A0BA-1955-4FAB-BE20-3FD218303F3D}" name="No." dataDxfId="110" dataCellStyle="一般 2"/>
    <tableColumn id="2" xr3:uid="{BE3B7066-61CD-4149-A080-74E7CC2B6E7E}" name="Shop" dataDxfId="109" dataCellStyle="一般 2"/>
    <tableColumn id="3" xr3:uid="{0776E886-B66B-44C0-A5EB-F0EE1A915828}" name="Location" dataDxfId="108" dataCellStyle="一般 2"/>
    <tableColumn id="4" xr3:uid="{5C9F12DE-62CB-4347-81A9-A429968ECBF2}" name="Promoter" dataDxfId="107" dataCellStyle="一般 2">
      <calculatedColumnFormula>OFFSET(Roster!$B$7, MATCH(B3&amp;" "&amp;C3&amp;"*",Roster!$B$8:$B$20,0),DAY(sales[[#This Row],[date]]),1, 1)</calculatedColumnFormula>
    </tableColumn>
    <tableColumn id="5" xr3:uid="{4FE67179-0E92-4CB0-AC2E-92709C08EC5D}" name="month" dataDxfId="106" dataCellStyle="一般 2">
      <calculatedColumnFormula>MONTH(sales[[#This Row],[date]])</calculatedColumnFormula>
    </tableColumn>
    <tableColumn id="6" xr3:uid="{18F9F585-5701-45ED-9D43-0618A67EF25B}" name="date" dataDxfId="105" dataCellStyle="一般 2"/>
    <tableColumn id="11" xr3:uid="{37D73EEB-A1BD-4FDB-892E-54E7B8A0F7FB}" name="Model" dataDxfId="104" dataCellStyle="一般 2">
      <calculatedColumnFormula>VLOOKUP("*"&amp;sales[[#This Row],[Input]]&amp;"*",'Ref-List'!$A:$C,1,0)</calculatedColumnFormula>
    </tableColumn>
    <tableColumn id="7" xr3:uid="{E51BC45D-88F6-4A5E-92A6-5537D69E2247}" name="Product Line" dataDxfId="103" dataCellStyle="一般 2">
      <calculatedColumnFormula>VLOOKUP("*"&amp;G3&amp;"*",'Ref-List'!$A:$C,3,0)</calculatedColumnFormula>
    </tableColumn>
    <tableColumn id="8" xr3:uid="{D632FB93-661B-492A-A910-339664666E71}" name="Input" dataDxfId="102" dataCellStyle="一般 2"/>
    <tableColumn id="9" xr3:uid="{2B63D1D7-C151-44C5-80FD-818AEFBA7B66}" name="quantity" dataDxfId="101" dataCellStyle="一般 2"/>
    <tableColumn id="10" xr3:uid="{D3EF639F-4706-4BF3-A3DF-11CC95388B97}" name="price" dataDxfId="100" dataCellStyle="一般 2"/>
    <tableColumn id="17" xr3:uid="{FAA17466-12D3-4B3A-97E7-CE2C9AA5E7EB}" name="Total Price" dataDxfId="99" dataCellStyle="一般 2">
      <calculatedColumnFormula>sales[[#This Row],[quantity]]*sales[[#This Row],[price]]</calculatedColumnFormula>
    </tableColumn>
    <tableColumn id="14" xr3:uid="{5F233F93-2A3F-4E80-8D98-AB5921F4F031}" name="Commission 3%" dataDxfId="98" dataCellStyle="一般 2">
      <calculatedColumnFormula>sales[[#This Row],[Total Price]]*3%</calculatedColumnFormula>
    </tableColumn>
    <tableColumn id="15" xr3:uid="{9D10F401-B51C-4540-9342-01B57BAAE388}" name="Commission 2.5%" dataDxfId="97" dataCellStyle="一般 2">
      <calculatedColumnFormula>sales[[#This Row],[Total Price]]*2.5%</calculatedColumnFormula>
    </tableColumn>
    <tableColumn id="16" xr3:uid="{AD54448C-68C0-4691-BC36-69D6FC1F0ACD}" name="Commission 1.5%" dataDxfId="96" dataCellStyle="一般 2">
      <calculatedColumnFormula>sales[[#This Row],[Total Price]]*1.5%</calculatedColumnFormula>
    </tableColumn>
    <tableColumn id="12" xr3:uid="{F484C577-27C1-4388-805C-E3F0E2000F06}" name="ADD8906  5%" dataDxfId="95" dataCellStyle="一般 2"/>
    <tableColumn id="19" xr3:uid="{980E9351-8E3F-47AE-96A8-77777F891176}" name="Page" dataDxfId="94" dataCellStyle="一般 2"/>
    <tableColumn id="18" xr3:uid="{957093D7-24A9-4C41-B45E-EA565D14304E}" name="concat" dataDxfId="93" dataCellStyle="一般 2">
      <calculatedColumnFormula>_xlfn.CONCAT(sales[[#This Row],[Shop]]," ",sales[[#This Row],[Location]])</calculatedColumnFormula>
    </tableColumn>
    <tableColumn id="13" xr3:uid="{34BD5647-1174-4BBE-91EB-A5B05873EDA3}" name="Remark" dataDxfId="92" dataCellStyle="一般 2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592575-71EB-4101-90CF-176ED47BA3E1}" name="表格1" displayName="表格1" ref="A1:D328" totalsRowShown="0">
  <autoFilter ref="A1:D328" xr:uid="{00000000-0009-0000-0100-000001000000}">
    <filterColumn colId="0">
      <filters>
        <filter val="3983"/>
      </filters>
    </filterColumn>
  </autoFilter>
  <sortState xmlns:xlrd2="http://schemas.microsoft.com/office/spreadsheetml/2017/richdata2" ref="A2:C279">
    <sortCondition ref="B1:B310"/>
  </sortState>
  <tableColumns count="4">
    <tableColumn id="1" xr3:uid="{EEDBA07E-0597-4EF0-B453-8F09F8B6AE55}" name="Model-Input-Ref" dataDxfId="91"/>
    <tableColumn id="2" xr3:uid="{78CD63FC-CC58-417B-BDE8-CDD3C72DC19C}" name="Report-Model-List" dataDxfId="90"/>
    <tableColumn id="3" xr3:uid="{010127B9-65DA-42C3-9BAD-A739CF4FA648}" name="Product Line" dataDxfId="89"/>
    <tableColumn id="4" xr3:uid="{62392EE2-01E6-4E4B-8AA8-213C854082EB}" name="欄1" dataCellStyle="一般 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D8235D-AFEC-46A4-B720-0ED283900ABB}" name="表格468" displayName="表格468" ref="A2:Z61" totalsRowShown="0">
  <autoFilter ref="A2:Z61" xr:uid="{7C5C0D1C-D186-41B0-A04F-FBC1B8C023FA}"/>
  <tableColumns count="26">
    <tableColumn id="1" xr3:uid="{0C226739-2BEB-471C-8D45-824803102943}" name="3"/>
    <tableColumn id="2" xr3:uid="{B14D7AC6-7F6A-4F84-915E-CA91EBDCCB23}" name="欄1"/>
    <tableColumn id="3" xr3:uid="{A4CD4C87-9373-4721-A9E0-4CFD0C754146}" name="Shop"/>
    <tableColumn id="4" xr3:uid="{79DD03F5-3776-4A92-923F-3228AEBF51CB}" name="Name"/>
    <tableColumn id="5" xr3:uid="{6C423EE4-5A44-4D5E-B895-61AD2657D42A}" name="Full Name"/>
    <tableColumn id="6" xr3:uid="{BEA6FE25-4AFE-42B4-8750-F7593FB3709B}" name="CQ No."/>
    <tableColumn id="7" xr3:uid="{ABD2A103-AE42-4C64-8158-BC14AB401478}" name="Period"/>
    <tableColumn id="8" xr3:uid="{C2902979-34C5-4AF3-93E7-FC28337FE43F}" name="Days"/>
    <tableColumn id="9" xr3:uid="{35D1B1F9-A816-4A83-A744-B3A4BFC21FFF}" name="Reg.Hrs"/>
    <tableColumn id="10" xr3:uid="{D7807264-8A0D-4DE9-B1E8-DA629E071CB0}" name="$"/>
    <tableColumn id="11" xr3:uid="{E7032CBF-2062-493D-9F15-69237509207A}" name="酬  金"/>
    <tableColumn id="12" xr3:uid="{1DE18ED3-F4D8-4741-959F-469C4D2B5EC2}" name="Sales Amt"/>
    <tableColumn id="13" xr3:uid="{810CC564-A7B7-477D-949C-91124B850FAF}" name="Qty"/>
    <tableColumn id="14" xr3:uid="{945996D2-2ED8-49C7-BFA0-2BED3A03F025}" name="Basic Comm"/>
    <tableColumn id="15" xr3:uid="{CA7C1208-74CD-418B-B18A-6A6C0482B0F8}" name="PH&amp;DA Sales Amt"/>
    <tableColumn id="16" xr3:uid="{0E3FB53E-C3D0-4264-BD30-EFD508E1AB13}" name="PH &amp;DA Commission"/>
    <tableColumn id="17" xr3:uid="{1647BEB8-ECC6-4035-8877-FB59B7CB7420}" name="Attendance"/>
    <tableColumn id="18" xr3:uid="{AC8086C8-EA3E-4318-8FD3-5004F7BC8EBC}" name="Allowance"/>
    <tableColumn id="19" xr3:uid="{E4D2C1D8-F00E-4CB0-83CC-0859CB14790A}" name="Award"/>
    <tableColumn id="20" xr3:uid="{F340B4F7-C74F-4C9C-A24E-035744FB0AF8}" name="Expenses"/>
    <tableColumn id="21" xr3:uid="{389ED930-468A-4349-A619-F33694FA72D7}" name="Adjustmant"/>
    <tableColumn id="22" xr3:uid="{12B81568-7DE9-4AE7-8532-92A235F03167}" name="Other"/>
    <tableColumn id="23" xr3:uid="{149315D6-729D-42EA-99B2-191F787B97F0}" name="MPF"/>
    <tableColumn id="24" xr3:uid="{82717709-509A-45FA-8F41-EA29A985E4E1}" name="Total"/>
    <tableColumn id="25" xr3:uid="{A07F261A-5234-4E16-9E8C-D0DE64D3B2F8}" name="Input"/>
    <tableColumn id="26" xr3:uid="{2DA2B19B-9D7D-424E-B8E0-BF015B7F4590}" name="G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AD92-FD09-4DDD-ABE6-ECE6A519B2C0}">
  <dimension ref="A1:J370"/>
  <sheetViews>
    <sheetView view="pageBreakPreview" topLeftCell="A140" zoomScale="130" zoomScaleNormal="70" zoomScaleSheetLayoutView="130" workbookViewId="0">
      <selection activeCell="B6" sqref="B6:H6"/>
    </sheetView>
  </sheetViews>
  <sheetFormatPr defaultColWidth="9" defaultRowHeight="16.5"/>
  <cols>
    <col min="1" max="1" width="1.625" style="47" customWidth="1"/>
    <col min="2" max="2" width="20.5" style="47" customWidth="1"/>
    <col min="3" max="3" width="18" style="47" customWidth="1"/>
    <col min="4" max="4" width="12.875" style="47" customWidth="1"/>
    <col min="5" max="5" width="13.5" style="47" customWidth="1"/>
    <col min="6" max="6" width="16.5" style="47" customWidth="1"/>
    <col min="7" max="7" width="15.875" style="47" customWidth="1"/>
    <col min="8" max="8" width="1.875" style="47" customWidth="1"/>
    <col min="9" max="9" width="1.625" style="47" customWidth="1"/>
    <col min="10" max="10" width="12.125" style="47" bestFit="1" customWidth="1"/>
    <col min="11" max="16384" width="9" style="47"/>
  </cols>
  <sheetData>
    <row r="1" spans="1:9">
      <c r="A1" s="274"/>
      <c r="B1" s="274"/>
      <c r="C1" s="274"/>
      <c r="D1" s="274"/>
      <c r="E1" s="274"/>
      <c r="F1" s="274"/>
      <c r="G1" s="274"/>
      <c r="H1" s="274"/>
      <c r="I1" s="274"/>
    </row>
    <row r="2" spans="1:9" ht="27.75">
      <c r="A2" s="275" t="s">
        <v>134</v>
      </c>
      <c r="B2" s="275"/>
      <c r="C2" s="275"/>
      <c r="D2" s="275"/>
      <c r="E2" s="275"/>
      <c r="F2" s="275"/>
      <c r="G2" s="275"/>
      <c r="H2" s="275"/>
      <c r="I2" s="275"/>
    </row>
    <row r="3" spans="1:9" ht="27.75">
      <c r="A3" s="275" t="s">
        <v>135</v>
      </c>
      <c r="B3" s="275"/>
      <c r="C3" s="275"/>
      <c r="D3" s="275"/>
      <c r="E3" s="275"/>
      <c r="F3" s="275"/>
      <c r="G3" s="275"/>
      <c r="H3" s="275"/>
      <c r="I3" s="275"/>
    </row>
    <row r="4" spans="1:9">
      <c r="A4" s="276" t="s">
        <v>136</v>
      </c>
      <c r="B4" s="276"/>
      <c r="C4" s="276"/>
      <c r="D4" s="276"/>
      <c r="E4" s="276"/>
      <c r="F4" s="276"/>
      <c r="G4" s="276"/>
      <c r="H4" s="276"/>
      <c r="I4" s="276"/>
    </row>
    <row r="5" spans="1:9">
      <c r="A5" s="277"/>
      <c r="B5" s="277"/>
      <c r="C5" s="277"/>
      <c r="D5" s="277"/>
      <c r="E5" s="277"/>
      <c r="F5" s="277"/>
      <c r="G5" s="277"/>
      <c r="H5" s="277"/>
      <c r="I5" s="277"/>
    </row>
    <row r="6" spans="1:9" ht="21" thickBot="1">
      <c r="A6" s="278"/>
      <c r="B6" s="279" t="str">
        <f>Total!$A$2</f>
        <v>2026 Jun Century Field Promoter Salary Summary</v>
      </c>
      <c r="C6" s="279"/>
      <c r="D6" s="279"/>
      <c r="E6" s="279"/>
      <c r="F6" s="279"/>
      <c r="G6" s="279"/>
      <c r="H6" s="279"/>
      <c r="I6" s="280"/>
    </row>
    <row r="7" spans="1:9" ht="17.25" customHeight="1" thickTop="1">
      <c r="A7" s="278"/>
      <c r="B7" s="281"/>
      <c r="C7" s="281"/>
      <c r="D7" s="281"/>
      <c r="E7" s="281"/>
      <c r="F7" s="281"/>
      <c r="G7" s="281"/>
      <c r="H7" s="51"/>
      <c r="I7" s="280"/>
    </row>
    <row r="8" spans="1:9" ht="16.5" customHeight="1">
      <c r="A8" s="278"/>
      <c r="B8" s="52" t="s">
        <v>137</v>
      </c>
      <c r="C8" s="53" t="str">
        <f>Total!$E$8</f>
        <v>Tan Xing Fang</v>
      </c>
      <c r="D8" s="53" t="e" cm="1">
        <f t="array" ref="D8">INDEX(Total!$D$8:$D$31,MATCH($C8&amp;$G8,Total!$E$8:$E$31&amp;Total!#REF!,0))</f>
        <v>#REF!</v>
      </c>
      <c r="E8" s="54"/>
      <c r="F8" s="55" t="s">
        <v>138</v>
      </c>
      <c r="G8" s="53" t="e">
        <f>Total!#REF!</f>
        <v>#REF!</v>
      </c>
      <c r="H8" s="53"/>
      <c r="I8" s="280"/>
    </row>
    <row r="9" spans="1:9" ht="17.25" customHeight="1" thickBot="1">
      <c r="A9" s="278"/>
      <c r="B9" s="56"/>
      <c r="C9" s="56"/>
      <c r="D9" s="56"/>
      <c r="E9" s="57"/>
      <c r="F9" s="58"/>
      <c r="G9" s="59"/>
      <c r="H9" s="59"/>
      <c r="I9" s="280"/>
    </row>
    <row r="10" spans="1:9" ht="17.25" customHeight="1" thickBot="1">
      <c r="A10" s="278"/>
      <c r="B10" s="282" t="s">
        <v>139</v>
      </c>
      <c r="C10" s="283"/>
      <c r="D10" s="62"/>
      <c r="E10" s="61" t="s">
        <v>140</v>
      </c>
      <c r="F10" s="63"/>
      <c r="G10" s="59"/>
      <c r="H10" s="59"/>
      <c r="I10" s="280"/>
    </row>
    <row r="11" spans="1:9" ht="17.25" customHeight="1" thickTop="1">
      <c r="A11" s="278"/>
      <c r="B11" s="64" t="s">
        <v>141</v>
      </c>
      <c r="C11" s="65"/>
      <c r="D11" s="66"/>
      <c r="E11" s="67" t="s">
        <v>142</v>
      </c>
      <c r="F11" s="68"/>
      <c r="G11" s="59"/>
      <c r="H11" s="59"/>
      <c r="I11" s="280"/>
    </row>
    <row r="12" spans="1:9" ht="16.5" customHeight="1">
      <c r="A12" s="278"/>
      <c r="B12" s="69" t="s">
        <v>143</v>
      </c>
      <c r="C12" s="70"/>
      <c r="D12" s="71"/>
      <c r="E12" s="72" t="e" cm="1">
        <f t="array" ref="E12">INDEX(Total!$F$8:$F$31,MATCH($C8&amp;$G8,Total!$E$8:$E$31&amp;Total!#REF!,0))</f>
        <v>#REF!</v>
      </c>
      <c r="F12" s="73"/>
      <c r="G12" s="59"/>
      <c r="H12" s="59"/>
      <c r="I12" s="280"/>
    </row>
    <row r="13" spans="1:9" ht="16.5" customHeight="1">
      <c r="A13" s="278"/>
      <c r="B13" s="69" t="s">
        <v>144</v>
      </c>
      <c r="C13" s="74"/>
      <c r="D13" s="71"/>
      <c r="E13" s="75" t="e" cm="1">
        <f t="array" ref="E13">INDEX(Total!$G$8:$G$31,MATCH($C8&amp;$G8,Total!$E$8:$E$31&amp;Total!#REF!,0))</f>
        <v>#REF!</v>
      </c>
      <c r="F13" s="73"/>
      <c r="G13" s="59"/>
      <c r="H13" s="59"/>
      <c r="I13" s="280"/>
    </row>
    <row r="14" spans="1:9" ht="16.5" customHeight="1">
      <c r="A14" s="278"/>
      <c r="B14" s="69" t="s">
        <v>145</v>
      </c>
      <c r="C14" s="74"/>
      <c r="D14" s="71"/>
      <c r="E14" s="76" t="e" cm="1">
        <f t="array" ref="E14">INDEX(Total!$H$8:$H$31,MATCH($C8&amp;$G8,Total!$E$8:$E$31&amp;Total!#REF!,0))</f>
        <v>#REF!</v>
      </c>
      <c r="F14" s="73"/>
      <c r="G14" s="58"/>
      <c r="H14" s="58"/>
      <c r="I14" s="280"/>
    </row>
    <row r="15" spans="1:9" ht="16.5" customHeight="1">
      <c r="A15" s="278"/>
      <c r="B15" s="69" t="s">
        <v>146</v>
      </c>
      <c r="C15" s="70"/>
      <c r="D15" s="77"/>
      <c r="E15" s="76" t="e" cm="1">
        <f t="array" ref="E15">INDEX(Total!$I$8:$I$31,MATCH($C8&amp;$G8,Total!$E$8:$E$31&amp;Total!#REF!,0))</f>
        <v>#REF!</v>
      </c>
      <c r="F15" s="78"/>
      <c r="G15" s="58"/>
      <c r="H15" s="58"/>
      <c r="I15" s="280"/>
    </row>
    <row r="16" spans="1:9" ht="16.5" customHeight="1">
      <c r="A16" s="278"/>
      <c r="B16" s="69" t="s">
        <v>147</v>
      </c>
      <c r="C16" s="70"/>
      <c r="D16" s="77"/>
      <c r="E16" s="76" t="e" cm="1">
        <f t="array" ref="E16">INDEX(Total!$J$8:$J$31,MATCH($C8&amp;$G8,Total!$E$8:$E$31&amp;Total!#REF!,0))</f>
        <v>#REF!</v>
      </c>
      <c r="F16" s="78"/>
      <c r="G16" s="58"/>
      <c r="H16" s="58"/>
      <c r="I16" s="280"/>
    </row>
    <row r="17" spans="1:10" ht="17.25" customHeight="1" thickBot="1">
      <c r="A17" s="278"/>
      <c r="B17" s="79" t="s">
        <v>148</v>
      </c>
      <c r="C17" s="80"/>
      <c r="D17" s="81"/>
      <c r="E17" s="82" t="e" cm="1">
        <f t="array" ref="E17">INDEX(Total!$L$8:$L$31,MATCH($C8&amp;$G8,Total!$E$8:$E$31&amp;Total!#REF!,0))</f>
        <v>#REF!</v>
      </c>
      <c r="F17" s="83"/>
      <c r="G17" s="84"/>
      <c r="H17" s="84"/>
      <c r="I17" s="280"/>
    </row>
    <row r="18" spans="1:10" ht="17.25" customHeight="1" thickBot="1">
      <c r="A18" s="278"/>
      <c r="B18" s="85"/>
      <c r="C18" s="85"/>
      <c r="D18" s="85"/>
      <c r="E18" s="85"/>
      <c r="F18" s="85"/>
      <c r="G18" s="85"/>
      <c r="H18" s="85"/>
      <c r="I18" s="280"/>
    </row>
    <row r="19" spans="1:10" ht="17.25" customHeight="1" thickBot="1">
      <c r="A19" s="278"/>
      <c r="B19" s="86"/>
      <c r="C19" s="87" t="s">
        <v>149</v>
      </c>
      <c r="D19" s="88"/>
      <c r="E19" s="88"/>
      <c r="F19" s="268" t="s">
        <v>150</v>
      </c>
      <c r="G19" s="268"/>
      <c r="H19" s="90"/>
      <c r="I19" s="280"/>
    </row>
    <row r="20" spans="1:10" ht="17.25" customHeight="1" thickTop="1">
      <c r="A20" s="278"/>
      <c r="B20" s="91"/>
      <c r="C20" s="64" t="s">
        <v>151</v>
      </c>
      <c r="D20" s="92"/>
      <c r="E20" s="92"/>
      <c r="F20" s="93"/>
      <c r="G20" s="94" t="e" cm="1">
        <f t="array" ref="G20">INDEX(Total!$K$8:$K$31,MATCH($C8&amp;$G8,Total!$E$8:$E$31&amp;Total!#REF!,0))</f>
        <v>#REF!</v>
      </c>
      <c r="H20" s="95"/>
      <c r="I20" s="280"/>
    </row>
    <row r="21" spans="1:10" ht="16.5" customHeight="1">
      <c r="A21" s="278"/>
      <c r="B21" s="91"/>
      <c r="C21" s="69" t="s">
        <v>152</v>
      </c>
      <c r="D21" s="96"/>
      <c r="E21" s="96"/>
      <c r="F21" s="97"/>
      <c r="G21" s="98" t="e" cm="1">
        <f t="array" ref="G21">INDEX(Total!$Q$8:$Q$31,MATCH($C8&amp;$G8,Total!$E$8:$E$31&amp;Total!#REF!,0))</f>
        <v>#REF!</v>
      </c>
      <c r="H21" s="99"/>
      <c r="I21" s="280"/>
    </row>
    <row r="22" spans="1:10" ht="16.5" customHeight="1">
      <c r="A22" s="278"/>
      <c r="B22" s="91"/>
      <c r="C22" s="69" t="s">
        <v>153</v>
      </c>
      <c r="D22" s="100"/>
      <c r="E22" s="100"/>
      <c r="F22" s="97"/>
      <c r="G22" s="98">
        <f ca="1">Total!N8</f>
        <v>3675.1859999999988</v>
      </c>
      <c r="H22" s="99"/>
      <c r="I22" s="280"/>
    </row>
    <row r="23" spans="1:10" ht="16.5" customHeight="1">
      <c r="A23" s="278"/>
      <c r="B23" s="91"/>
      <c r="C23" s="69" t="s">
        <v>154</v>
      </c>
      <c r="D23" s="101"/>
      <c r="E23" s="101"/>
      <c r="F23" s="97"/>
      <c r="G23" s="98" t="e" cm="1">
        <f t="array" ref="G23">INDEX(Total!$R$8:$R$31,MATCH($C8&amp;$G8,Total!$E$8:$E$31&amp;Total!#REF!,0))</f>
        <v>#REF!</v>
      </c>
      <c r="H23" s="99"/>
      <c r="I23" s="280"/>
    </row>
    <row r="24" spans="1:10" ht="16.5" customHeight="1">
      <c r="A24" s="278"/>
      <c r="B24" s="91"/>
      <c r="C24" s="69" t="s">
        <v>155</v>
      </c>
      <c r="D24" s="101"/>
      <c r="E24" s="101"/>
      <c r="F24" s="97"/>
      <c r="G24" s="98" t="e" cm="1">
        <f t="array" ref="G24">INDEX(Total!#REF!,MATCH($C8&amp;$G8,Total!$E$8:$E$31&amp;Total!#REF!,0))</f>
        <v>#REF!</v>
      </c>
      <c r="H24" s="99"/>
      <c r="I24" s="280"/>
    </row>
    <row r="25" spans="1:10" ht="16.5" customHeight="1">
      <c r="A25" s="278"/>
      <c r="B25" s="91"/>
      <c r="C25" s="69" t="s">
        <v>156</v>
      </c>
      <c r="D25" s="96" t="s">
        <v>157</v>
      </c>
      <c r="E25" s="96"/>
      <c r="F25" s="97"/>
      <c r="G25" s="98" t="e" cm="1">
        <f t="array" ref="G25">INDEX(Total!$S$8:$S$31,MATCH($C8&amp;$G8,Total!$E$8:$E$31&amp;Total!#REF!,0))</f>
        <v>#REF!</v>
      </c>
      <c r="H25" s="99"/>
      <c r="I25" s="280"/>
    </row>
    <row r="26" spans="1:10" ht="16.5" customHeight="1">
      <c r="A26" s="278"/>
      <c r="B26" s="91"/>
      <c r="C26" s="69" t="s">
        <v>158</v>
      </c>
      <c r="D26" s="101"/>
      <c r="E26" s="101"/>
      <c r="F26" s="97"/>
      <c r="G26" s="98" t="e" cm="1">
        <f t="array" ref="G26">INDEX(Total!#REF!,MATCH($C8&amp;$G8,Total!$E$8:$E$31&amp;Total!#REF!,0))</f>
        <v>#REF!</v>
      </c>
      <c r="H26" s="99"/>
      <c r="I26" s="280"/>
    </row>
    <row r="27" spans="1:10" ht="16.5" customHeight="1">
      <c r="A27" s="278"/>
      <c r="B27" s="91"/>
      <c r="C27" s="69" t="s">
        <v>159</v>
      </c>
      <c r="D27" s="101"/>
      <c r="E27" s="101"/>
      <c r="F27" s="97"/>
      <c r="G27" s="98" t="e" cm="1">
        <f t="array" ref="G27">INDEX(Total!$T$8:$T$31,MATCH($C8&amp;$G8,Total!$E$8:$E$31&amp;Total!#REF!,0))</f>
        <v>#REF!</v>
      </c>
      <c r="H27" s="99"/>
      <c r="I27" s="280"/>
    </row>
    <row r="28" spans="1:10" ht="17.25" customHeight="1" thickBot="1">
      <c r="A28" s="278"/>
      <c r="B28" s="91"/>
      <c r="C28" s="102" t="s">
        <v>160</v>
      </c>
      <c r="D28" s="103"/>
      <c r="E28" s="103"/>
      <c r="F28" s="104"/>
      <c r="G28" s="105" t="e" cm="1">
        <f t="array" ref="G28">-INDEX(Total!$U$8:$U$31,MATCH($C8&amp;$G8,Total!$E$8:$E$31&amp;Total!#REF!,0))</f>
        <v>#REF!</v>
      </c>
      <c r="H28" s="106"/>
      <c r="I28" s="280"/>
    </row>
    <row r="29" spans="1:10" ht="18" customHeight="1" thickTop="1" thickBot="1">
      <c r="A29" s="278"/>
      <c r="B29" s="107"/>
      <c r="C29" s="108"/>
      <c r="D29" s="109"/>
      <c r="E29" s="110" t="s">
        <v>113</v>
      </c>
      <c r="F29" s="269" t="e">
        <f>SUM($G20:$G28)</f>
        <v>#REF!</v>
      </c>
      <c r="G29" s="269"/>
      <c r="H29" s="112"/>
      <c r="I29" s="280"/>
      <c r="J29" s="113" t="e" cm="1">
        <f t="array" ref="J29">INDEX(Total!$W$8:$W$31,MATCH($C8&amp;$G8,Total!$E$8:$E$31&amp;Total!#REF!,0))</f>
        <v>#REF!</v>
      </c>
    </row>
    <row r="30" spans="1:10" ht="16.5" customHeight="1">
      <c r="A30" s="278"/>
      <c r="B30" s="56"/>
      <c r="C30" s="56"/>
      <c r="D30" s="56"/>
      <c r="E30" s="56"/>
      <c r="F30" s="270"/>
      <c r="G30" s="271"/>
      <c r="H30" s="59"/>
      <c r="I30" s="280"/>
    </row>
    <row r="31" spans="1:10" ht="16.5" customHeight="1">
      <c r="A31" s="278"/>
      <c r="B31" s="114" t="s">
        <v>161</v>
      </c>
      <c r="C31" s="56"/>
      <c r="D31" s="56"/>
      <c r="E31" s="56"/>
      <c r="F31" s="271"/>
      <c r="G31" s="271"/>
      <c r="H31" s="59"/>
      <c r="I31" s="280"/>
    </row>
    <row r="32" spans="1:10" ht="16.5" customHeight="1">
      <c r="A32" s="278"/>
      <c r="B32" s="114" t="s">
        <v>162</v>
      </c>
      <c r="C32" s="56"/>
      <c r="D32" s="272"/>
      <c r="E32" s="272"/>
      <c r="F32" s="271"/>
      <c r="G32" s="271"/>
      <c r="H32" s="59"/>
      <c r="I32" s="280"/>
    </row>
    <row r="33" spans="1:9" ht="16.5" customHeight="1">
      <c r="A33" s="278"/>
      <c r="B33" s="114" t="s">
        <v>163</v>
      </c>
      <c r="C33" s="56"/>
      <c r="D33" s="56"/>
      <c r="E33" s="56"/>
      <c r="F33" s="56"/>
      <c r="G33" s="56"/>
      <c r="H33" s="59"/>
      <c r="I33" s="280"/>
    </row>
    <row r="34" spans="1:9" ht="16.5" customHeight="1">
      <c r="A34" s="278"/>
      <c r="B34" s="115"/>
      <c r="C34" s="57"/>
      <c r="D34" s="116"/>
      <c r="E34" s="273" t="s">
        <v>164</v>
      </c>
      <c r="F34" s="273"/>
      <c r="G34" s="118"/>
      <c r="H34" s="119"/>
      <c r="I34" s="280"/>
    </row>
    <row r="35" spans="1:9" ht="16.5" customHeight="1">
      <c r="A35" s="278"/>
      <c r="B35" s="57"/>
      <c r="C35" s="57"/>
      <c r="D35" s="120"/>
      <c r="E35" s="120"/>
      <c r="F35" s="57"/>
      <c r="G35" s="57"/>
      <c r="H35" s="57"/>
      <c r="I35" s="280"/>
    </row>
    <row r="36" spans="1:9" ht="16.5" customHeight="1">
      <c r="A36" s="278"/>
      <c r="B36" s="57"/>
      <c r="C36" s="57"/>
      <c r="D36" s="120"/>
      <c r="E36" s="116"/>
      <c r="F36" s="117" t="s">
        <v>165</v>
      </c>
      <c r="G36" s="121"/>
      <c r="H36" s="122"/>
      <c r="I36" s="280"/>
    </row>
    <row r="37" spans="1:9" ht="16.5" customHeight="1"/>
    <row r="38" spans="1:9">
      <c r="A38" s="274"/>
      <c r="B38" s="274"/>
      <c r="C38" s="274"/>
      <c r="D38" s="274"/>
      <c r="E38" s="274"/>
      <c r="F38" s="274"/>
      <c r="G38" s="274"/>
      <c r="H38" s="274"/>
      <c r="I38" s="274"/>
    </row>
    <row r="39" spans="1:9" ht="27.75">
      <c r="A39" s="275" t="s">
        <v>166</v>
      </c>
      <c r="B39" s="275"/>
      <c r="C39" s="275"/>
      <c r="D39" s="275"/>
      <c r="E39" s="275"/>
      <c r="F39" s="275"/>
      <c r="G39" s="275"/>
      <c r="H39" s="275"/>
      <c r="I39" s="275"/>
    </row>
    <row r="40" spans="1:9" ht="27.75">
      <c r="A40" s="275" t="s">
        <v>167</v>
      </c>
      <c r="B40" s="275"/>
      <c r="C40" s="275"/>
      <c r="D40" s="275"/>
      <c r="E40" s="275"/>
      <c r="F40" s="275"/>
      <c r="G40" s="275"/>
      <c r="H40" s="275"/>
      <c r="I40" s="275"/>
    </row>
    <row r="41" spans="1:9">
      <c r="A41" s="276" t="s">
        <v>168</v>
      </c>
      <c r="B41" s="276"/>
      <c r="C41" s="276"/>
      <c r="D41" s="276"/>
      <c r="E41" s="276"/>
      <c r="F41" s="276"/>
      <c r="G41" s="276"/>
      <c r="H41" s="276"/>
      <c r="I41" s="276"/>
    </row>
    <row r="42" spans="1:9">
      <c r="A42" s="277"/>
      <c r="B42" s="277"/>
      <c r="C42" s="277"/>
      <c r="D42" s="277"/>
      <c r="E42" s="277"/>
      <c r="F42" s="277"/>
      <c r="G42" s="277"/>
      <c r="H42" s="277"/>
      <c r="I42" s="277"/>
    </row>
    <row r="43" spans="1:9" ht="21" thickBot="1">
      <c r="A43" s="278"/>
      <c r="B43" s="279" t="str">
        <f>Total!$A$2</f>
        <v>2026 Jun Century Field Promoter Salary Summary</v>
      </c>
      <c r="C43" s="279"/>
      <c r="D43" s="279"/>
      <c r="E43" s="279"/>
      <c r="F43" s="279"/>
      <c r="G43" s="279"/>
      <c r="H43" s="279"/>
      <c r="I43" s="280"/>
    </row>
    <row r="44" spans="1:9" ht="17.25" customHeight="1" thickTop="1">
      <c r="A44" s="278"/>
      <c r="B44" s="281"/>
      <c r="C44" s="281"/>
      <c r="D44" s="281"/>
      <c r="E44" s="281"/>
      <c r="F44" s="281"/>
      <c r="G44" s="281"/>
      <c r="H44" s="51"/>
      <c r="I44" s="280"/>
    </row>
    <row r="45" spans="1:9" ht="16.5" customHeight="1">
      <c r="A45" s="278"/>
      <c r="B45" s="52" t="s">
        <v>137</v>
      </c>
      <c r="C45" s="53" t="str">
        <f>Total!$E$9</f>
        <v>Yuen Maria Wing Yan</v>
      </c>
      <c r="D45" s="53" t="e" cm="1">
        <f t="array" ref="D45">INDEX(Total!$D$8:$D$31,MATCH($C45&amp;$G45,Total!$E$8:$E$31&amp;Total!#REF!,0))</f>
        <v>#REF!</v>
      </c>
      <c r="E45" s="54"/>
      <c r="F45" s="55" t="s">
        <v>138</v>
      </c>
      <c r="G45" s="53" t="e">
        <f>Total!#REF!</f>
        <v>#REF!</v>
      </c>
      <c r="H45" s="53"/>
      <c r="I45" s="280"/>
    </row>
    <row r="46" spans="1:9" ht="17.25" customHeight="1" thickBot="1">
      <c r="A46" s="278"/>
      <c r="B46" s="56"/>
      <c r="C46" s="56"/>
      <c r="D46" s="56"/>
      <c r="E46" s="57"/>
      <c r="F46" s="58"/>
      <c r="G46" s="59"/>
      <c r="H46" s="59"/>
      <c r="I46" s="280"/>
    </row>
    <row r="47" spans="1:9" ht="17.25" customHeight="1" thickBot="1">
      <c r="A47" s="278"/>
      <c r="B47" s="60" t="s">
        <v>139</v>
      </c>
      <c r="C47" s="61"/>
      <c r="D47" s="62"/>
      <c r="E47" s="61" t="s">
        <v>140</v>
      </c>
      <c r="F47" s="63"/>
      <c r="G47" s="59"/>
      <c r="H47" s="59"/>
      <c r="I47" s="280"/>
    </row>
    <row r="48" spans="1:9" ht="17.25" customHeight="1" thickTop="1">
      <c r="A48" s="278"/>
      <c r="B48" s="64" t="s">
        <v>141</v>
      </c>
      <c r="C48" s="65"/>
      <c r="D48" s="66"/>
      <c r="E48" s="67" t="s">
        <v>142</v>
      </c>
      <c r="F48" s="68"/>
      <c r="G48" s="59"/>
      <c r="H48" s="59"/>
      <c r="I48" s="280"/>
    </row>
    <row r="49" spans="1:9" ht="16.5" customHeight="1">
      <c r="A49" s="278"/>
      <c r="B49" s="69" t="s">
        <v>143</v>
      </c>
      <c r="C49" s="70"/>
      <c r="D49" s="71"/>
      <c r="E49" s="72" t="e" cm="1">
        <f t="array" ref="E49">INDEX(Total!$F$8:$F$31,MATCH($C45&amp;$G45,Total!$E$8:$E$31&amp;Total!#REF!,0))</f>
        <v>#REF!</v>
      </c>
      <c r="F49" s="73"/>
      <c r="G49" s="59"/>
      <c r="H49" s="59"/>
      <c r="I49" s="280"/>
    </row>
    <row r="50" spans="1:9" ht="16.5" customHeight="1">
      <c r="A50" s="278"/>
      <c r="B50" s="69" t="s">
        <v>144</v>
      </c>
      <c r="C50" s="74"/>
      <c r="D50" s="71"/>
      <c r="E50" s="75" t="e" cm="1">
        <f t="array" ref="E50">INDEX(Total!$G$8:$G$31,MATCH($C45&amp;$G45,Total!$E$8:$E$31&amp;Total!#REF!,0))</f>
        <v>#REF!</v>
      </c>
      <c r="F50" s="73"/>
      <c r="G50" s="59"/>
      <c r="H50" s="59"/>
      <c r="I50" s="280"/>
    </row>
    <row r="51" spans="1:9" ht="16.5" customHeight="1">
      <c r="A51" s="278"/>
      <c r="B51" s="69" t="s">
        <v>145</v>
      </c>
      <c r="C51" s="74"/>
      <c r="D51" s="71"/>
      <c r="E51" s="76" t="e" cm="1">
        <f t="array" ref="E51">INDEX(Total!$H$8:$H$31,MATCH($C45&amp;$G45,Total!$E$8:$E$31&amp;Total!#REF!,0))</f>
        <v>#REF!</v>
      </c>
      <c r="F51" s="73"/>
      <c r="G51" s="58"/>
      <c r="H51" s="58"/>
      <c r="I51" s="280"/>
    </row>
    <row r="52" spans="1:9" ht="16.5" customHeight="1">
      <c r="A52" s="278"/>
      <c r="B52" s="69" t="s">
        <v>146</v>
      </c>
      <c r="C52" s="70"/>
      <c r="D52" s="77"/>
      <c r="E52" s="76" t="e" cm="1">
        <f t="array" ref="E52">INDEX(Total!$I$8:$I$31,MATCH($C45&amp;$G45,Total!$E$8:$E$31&amp;Total!#REF!,0))</f>
        <v>#REF!</v>
      </c>
      <c r="F52" s="78"/>
      <c r="G52" s="58"/>
      <c r="H52" s="58"/>
      <c r="I52" s="280"/>
    </row>
    <row r="53" spans="1:9" ht="16.5" customHeight="1">
      <c r="A53" s="278"/>
      <c r="B53" s="69" t="s">
        <v>147</v>
      </c>
      <c r="C53" s="70"/>
      <c r="D53" s="77"/>
      <c r="E53" s="76" t="e" cm="1">
        <f t="array" ref="E53">INDEX(Total!$J$8:$J$31,MATCH($C45&amp;$G45,Total!$E$8:$E$31&amp;Total!#REF!,0))</f>
        <v>#REF!</v>
      </c>
      <c r="F53" s="78"/>
      <c r="G53" s="58"/>
      <c r="H53" s="58"/>
      <c r="I53" s="280"/>
    </row>
    <row r="54" spans="1:9" ht="17.25" customHeight="1" thickBot="1">
      <c r="A54" s="278"/>
      <c r="B54" s="79" t="s">
        <v>148</v>
      </c>
      <c r="C54" s="80"/>
      <c r="D54" s="81"/>
      <c r="E54" s="82" t="e" cm="1">
        <f t="array" ref="E54">INDEX(Total!$L$8:$L$31,MATCH($C45&amp;$G45,Total!$E$8:$E$31&amp;Total!#REF!,0))</f>
        <v>#REF!</v>
      </c>
      <c r="F54" s="83"/>
      <c r="G54" s="84"/>
      <c r="H54" s="84"/>
      <c r="I54" s="280"/>
    </row>
    <row r="55" spans="1:9" ht="17.25" customHeight="1" thickBot="1">
      <c r="A55" s="278"/>
      <c r="B55" s="85"/>
      <c r="C55" s="85"/>
      <c r="D55" s="85"/>
      <c r="E55" s="85"/>
      <c r="F55" s="85"/>
      <c r="G55" s="85"/>
      <c r="H55" s="85"/>
      <c r="I55" s="280"/>
    </row>
    <row r="56" spans="1:9" ht="17.25" customHeight="1" thickBot="1">
      <c r="A56" s="278"/>
      <c r="B56" s="86"/>
      <c r="C56" s="87" t="s">
        <v>149</v>
      </c>
      <c r="D56" s="88"/>
      <c r="E56" s="88"/>
      <c r="F56" s="89" t="s">
        <v>150</v>
      </c>
      <c r="G56" s="89"/>
      <c r="H56" s="90"/>
      <c r="I56" s="280"/>
    </row>
    <row r="57" spans="1:9" ht="17.25" customHeight="1" thickTop="1">
      <c r="A57" s="278"/>
      <c r="B57" s="91"/>
      <c r="C57" s="64" t="s">
        <v>151</v>
      </c>
      <c r="D57" s="92"/>
      <c r="E57" s="92"/>
      <c r="F57" s="93"/>
      <c r="G57" s="94" t="e" cm="1">
        <f t="array" ref="G57">INDEX(Total!$K$8:$K$31,MATCH($C45&amp;$G45,Total!$E$8:$E$31&amp;Total!#REF!,0))</f>
        <v>#REF!</v>
      </c>
      <c r="H57" s="95"/>
      <c r="I57" s="280"/>
    </row>
    <row r="58" spans="1:9" ht="16.5" customHeight="1">
      <c r="A58" s="278"/>
      <c r="B58" s="91"/>
      <c r="C58" s="69" t="s">
        <v>152</v>
      </c>
      <c r="D58" s="96"/>
      <c r="E58" s="96"/>
      <c r="F58" s="97"/>
      <c r="G58" s="98" t="e" cm="1">
        <f t="array" ref="G58">INDEX(Total!$Q$8:$Q$31,MATCH($C45&amp;$G45,Total!$E$8:$E$31&amp;Total!#REF!,0))</f>
        <v>#REF!</v>
      </c>
      <c r="H58" s="99"/>
      <c r="I58" s="280"/>
    </row>
    <row r="59" spans="1:9" ht="16.5" customHeight="1">
      <c r="A59" s="278"/>
      <c r="B59" s="91"/>
      <c r="C59" s="69" t="s">
        <v>153</v>
      </c>
      <c r="D59" s="100"/>
      <c r="E59" s="100"/>
      <c r="F59" s="97"/>
      <c r="G59" s="98" t="e" cm="1">
        <f t="array" ref="G59">INDEX(Total!$N$8:$N$31,MATCH($C45&amp;$G45,Total!$E$8:$E$31&amp;Total!#REF!,0))</f>
        <v>#REF!</v>
      </c>
      <c r="H59" s="99"/>
      <c r="I59" s="280"/>
    </row>
    <row r="60" spans="1:9" ht="16.5" customHeight="1">
      <c r="A60" s="278"/>
      <c r="B60" s="91"/>
      <c r="C60" s="69" t="s">
        <v>154</v>
      </c>
      <c r="D60" s="101"/>
      <c r="E60" s="101"/>
      <c r="F60" s="97"/>
      <c r="G60" s="98" t="e" cm="1">
        <f t="array" ref="G60">INDEX(Total!$R$8:$R$31,MATCH($C45&amp;$G45,Total!$E$8:$E$31&amp;Total!#REF!,0))</f>
        <v>#REF!</v>
      </c>
      <c r="H60" s="99"/>
      <c r="I60" s="280"/>
    </row>
    <row r="61" spans="1:9" ht="16.5" customHeight="1">
      <c r="A61" s="278"/>
      <c r="B61" s="91"/>
      <c r="C61" s="69" t="s">
        <v>155</v>
      </c>
      <c r="D61" s="101"/>
      <c r="E61" s="101"/>
      <c r="F61" s="97"/>
      <c r="G61" s="98" t="e" cm="1">
        <f t="array" ref="G61">INDEX(Total!#REF!,MATCH($C45&amp;$G45,Total!$E$8:$E$31&amp;Total!#REF!,0))</f>
        <v>#REF!</v>
      </c>
      <c r="H61" s="99"/>
      <c r="I61" s="280"/>
    </row>
    <row r="62" spans="1:9" ht="16.5" customHeight="1">
      <c r="A62" s="278"/>
      <c r="B62" s="91"/>
      <c r="C62" s="69" t="s">
        <v>156</v>
      </c>
      <c r="D62" s="96" t="s">
        <v>157</v>
      </c>
      <c r="E62" s="96"/>
      <c r="F62" s="97"/>
      <c r="G62" s="98" t="e" cm="1">
        <f t="array" ref="G62">INDEX(Total!$S$8:$S$31,MATCH($C45&amp;$G45,Total!$E$8:$E$31&amp;Total!#REF!,0))</f>
        <v>#REF!</v>
      </c>
      <c r="H62" s="99"/>
      <c r="I62" s="280"/>
    </row>
    <row r="63" spans="1:9" ht="16.5" customHeight="1">
      <c r="A63" s="278"/>
      <c r="B63" s="91"/>
      <c r="C63" s="69" t="s">
        <v>158</v>
      </c>
      <c r="D63" s="101"/>
      <c r="E63" s="101"/>
      <c r="F63" s="97"/>
      <c r="G63" s="98" t="e" cm="1">
        <f t="array" ref="G63">INDEX(Total!#REF!,MATCH($C45&amp;$G45,Total!$E$8:$E$31&amp;Total!#REF!,0))</f>
        <v>#REF!</v>
      </c>
      <c r="H63" s="99"/>
      <c r="I63" s="280"/>
    </row>
    <row r="64" spans="1:9" ht="16.5" customHeight="1">
      <c r="A64" s="278"/>
      <c r="B64" s="91"/>
      <c r="C64" s="69" t="s">
        <v>159</v>
      </c>
      <c r="D64" s="101"/>
      <c r="E64" s="101"/>
      <c r="F64" s="97"/>
      <c r="G64" s="98" t="e" cm="1">
        <f t="array" ref="G64">INDEX(Total!$T$8:$T$31,MATCH($C45&amp;$G45,Total!$E$8:$E$31&amp;Total!#REF!,0))</f>
        <v>#REF!</v>
      </c>
      <c r="H64" s="99"/>
      <c r="I64" s="280"/>
    </row>
    <row r="65" spans="1:10" ht="17.25" customHeight="1" thickBot="1">
      <c r="A65" s="278"/>
      <c r="B65" s="91"/>
      <c r="C65" s="102" t="s">
        <v>160</v>
      </c>
      <c r="D65" s="103"/>
      <c r="E65" s="103"/>
      <c r="F65" s="104"/>
      <c r="G65" s="105" t="e" cm="1">
        <f t="array" ref="G65">-INDEX(Total!$U$8:$U$31,MATCH($C45&amp;$G45,Total!$E$8:$E$31&amp;Total!#REF!,0))</f>
        <v>#REF!</v>
      </c>
      <c r="H65" s="106"/>
      <c r="I65" s="280"/>
    </row>
    <row r="66" spans="1:10" ht="18" customHeight="1" thickTop="1" thickBot="1">
      <c r="A66" s="278"/>
      <c r="B66" s="107"/>
      <c r="C66" s="108"/>
      <c r="D66" s="109"/>
      <c r="E66" s="110" t="s">
        <v>113</v>
      </c>
      <c r="F66" s="269" t="e">
        <f>SUM($G57:$G65)</f>
        <v>#REF!</v>
      </c>
      <c r="G66" s="269"/>
      <c r="H66" s="112"/>
      <c r="I66" s="280"/>
      <c r="J66" s="113" t="e" cm="1">
        <f t="array" ref="J66">INDEX(Total!$W$8:$W$31,MATCH($C45&amp;$G45,Total!$E$8:$E$31&amp;Total!#REF!,0))</f>
        <v>#REF!</v>
      </c>
    </row>
    <row r="67" spans="1:10" ht="16.5" customHeight="1">
      <c r="A67" s="278"/>
      <c r="B67" s="56"/>
      <c r="C67" s="56"/>
      <c r="D67" s="56"/>
      <c r="E67" s="56"/>
      <c r="F67" s="270"/>
      <c r="G67" s="271"/>
      <c r="H67" s="59"/>
      <c r="I67" s="280"/>
    </row>
    <row r="68" spans="1:10" ht="16.5" customHeight="1">
      <c r="A68" s="278"/>
      <c r="B68" s="114" t="s">
        <v>161</v>
      </c>
      <c r="C68" s="56"/>
      <c r="D68" s="56"/>
      <c r="E68" s="56"/>
      <c r="F68" s="271"/>
      <c r="G68" s="271"/>
      <c r="H68" s="59"/>
      <c r="I68" s="280"/>
    </row>
    <row r="69" spans="1:10" ht="16.5" customHeight="1">
      <c r="A69" s="278"/>
      <c r="B69" s="114" t="s">
        <v>162</v>
      </c>
      <c r="C69" s="56"/>
      <c r="D69" s="272"/>
      <c r="E69" s="272"/>
      <c r="F69" s="271"/>
      <c r="G69" s="271"/>
      <c r="H69" s="59"/>
      <c r="I69" s="280"/>
    </row>
    <row r="70" spans="1:10" ht="16.5" customHeight="1">
      <c r="A70" s="278"/>
      <c r="B70" s="114" t="s">
        <v>163</v>
      </c>
      <c r="C70" s="56"/>
      <c r="D70" s="56"/>
      <c r="E70" s="56"/>
      <c r="F70" s="56"/>
      <c r="G70" s="56"/>
      <c r="H70" s="59"/>
      <c r="I70" s="280"/>
    </row>
    <row r="71" spans="1:10" ht="16.5" customHeight="1">
      <c r="A71" s="278"/>
      <c r="B71" s="115"/>
      <c r="C71" s="57"/>
      <c r="D71" s="116"/>
      <c r="E71" s="273" t="s">
        <v>164</v>
      </c>
      <c r="F71" s="273"/>
      <c r="G71" s="118"/>
      <c r="H71" s="119"/>
      <c r="I71" s="280"/>
    </row>
    <row r="72" spans="1:10" ht="16.5" customHeight="1">
      <c r="A72" s="278"/>
      <c r="B72" s="57"/>
      <c r="C72" s="57"/>
      <c r="D72" s="120"/>
      <c r="E72" s="120"/>
      <c r="F72" s="57"/>
      <c r="G72" s="57"/>
      <c r="H72" s="57"/>
      <c r="I72" s="280"/>
    </row>
    <row r="73" spans="1:10" ht="16.5" customHeight="1">
      <c r="A73" s="278"/>
      <c r="B73" s="57"/>
      <c r="C73" s="57"/>
      <c r="D73" s="120"/>
      <c r="E73" s="116"/>
      <c r="F73" s="117" t="s">
        <v>165</v>
      </c>
      <c r="G73" s="121"/>
      <c r="H73" s="122"/>
      <c r="I73" s="280"/>
    </row>
    <row r="74" spans="1:10" ht="16.5" customHeight="1"/>
    <row r="75" spans="1:10">
      <c r="A75" s="274"/>
      <c r="B75" s="274"/>
      <c r="C75" s="274"/>
      <c r="D75" s="274"/>
      <c r="E75" s="274"/>
      <c r="F75" s="274"/>
      <c r="G75" s="274"/>
      <c r="H75" s="274"/>
      <c r="I75" s="274"/>
    </row>
    <row r="76" spans="1:10" ht="27.75">
      <c r="A76" s="275" t="s">
        <v>166</v>
      </c>
      <c r="B76" s="275"/>
      <c r="C76" s="275"/>
      <c r="D76" s="275"/>
      <c r="E76" s="275"/>
      <c r="F76" s="275"/>
      <c r="G76" s="275"/>
      <c r="H76" s="275"/>
      <c r="I76" s="275"/>
    </row>
    <row r="77" spans="1:10" ht="27.75">
      <c r="A77" s="275" t="s">
        <v>167</v>
      </c>
      <c r="B77" s="275"/>
      <c r="C77" s="275"/>
      <c r="D77" s="275"/>
      <c r="E77" s="275"/>
      <c r="F77" s="275"/>
      <c r="G77" s="275"/>
      <c r="H77" s="275"/>
      <c r="I77" s="275"/>
    </row>
    <row r="78" spans="1:10">
      <c r="A78" s="276" t="s">
        <v>168</v>
      </c>
      <c r="B78" s="276"/>
      <c r="C78" s="276"/>
      <c r="D78" s="276"/>
      <c r="E78" s="276"/>
      <c r="F78" s="276"/>
      <c r="G78" s="276"/>
      <c r="H78" s="276"/>
      <c r="I78" s="276"/>
    </row>
    <row r="79" spans="1:10">
      <c r="A79" s="277"/>
      <c r="B79" s="277"/>
      <c r="C79" s="277"/>
      <c r="D79" s="277"/>
      <c r="E79" s="277"/>
      <c r="F79" s="277"/>
      <c r="G79" s="277"/>
      <c r="H79" s="277"/>
      <c r="I79" s="277"/>
    </row>
    <row r="80" spans="1:10" ht="21" thickBot="1">
      <c r="A80" s="278"/>
      <c r="B80" s="279" t="str">
        <f>Total!$A$2</f>
        <v>2026 Jun Century Field Promoter Salary Summary</v>
      </c>
      <c r="C80" s="279"/>
      <c r="D80" s="279"/>
      <c r="E80" s="279"/>
      <c r="F80" s="279"/>
      <c r="G80" s="279"/>
      <c r="H80" s="279"/>
      <c r="I80" s="280"/>
    </row>
    <row r="81" spans="1:9" ht="17.25" customHeight="1" thickTop="1">
      <c r="A81" s="278"/>
      <c r="B81" s="281"/>
      <c r="C81" s="281"/>
      <c r="D81" s="281"/>
      <c r="E81" s="281"/>
      <c r="F81" s="281"/>
      <c r="G81" s="281"/>
      <c r="H81" s="51"/>
      <c r="I81" s="280"/>
    </row>
    <row r="82" spans="1:9" ht="16.5" customHeight="1">
      <c r="A82" s="278"/>
      <c r="B82" s="52" t="s">
        <v>137</v>
      </c>
      <c r="C82" s="53" t="str">
        <f>Total!$E$10</f>
        <v>Lo Chun Wah</v>
      </c>
      <c r="D82" s="53" t="e" cm="1">
        <f t="array" ref="D82">INDEX(Total!$D$8:$D$31,MATCH($C82&amp;$G82,Total!$E$8:$E$31&amp;Total!#REF!,0))</f>
        <v>#REF!</v>
      </c>
      <c r="E82" s="54"/>
      <c r="F82" s="55" t="s">
        <v>138</v>
      </c>
      <c r="G82" s="53" t="e">
        <f>Total!#REF!</f>
        <v>#REF!</v>
      </c>
      <c r="H82" s="53"/>
      <c r="I82" s="280"/>
    </row>
    <row r="83" spans="1:9" ht="17.25" customHeight="1" thickBot="1">
      <c r="A83" s="278"/>
      <c r="B83" s="56"/>
      <c r="C83" s="56"/>
      <c r="D83" s="56"/>
      <c r="E83" s="57"/>
      <c r="F83" s="58"/>
      <c r="G83" s="59"/>
      <c r="H83" s="59"/>
      <c r="I83" s="280"/>
    </row>
    <row r="84" spans="1:9" ht="17.25" customHeight="1" thickBot="1">
      <c r="A84" s="278"/>
      <c r="B84" s="60" t="s">
        <v>139</v>
      </c>
      <c r="C84" s="61"/>
      <c r="D84" s="62"/>
      <c r="E84" s="61" t="s">
        <v>140</v>
      </c>
      <c r="F84" s="63"/>
      <c r="G84" s="59"/>
      <c r="H84" s="59"/>
      <c r="I84" s="280"/>
    </row>
    <row r="85" spans="1:9" ht="17.25" customHeight="1" thickTop="1">
      <c r="A85" s="278"/>
      <c r="B85" s="64" t="s">
        <v>141</v>
      </c>
      <c r="C85" s="65"/>
      <c r="D85" s="66"/>
      <c r="E85" s="67" t="s">
        <v>142</v>
      </c>
      <c r="F85" s="68"/>
      <c r="G85" s="59"/>
      <c r="H85" s="59"/>
      <c r="I85" s="280"/>
    </row>
    <row r="86" spans="1:9" ht="16.5" customHeight="1">
      <c r="A86" s="278"/>
      <c r="B86" s="69" t="s">
        <v>143</v>
      </c>
      <c r="C86" s="70"/>
      <c r="D86" s="71"/>
      <c r="E86" s="72" t="e" cm="1">
        <f t="array" ref="E86">INDEX(Total!$F$8:$F$31,MATCH($C82&amp;$G82,Total!$E$8:$E$31&amp;Total!#REF!,0))</f>
        <v>#REF!</v>
      </c>
      <c r="F86" s="73"/>
      <c r="G86" s="59"/>
      <c r="H86" s="59"/>
      <c r="I86" s="280"/>
    </row>
    <row r="87" spans="1:9" ht="16.5" customHeight="1">
      <c r="A87" s="278"/>
      <c r="B87" s="69" t="s">
        <v>144</v>
      </c>
      <c r="C87" s="74"/>
      <c r="D87" s="71"/>
      <c r="E87" s="75" t="e" cm="1">
        <f t="array" ref="E87">INDEX(Total!$G$8:$G$31,MATCH($C82&amp;$G82,Total!$E$8:$E$31&amp;Total!#REF!,0))</f>
        <v>#REF!</v>
      </c>
      <c r="F87" s="73"/>
      <c r="G87" s="59"/>
      <c r="H87" s="59"/>
      <c r="I87" s="280"/>
    </row>
    <row r="88" spans="1:9" ht="16.5" customHeight="1">
      <c r="A88" s="278"/>
      <c r="B88" s="69" t="s">
        <v>145</v>
      </c>
      <c r="C88" s="74"/>
      <c r="D88" s="71"/>
      <c r="E88" s="76" t="e" cm="1">
        <f t="array" ref="E88">INDEX(Total!$H$8:$H$31,MATCH($C82&amp;$G82,Total!$E$8:$E$31&amp;Total!#REF!,0))</f>
        <v>#REF!</v>
      </c>
      <c r="F88" s="73"/>
      <c r="G88" s="58"/>
      <c r="H88" s="58"/>
      <c r="I88" s="280"/>
    </row>
    <row r="89" spans="1:9" ht="16.5" customHeight="1">
      <c r="A89" s="278"/>
      <c r="B89" s="69" t="s">
        <v>146</v>
      </c>
      <c r="C89" s="70"/>
      <c r="D89" s="77"/>
      <c r="E89" s="76" t="e" cm="1">
        <f t="array" ref="E89">INDEX(Total!$I$8:$I$31,MATCH($C82&amp;$G82,Total!$E$8:$E$31&amp;Total!#REF!,0))</f>
        <v>#REF!</v>
      </c>
      <c r="F89" s="78"/>
      <c r="G89" s="58"/>
      <c r="H89" s="58"/>
      <c r="I89" s="280"/>
    </row>
    <row r="90" spans="1:9" ht="16.5" customHeight="1">
      <c r="A90" s="278"/>
      <c r="B90" s="69" t="s">
        <v>147</v>
      </c>
      <c r="C90" s="70"/>
      <c r="D90" s="77"/>
      <c r="E90" s="76" t="e" cm="1">
        <f t="array" ref="E90">INDEX(Total!$J$8:$J$31,MATCH($C82&amp;$G82,Total!$E$8:$E$31&amp;Total!#REF!,0))</f>
        <v>#REF!</v>
      </c>
      <c r="F90" s="78"/>
      <c r="G90" s="58"/>
      <c r="H90" s="58"/>
      <c r="I90" s="280"/>
    </row>
    <row r="91" spans="1:9" ht="17.25" customHeight="1" thickBot="1">
      <c r="A91" s="278"/>
      <c r="B91" s="79" t="s">
        <v>148</v>
      </c>
      <c r="C91" s="80"/>
      <c r="D91" s="81"/>
      <c r="E91" s="82" t="e" cm="1">
        <f t="array" ref="E91">INDEX(Total!$L$8:$L$31,MATCH($C82&amp;$G82,Total!$E$8:$E$31&amp;Total!#REF!,0))</f>
        <v>#REF!</v>
      </c>
      <c r="F91" s="83"/>
      <c r="G91" s="84"/>
      <c r="H91" s="84"/>
      <c r="I91" s="280"/>
    </row>
    <row r="92" spans="1:9" ht="17.25" customHeight="1" thickBot="1">
      <c r="A92" s="278"/>
      <c r="B92" s="85"/>
      <c r="C92" s="85"/>
      <c r="D92" s="85"/>
      <c r="E92" s="85"/>
      <c r="F92" s="85"/>
      <c r="G92" s="85"/>
      <c r="H92" s="85"/>
      <c r="I92" s="280"/>
    </row>
    <row r="93" spans="1:9" ht="17.25" customHeight="1" thickBot="1">
      <c r="A93" s="278"/>
      <c r="B93" s="86"/>
      <c r="C93" s="87" t="s">
        <v>149</v>
      </c>
      <c r="D93" s="88"/>
      <c r="E93" s="88"/>
      <c r="F93" s="89" t="s">
        <v>150</v>
      </c>
      <c r="G93" s="89"/>
      <c r="H93" s="90"/>
      <c r="I93" s="280"/>
    </row>
    <row r="94" spans="1:9" ht="17.25" customHeight="1" thickTop="1">
      <c r="A94" s="278"/>
      <c r="B94" s="91"/>
      <c r="C94" s="64" t="s">
        <v>151</v>
      </c>
      <c r="D94" s="92"/>
      <c r="E94" s="92"/>
      <c r="F94" s="93"/>
      <c r="G94" s="94" t="e" cm="1">
        <f t="array" ref="G94">INDEX(Total!$K$8:$K$31,MATCH($C82&amp;$G82,Total!$E$8:$E$31&amp;Total!#REF!,0))</f>
        <v>#REF!</v>
      </c>
      <c r="H94" s="95"/>
      <c r="I94" s="280"/>
    </row>
    <row r="95" spans="1:9" ht="16.5" customHeight="1">
      <c r="A95" s="278"/>
      <c r="B95" s="91"/>
      <c r="C95" s="69" t="s">
        <v>152</v>
      </c>
      <c r="D95" s="96"/>
      <c r="E95" s="96"/>
      <c r="F95" s="97"/>
      <c r="G95" s="98" t="e" cm="1">
        <f t="array" ref="G95">INDEX(Total!$Q$8:$Q$31,MATCH($C82&amp;$G82,Total!$E$8:$E$31&amp;Total!#REF!,0))</f>
        <v>#REF!</v>
      </c>
      <c r="H95" s="99"/>
      <c r="I95" s="280"/>
    </row>
    <row r="96" spans="1:9" ht="16.5" customHeight="1">
      <c r="A96" s="278"/>
      <c r="B96" s="91"/>
      <c r="C96" s="69" t="s">
        <v>153</v>
      </c>
      <c r="D96" s="100"/>
      <c r="E96" s="100"/>
      <c r="F96" s="97"/>
      <c r="G96" s="98" t="e" cm="1">
        <f t="array" ref="G96">INDEX(Total!$N$8:$N$31,MATCH($C82&amp;$G82,Total!$E$8:$E$31&amp;Total!#REF!,0))</f>
        <v>#REF!</v>
      </c>
      <c r="H96" s="99"/>
      <c r="I96" s="280"/>
    </row>
    <row r="97" spans="1:10" ht="16.5" customHeight="1">
      <c r="A97" s="278"/>
      <c r="B97" s="91"/>
      <c r="C97" s="69" t="s">
        <v>154</v>
      </c>
      <c r="D97" s="101"/>
      <c r="E97" s="101"/>
      <c r="F97" s="97"/>
      <c r="G97" s="98" t="e" cm="1">
        <f t="array" ref="G97">INDEX(Total!$R$8:$R$31,MATCH($C82&amp;$G82,Total!$E$8:$E$31&amp;Total!#REF!,0))</f>
        <v>#REF!</v>
      </c>
      <c r="H97" s="99"/>
      <c r="I97" s="280"/>
    </row>
    <row r="98" spans="1:10" ht="16.5" customHeight="1">
      <c r="A98" s="278"/>
      <c r="B98" s="91"/>
      <c r="C98" s="69" t="s">
        <v>155</v>
      </c>
      <c r="D98" s="101"/>
      <c r="E98" s="101"/>
      <c r="F98" s="97"/>
      <c r="G98" s="98" t="e" cm="1">
        <f t="array" ref="G98">INDEX(Total!#REF!,MATCH($C82&amp;$G82,Total!$E$8:$E$31&amp;Total!#REF!,0))</f>
        <v>#REF!</v>
      </c>
      <c r="H98" s="99"/>
      <c r="I98" s="280"/>
    </row>
    <row r="99" spans="1:10" ht="16.5" customHeight="1">
      <c r="A99" s="278"/>
      <c r="B99" s="91"/>
      <c r="C99" s="69" t="s">
        <v>156</v>
      </c>
      <c r="D99" s="96" t="s">
        <v>157</v>
      </c>
      <c r="E99" s="96"/>
      <c r="F99" s="97"/>
      <c r="G99" s="98" t="e" cm="1">
        <f t="array" ref="G99">INDEX(Total!$S$8:$S$31,MATCH($C82&amp;$G82,Total!$E$8:$E$31&amp;Total!#REF!,0))</f>
        <v>#REF!</v>
      </c>
      <c r="H99" s="99"/>
      <c r="I99" s="280"/>
    </row>
    <row r="100" spans="1:10" ht="16.5" customHeight="1">
      <c r="A100" s="278"/>
      <c r="B100" s="91"/>
      <c r="C100" s="69" t="s">
        <v>158</v>
      </c>
      <c r="D100" s="101"/>
      <c r="E100" s="101"/>
      <c r="F100" s="97"/>
      <c r="G100" s="98" t="e" cm="1">
        <f t="array" ref="G100">INDEX(Total!#REF!,MATCH($C82&amp;$G82,Total!$E$8:$E$31&amp;Total!#REF!,0))</f>
        <v>#REF!</v>
      </c>
      <c r="H100" s="99"/>
      <c r="I100" s="280"/>
    </row>
    <row r="101" spans="1:10" ht="16.5" customHeight="1">
      <c r="A101" s="278"/>
      <c r="B101" s="91"/>
      <c r="C101" s="69" t="s">
        <v>159</v>
      </c>
      <c r="D101" s="101"/>
      <c r="E101" s="101"/>
      <c r="F101" s="97"/>
      <c r="G101" s="98" t="e" cm="1">
        <f t="array" ref="G101">INDEX(Total!$T$8:$T$31,MATCH($C82&amp;$G82,Total!$E$8:$E$31&amp;Total!#REF!,0))</f>
        <v>#REF!</v>
      </c>
      <c r="H101" s="99"/>
      <c r="I101" s="280"/>
    </row>
    <row r="102" spans="1:10" ht="17.25" customHeight="1" thickBot="1">
      <c r="A102" s="278"/>
      <c r="B102" s="91"/>
      <c r="C102" s="102" t="s">
        <v>160</v>
      </c>
      <c r="D102" s="103"/>
      <c r="E102" s="103"/>
      <c r="F102" s="104"/>
      <c r="G102" s="105" t="e" cm="1">
        <f t="array" ref="G102">-INDEX(Total!$U$8:$U$31,MATCH($C82&amp;$G82,Total!$E$8:$E$31&amp;Total!#REF!,0))</f>
        <v>#REF!</v>
      </c>
      <c r="H102" s="106"/>
      <c r="I102" s="280"/>
    </row>
    <row r="103" spans="1:10" ht="18" customHeight="1" thickTop="1" thickBot="1">
      <c r="A103" s="278"/>
      <c r="B103" s="107"/>
      <c r="C103" s="108"/>
      <c r="D103" s="109"/>
      <c r="E103" s="110" t="s">
        <v>113</v>
      </c>
      <c r="F103" s="269" t="e">
        <f>SUM($G94:$G102)</f>
        <v>#REF!</v>
      </c>
      <c r="G103" s="269"/>
      <c r="H103" s="112"/>
      <c r="I103" s="280"/>
      <c r="J103" s="113" t="e" cm="1">
        <f t="array" ref="J103">INDEX(Total!$W$8:$W$31,MATCH($C82&amp;$G82,Total!$E$8:$E$31&amp;Total!#REF!,0))</f>
        <v>#REF!</v>
      </c>
    </row>
    <row r="104" spans="1:10" ht="16.5" customHeight="1">
      <c r="A104" s="278"/>
      <c r="B104" s="56"/>
      <c r="C104" s="56"/>
      <c r="D104" s="56"/>
      <c r="E104" s="56"/>
      <c r="F104" s="270"/>
      <c r="G104" s="271"/>
      <c r="H104" s="59"/>
      <c r="I104" s="280"/>
    </row>
    <row r="105" spans="1:10" ht="16.5" customHeight="1">
      <c r="A105" s="278"/>
      <c r="B105" s="114" t="s">
        <v>161</v>
      </c>
      <c r="C105" s="56"/>
      <c r="D105" s="56"/>
      <c r="E105" s="56"/>
      <c r="F105" s="271"/>
      <c r="G105" s="271"/>
      <c r="H105" s="59"/>
      <c r="I105" s="280"/>
    </row>
    <row r="106" spans="1:10" ht="16.5" customHeight="1">
      <c r="A106" s="278"/>
      <c r="B106" s="114" t="s">
        <v>162</v>
      </c>
      <c r="C106" s="56"/>
      <c r="D106" s="272"/>
      <c r="E106" s="272"/>
      <c r="F106" s="271"/>
      <c r="G106" s="271"/>
      <c r="H106" s="59"/>
      <c r="I106" s="280"/>
    </row>
    <row r="107" spans="1:10" ht="16.5" customHeight="1">
      <c r="A107" s="278"/>
      <c r="B107" s="114" t="s">
        <v>163</v>
      </c>
      <c r="C107" s="56"/>
      <c r="D107" s="56"/>
      <c r="E107" s="56"/>
      <c r="F107" s="56"/>
      <c r="G107" s="56"/>
      <c r="H107" s="59"/>
      <c r="I107" s="280"/>
    </row>
    <row r="108" spans="1:10" ht="16.5" customHeight="1">
      <c r="A108" s="278"/>
      <c r="B108" s="115"/>
      <c r="C108" s="57"/>
      <c r="D108" s="116"/>
      <c r="E108" s="273" t="s">
        <v>164</v>
      </c>
      <c r="F108" s="273"/>
      <c r="G108" s="118"/>
      <c r="H108" s="119"/>
      <c r="I108" s="280"/>
    </row>
    <row r="109" spans="1:10" ht="16.5" customHeight="1">
      <c r="A109" s="278"/>
      <c r="B109" s="57"/>
      <c r="C109" s="57"/>
      <c r="D109" s="120"/>
      <c r="E109" s="120"/>
      <c r="F109" s="57"/>
      <c r="G109" s="57"/>
      <c r="H109" s="57"/>
      <c r="I109" s="280"/>
    </row>
    <row r="110" spans="1:10" ht="16.5" customHeight="1">
      <c r="A110" s="278"/>
      <c r="B110" s="57"/>
      <c r="C110" s="57"/>
      <c r="D110" s="120"/>
      <c r="E110" s="116"/>
      <c r="F110" s="117" t="s">
        <v>165</v>
      </c>
      <c r="G110" s="121"/>
      <c r="H110" s="122"/>
      <c r="I110" s="280"/>
    </row>
    <row r="111" spans="1:10" ht="16.5" customHeight="1"/>
    <row r="112" spans="1:10">
      <c r="A112" s="274"/>
      <c r="B112" s="274"/>
      <c r="C112" s="274"/>
      <c r="D112" s="274"/>
      <c r="E112" s="274"/>
      <c r="F112" s="274"/>
      <c r="G112" s="274"/>
      <c r="H112" s="274"/>
      <c r="I112" s="274"/>
    </row>
    <row r="113" spans="1:9" ht="27.75">
      <c r="A113" s="275" t="s">
        <v>166</v>
      </c>
      <c r="B113" s="275"/>
      <c r="C113" s="275"/>
      <c r="D113" s="275"/>
      <c r="E113" s="275"/>
      <c r="F113" s="275"/>
      <c r="G113" s="275"/>
      <c r="H113" s="275"/>
      <c r="I113" s="275"/>
    </row>
    <row r="114" spans="1:9" ht="27.75">
      <c r="A114" s="275" t="s">
        <v>167</v>
      </c>
      <c r="B114" s="275"/>
      <c r="C114" s="275"/>
      <c r="D114" s="275"/>
      <c r="E114" s="275"/>
      <c r="F114" s="275"/>
      <c r="G114" s="275"/>
      <c r="H114" s="275"/>
      <c r="I114" s="275"/>
    </row>
    <row r="115" spans="1:9">
      <c r="A115" s="276" t="s">
        <v>168</v>
      </c>
      <c r="B115" s="276"/>
      <c r="C115" s="276"/>
      <c r="D115" s="276"/>
      <c r="E115" s="276"/>
      <c r="F115" s="276"/>
      <c r="G115" s="276"/>
      <c r="H115" s="276"/>
      <c r="I115" s="276"/>
    </row>
    <row r="116" spans="1:9">
      <c r="A116" s="277"/>
      <c r="B116" s="277"/>
      <c r="C116" s="277"/>
      <c r="D116" s="277"/>
      <c r="E116" s="277"/>
      <c r="F116" s="277"/>
      <c r="G116" s="277"/>
      <c r="H116" s="277"/>
      <c r="I116" s="277"/>
    </row>
    <row r="117" spans="1:9" ht="21" thickBot="1">
      <c r="A117" s="278"/>
      <c r="B117" s="279" t="str">
        <f>Total!$A$2</f>
        <v>2026 Jun Century Field Promoter Salary Summary</v>
      </c>
      <c r="C117" s="279"/>
      <c r="D117" s="279"/>
      <c r="E117" s="279"/>
      <c r="F117" s="279"/>
      <c r="G117" s="279"/>
      <c r="H117" s="279"/>
      <c r="I117" s="280"/>
    </row>
    <row r="118" spans="1:9" ht="17.25" customHeight="1" thickTop="1">
      <c r="A118" s="278"/>
      <c r="B118" s="281"/>
      <c r="C118" s="281"/>
      <c r="D118" s="281"/>
      <c r="E118" s="281"/>
      <c r="F118" s="281"/>
      <c r="G118" s="281"/>
      <c r="H118" s="51"/>
      <c r="I118" s="280"/>
    </row>
    <row r="119" spans="1:9" ht="16.5" customHeight="1">
      <c r="A119" s="278"/>
      <c r="B119" s="52" t="s">
        <v>137</v>
      </c>
      <c r="C119" s="53" t="str">
        <f>Total!$E$11</f>
        <v>Lok Yin Ling</v>
      </c>
      <c r="D119" s="53" t="e" cm="1">
        <f t="array" ref="D119">INDEX(Total!$D$8:$D$31,MATCH($C119&amp;$G119,Total!$E$8:$E$31&amp;Total!#REF!,0))</f>
        <v>#REF!</v>
      </c>
      <c r="E119" s="54"/>
      <c r="F119" s="55" t="s">
        <v>138</v>
      </c>
      <c r="G119" s="53" t="e">
        <f>Total!#REF!</f>
        <v>#REF!</v>
      </c>
      <c r="H119" s="53"/>
      <c r="I119" s="280"/>
    </row>
    <row r="120" spans="1:9" ht="17.25" customHeight="1" thickBot="1">
      <c r="A120" s="278"/>
      <c r="B120" s="56"/>
      <c r="C120" s="56"/>
      <c r="D120" s="56"/>
      <c r="E120" s="57"/>
      <c r="F120" s="58"/>
      <c r="G120" s="59"/>
      <c r="H120" s="59"/>
      <c r="I120" s="280"/>
    </row>
    <row r="121" spans="1:9" ht="17.25" customHeight="1" thickBot="1">
      <c r="A121" s="278"/>
      <c r="B121" s="60" t="s">
        <v>139</v>
      </c>
      <c r="C121" s="61"/>
      <c r="D121" s="62"/>
      <c r="E121" s="61" t="s">
        <v>140</v>
      </c>
      <c r="F121" s="63"/>
      <c r="G121" s="59"/>
      <c r="H121" s="59"/>
      <c r="I121" s="280"/>
    </row>
    <row r="122" spans="1:9" ht="17.25" customHeight="1" thickTop="1">
      <c r="A122" s="278"/>
      <c r="B122" s="64" t="s">
        <v>141</v>
      </c>
      <c r="C122" s="65"/>
      <c r="D122" s="66"/>
      <c r="E122" s="67" t="s">
        <v>142</v>
      </c>
      <c r="F122" s="68"/>
      <c r="G122" s="59"/>
      <c r="H122" s="59"/>
      <c r="I122" s="280"/>
    </row>
    <row r="123" spans="1:9" ht="16.5" customHeight="1">
      <c r="A123" s="278"/>
      <c r="B123" s="69" t="s">
        <v>143</v>
      </c>
      <c r="C123" s="70"/>
      <c r="D123" s="71"/>
      <c r="E123" s="72" t="e" cm="1">
        <f t="array" ref="E123">INDEX(Total!$F$8:$F$31,MATCH($C119&amp;$G119,Total!$E$8:$E$31&amp;Total!#REF!,0))</f>
        <v>#REF!</v>
      </c>
      <c r="F123" s="73"/>
      <c r="G123" s="59"/>
      <c r="H123" s="59"/>
      <c r="I123" s="280"/>
    </row>
    <row r="124" spans="1:9" ht="16.5" customHeight="1">
      <c r="A124" s="278"/>
      <c r="B124" s="69" t="s">
        <v>144</v>
      </c>
      <c r="C124" s="74"/>
      <c r="D124" s="71"/>
      <c r="E124" s="75" t="e" cm="1">
        <f t="array" ref="E124">INDEX(Total!$G$8:$G$31,MATCH($C119&amp;$G119,Total!$E$8:$E$31&amp;Total!#REF!,0))</f>
        <v>#REF!</v>
      </c>
      <c r="F124" s="73"/>
      <c r="G124" s="59"/>
      <c r="H124" s="59"/>
      <c r="I124" s="280"/>
    </row>
    <row r="125" spans="1:9" ht="16.5" customHeight="1">
      <c r="A125" s="278"/>
      <c r="B125" s="69" t="s">
        <v>145</v>
      </c>
      <c r="C125" s="74"/>
      <c r="D125" s="71"/>
      <c r="E125" s="76" t="e" cm="1">
        <f t="array" ref="E125">INDEX(Total!$H$8:$H$31,MATCH($C119&amp;$G119,Total!$E$8:$E$31&amp;Total!#REF!,0))</f>
        <v>#REF!</v>
      </c>
      <c r="F125" s="73"/>
      <c r="G125" s="58"/>
      <c r="H125" s="58"/>
      <c r="I125" s="280"/>
    </row>
    <row r="126" spans="1:9" ht="16.5" customHeight="1">
      <c r="A126" s="278"/>
      <c r="B126" s="69" t="s">
        <v>146</v>
      </c>
      <c r="C126" s="70"/>
      <c r="D126" s="77"/>
      <c r="E126" s="76" t="e" cm="1">
        <f t="array" ref="E126">INDEX(Total!$I$8:$I$31,MATCH($C119&amp;$G119,Total!$E$8:$E$31&amp;Total!#REF!,0))</f>
        <v>#REF!</v>
      </c>
      <c r="F126" s="78"/>
      <c r="G126" s="58"/>
      <c r="H126" s="58"/>
      <c r="I126" s="280"/>
    </row>
    <row r="127" spans="1:9" ht="16.5" customHeight="1">
      <c r="A127" s="278"/>
      <c r="B127" s="69" t="s">
        <v>147</v>
      </c>
      <c r="C127" s="70"/>
      <c r="D127" s="77"/>
      <c r="E127" s="76" t="e" cm="1">
        <f t="array" ref="E127">INDEX(Total!$J$8:$J$31,MATCH($C119&amp;$G119,Total!$E$8:$E$31&amp;Total!#REF!,0))</f>
        <v>#REF!</v>
      </c>
      <c r="F127" s="78"/>
      <c r="G127" s="58"/>
      <c r="H127" s="58"/>
      <c r="I127" s="280"/>
    </row>
    <row r="128" spans="1:9" ht="17.25" customHeight="1" thickBot="1">
      <c r="A128" s="278"/>
      <c r="B128" s="79" t="s">
        <v>148</v>
      </c>
      <c r="C128" s="80"/>
      <c r="D128" s="81"/>
      <c r="E128" s="82" t="e" cm="1">
        <f t="array" ref="E128">INDEX(Total!$L$8:$L$31,MATCH($C119&amp;$G119,Total!$E$8:$E$31&amp;Total!#REF!,0))</f>
        <v>#REF!</v>
      </c>
      <c r="F128" s="83"/>
      <c r="G128" s="84"/>
      <c r="H128" s="84"/>
      <c r="I128" s="280"/>
    </row>
    <row r="129" spans="1:10" ht="17.25" customHeight="1" thickBot="1">
      <c r="A129" s="278"/>
      <c r="B129" s="85"/>
      <c r="C129" s="85"/>
      <c r="D129" s="85"/>
      <c r="E129" s="85"/>
      <c r="F129" s="85"/>
      <c r="G129" s="85"/>
      <c r="H129" s="85"/>
      <c r="I129" s="280"/>
    </row>
    <row r="130" spans="1:10" ht="17.25" customHeight="1" thickBot="1">
      <c r="A130" s="278"/>
      <c r="B130" s="86"/>
      <c r="C130" s="87" t="s">
        <v>149</v>
      </c>
      <c r="D130" s="88"/>
      <c r="E130" s="88"/>
      <c r="F130" s="89" t="s">
        <v>150</v>
      </c>
      <c r="G130" s="89"/>
      <c r="H130" s="90"/>
      <c r="I130" s="280"/>
    </row>
    <row r="131" spans="1:10" ht="17.25" customHeight="1" thickTop="1">
      <c r="A131" s="278"/>
      <c r="B131" s="91"/>
      <c r="C131" s="64" t="s">
        <v>151</v>
      </c>
      <c r="D131" s="92"/>
      <c r="E131" s="92"/>
      <c r="F131" s="93"/>
      <c r="G131" s="94" t="e" cm="1">
        <f t="array" ref="G131">INDEX(Total!$K$8:$K$31,MATCH($C119&amp;$G119,Total!$E$8:$E$31&amp;Total!#REF!,0))</f>
        <v>#REF!</v>
      </c>
      <c r="H131" s="95"/>
      <c r="I131" s="280"/>
    </row>
    <row r="132" spans="1:10" ht="16.5" customHeight="1">
      <c r="A132" s="278"/>
      <c r="B132" s="91"/>
      <c r="C132" s="69" t="s">
        <v>152</v>
      </c>
      <c r="D132" s="96"/>
      <c r="E132" s="96"/>
      <c r="F132" s="97"/>
      <c r="G132" s="98" t="e" cm="1">
        <f t="array" ref="G132">INDEX(Total!$Q$8:$Q$31,MATCH($C119&amp;$G119,Total!$E$8:$E$31&amp;Total!#REF!,0))</f>
        <v>#REF!</v>
      </c>
      <c r="H132" s="99"/>
      <c r="I132" s="280"/>
    </row>
    <row r="133" spans="1:10" ht="16.5" customHeight="1">
      <c r="A133" s="278"/>
      <c r="B133" s="91"/>
      <c r="C133" s="69" t="s">
        <v>153</v>
      </c>
      <c r="D133" s="100"/>
      <c r="E133" s="100"/>
      <c r="F133" s="97"/>
      <c r="G133" s="98" t="e" cm="1">
        <f t="array" ref="G133">INDEX(Total!$N$8:$N$31,MATCH($C119&amp;$G119,Total!$E$8:$E$31&amp;Total!#REF!,0))</f>
        <v>#REF!</v>
      </c>
      <c r="H133" s="99"/>
      <c r="I133" s="280"/>
    </row>
    <row r="134" spans="1:10" ht="16.5" customHeight="1">
      <c r="A134" s="278"/>
      <c r="B134" s="91"/>
      <c r="C134" s="69" t="s">
        <v>154</v>
      </c>
      <c r="D134" s="101"/>
      <c r="E134" s="101"/>
      <c r="F134" s="97"/>
      <c r="G134" s="98" t="e" cm="1">
        <f t="array" ref="G134">INDEX(Total!$R$8:$R$31,MATCH($C119&amp;$G119,Total!$E$8:$E$31&amp;Total!#REF!,0))</f>
        <v>#REF!</v>
      </c>
      <c r="H134" s="99"/>
      <c r="I134" s="280"/>
    </row>
    <row r="135" spans="1:10" ht="16.5" customHeight="1">
      <c r="A135" s="278"/>
      <c r="B135" s="91"/>
      <c r="C135" s="69" t="s">
        <v>155</v>
      </c>
      <c r="D135" s="101"/>
      <c r="E135" s="101"/>
      <c r="F135" s="97"/>
      <c r="G135" s="98" t="e" cm="1">
        <f t="array" ref="G135">INDEX(Total!#REF!,MATCH($C119&amp;$G119,Total!$E$8:$E$31&amp;Total!#REF!,0))</f>
        <v>#REF!</v>
      </c>
      <c r="H135" s="99"/>
      <c r="I135" s="280"/>
    </row>
    <row r="136" spans="1:10" ht="16.5" customHeight="1">
      <c r="A136" s="278"/>
      <c r="B136" s="91"/>
      <c r="C136" s="69" t="s">
        <v>156</v>
      </c>
      <c r="D136" s="96" t="s">
        <v>157</v>
      </c>
      <c r="E136" s="96"/>
      <c r="F136" s="97"/>
      <c r="G136" s="98" t="e" cm="1">
        <f t="array" ref="G136">INDEX(Total!$S$8:$S$31,MATCH($C119&amp;$G119,Total!$E$8:$E$31&amp;Total!#REF!,0))</f>
        <v>#REF!</v>
      </c>
      <c r="H136" s="99"/>
      <c r="I136" s="280"/>
    </row>
    <row r="137" spans="1:10" ht="16.5" customHeight="1">
      <c r="A137" s="278"/>
      <c r="B137" s="91"/>
      <c r="C137" s="69" t="s">
        <v>158</v>
      </c>
      <c r="D137" s="101"/>
      <c r="E137" s="101"/>
      <c r="F137" s="97"/>
      <c r="G137" s="98" t="e" cm="1">
        <f t="array" ref="G137">INDEX(Total!#REF!,MATCH($C119&amp;$G119,Total!$E$8:$E$31&amp;Total!#REF!,0))</f>
        <v>#REF!</v>
      </c>
      <c r="H137" s="99"/>
      <c r="I137" s="280"/>
    </row>
    <row r="138" spans="1:10" ht="16.5" customHeight="1">
      <c r="A138" s="278"/>
      <c r="B138" s="91"/>
      <c r="C138" s="69" t="s">
        <v>159</v>
      </c>
      <c r="D138" s="101"/>
      <c r="E138" s="101"/>
      <c r="F138" s="97"/>
      <c r="G138" s="98" t="e" cm="1">
        <f t="array" ref="G138">INDEX(Total!$T$8:$T$31,MATCH($C119&amp;$G119,Total!$E$8:$E$31&amp;Total!#REF!,0))</f>
        <v>#REF!</v>
      </c>
      <c r="H138" s="99"/>
      <c r="I138" s="280"/>
    </row>
    <row r="139" spans="1:10" ht="17.25" customHeight="1" thickBot="1">
      <c r="A139" s="278"/>
      <c r="B139" s="91"/>
      <c r="C139" s="102" t="s">
        <v>160</v>
      </c>
      <c r="D139" s="103"/>
      <c r="E139" s="103"/>
      <c r="F139" s="104"/>
      <c r="G139" s="105" t="e" cm="1">
        <f t="array" ref="G139">-INDEX(Total!$U$8:$U$31,MATCH($C119&amp;$G119,Total!$E$8:$E$31&amp;Total!#REF!,0))</f>
        <v>#REF!</v>
      </c>
      <c r="H139" s="106"/>
      <c r="I139" s="280"/>
    </row>
    <row r="140" spans="1:10" ht="18" customHeight="1" thickTop="1" thickBot="1">
      <c r="A140" s="278"/>
      <c r="B140" s="107"/>
      <c r="C140" s="108"/>
      <c r="D140" s="109"/>
      <c r="E140" s="110" t="s">
        <v>113</v>
      </c>
      <c r="F140" s="269" t="e">
        <f>SUM($G131:$G139)</f>
        <v>#REF!</v>
      </c>
      <c r="G140" s="269"/>
      <c r="H140" s="112"/>
      <c r="I140" s="280"/>
      <c r="J140" s="113" t="e" cm="1">
        <f t="array" ref="J140">INDEX(Total!$W$8:$W$31,MATCH($C119&amp;$G119,Total!$E$8:$E$31&amp;Total!#REF!,0))</f>
        <v>#REF!</v>
      </c>
    </row>
    <row r="141" spans="1:10" ht="16.5" customHeight="1">
      <c r="A141" s="278"/>
      <c r="B141" s="56"/>
      <c r="C141" s="56"/>
      <c r="D141" s="56"/>
      <c r="E141" s="56"/>
      <c r="F141" s="270"/>
      <c r="G141" s="271"/>
      <c r="H141" s="59"/>
      <c r="I141" s="280"/>
    </row>
    <row r="142" spans="1:10" ht="16.5" customHeight="1">
      <c r="A142" s="278"/>
      <c r="B142" s="114" t="s">
        <v>161</v>
      </c>
      <c r="C142" s="56"/>
      <c r="D142" s="56"/>
      <c r="E142" s="56"/>
      <c r="F142" s="271"/>
      <c r="G142" s="271"/>
      <c r="H142" s="59"/>
      <c r="I142" s="280"/>
    </row>
    <row r="143" spans="1:10" ht="16.5" customHeight="1">
      <c r="A143" s="278"/>
      <c r="B143" s="114" t="s">
        <v>162</v>
      </c>
      <c r="C143" s="56"/>
      <c r="D143" s="272"/>
      <c r="E143" s="272"/>
      <c r="F143" s="271"/>
      <c r="G143" s="271"/>
      <c r="H143" s="59"/>
      <c r="I143" s="280"/>
    </row>
    <row r="144" spans="1:10" ht="16.5" customHeight="1">
      <c r="A144" s="278"/>
      <c r="B144" s="114" t="s">
        <v>163</v>
      </c>
      <c r="C144" s="56"/>
      <c r="D144" s="56"/>
      <c r="E144" s="56"/>
      <c r="F144" s="56"/>
      <c r="G144" s="56"/>
      <c r="H144" s="59"/>
      <c r="I144" s="280"/>
    </row>
    <row r="145" spans="1:9" ht="16.5" customHeight="1">
      <c r="A145" s="278"/>
      <c r="B145" s="115"/>
      <c r="C145" s="57"/>
      <c r="D145" s="116"/>
      <c r="E145" s="273" t="s">
        <v>164</v>
      </c>
      <c r="F145" s="273"/>
      <c r="G145" s="118"/>
      <c r="H145" s="119"/>
      <c r="I145" s="280"/>
    </row>
    <row r="146" spans="1:9" ht="16.5" customHeight="1">
      <c r="A146" s="278"/>
      <c r="B146" s="57"/>
      <c r="C146" s="57"/>
      <c r="D146" s="120"/>
      <c r="E146" s="120"/>
      <c r="F146" s="57"/>
      <c r="G146" s="57"/>
      <c r="H146" s="57"/>
      <c r="I146" s="280"/>
    </row>
    <row r="147" spans="1:9" ht="16.5" customHeight="1">
      <c r="A147" s="278"/>
      <c r="B147" s="57"/>
      <c r="C147" s="57"/>
      <c r="D147" s="120"/>
      <c r="E147" s="116"/>
      <c r="F147" s="117" t="s">
        <v>165</v>
      </c>
      <c r="G147" s="121"/>
      <c r="H147" s="122"/>
      <c r="I147" s="280"/>
    </row>
    <row r="148" spans="1:9" ht="16.5" customHeight="1"/>
    <row r="149" spans="1:9">
      <c r="A149" s="274"/>
      <c r="B149" s="274"/>
      <c r="C149" s="274"/>
      <c r="D149" s="274"/>
      <c r="E149" s="274"/>
      <c r="F149" s="274"/>
      <c r="G149" s="274"/>
      <c r="H149" s="274"/>
      <c r="I149" s="274"/>
    </row>
    <row r="150" spans="1:9" ht="27.75">
      <c r="A150" s="275" t="s">
        <v>166</v>
      </c>
      <c r="B150" s="275"/>
      <c r="C150" s="275"/>
      <c r="D150" s="275"/>
      <c r="E150" s="275"/>
      <c r="F150" s="275"/>
      <c r="G150" s="275"/>
      <c r="H150" s="275"/>
      <c r="I150" s="275"/>
    </row>
    <row r="151" spans="1:9" ht="27.75">
      <c r="A151" s="275" t="s">
        <v>167</v>
      </c>
      <c r="B151" s="275"/>
      <c r="C151" s="275"/>
      <c r="D151" s="275"/>
      <c r="E151" s="275"/>
      <c r="F151" s="275"/>
      <c r="G151" s="275"/>
      <c r="H151" s="275"/>
      <c r="I151" s="275"/>
    </row>
    <row r="152" spans="1:9">
      <c r="A152" s="276" t="s">
        <v>168</v>
      </c>
      <c r="B152" s="276"/>
      <c r="C152" s="276"/>
      <c r="D152" s="276"/>
      <c r="E152" s="276"/>
      <c r="F152" s="276"/>
      <c r="G152" s="276"/>
      <c r="H152" s="276"/>
      <c r="I152" s="276"/>
    </row>
    <row r="153" spans="1:9">
      <c r="A153" s="277"/>
      <c r="B153" s="277"/>
      <c r="C153" s="277"/>
      <c r="D153" s="277"/>
      <c r="E153" s="277"/>
      <c r="F153" s="277"/>
      <c r="G153" s="277"/>
      <c r="H153" s="277"/>
      <c r="I153" s="277"/>
    </row>
    <row r="154" spans="1:9" ht="21" thickBot="1">
      <c r="A154" s="278"/>
      <c r="B154" s="279" t="str">
        <f>Total!$A$2</f>
        <v>2026 Jun Century Field Promoter Salary Summary</v>
      </c>
      <c r="C154" s="279"/>
      <c r="D154" s="279"/>
      <c r="E154" s="279"/>
      <c r="F154" s="279"/>
      <c r="G154" s="279"/>
      <c r="H154" s="279"/>
      <c r="I154" s="280"/>
    </row>
    <row r="155" spans="1:9" ht="17.25" customHeight="1" thickTop="1">
      <c r="A155" s="278"/>
      <c r="B155" s="281"/>
      <c r="C155" s="281"/>
      <c r="D155" s="281"/>
      <c r="E155" s="281"/>
      <c r="F155" s="281"/>
      <c r="G155" s="281"/>
      <c r="H155" s="51"/>
      <c r="I155" s="280"/>
    </row>
    <row r="156" spans="1:9" ht="16.5" customHeight="1">
      <c r="A156" s="278"/>
      <c r="B156" s="52" t="s">
        <v>137</v>
      </c>
      <c r="C156" s="53" t="str">
        <f>Total!$E$12</f>
        <v>Woo Kin Ming</v>
      </c>
      <c r="D156" s="53" t="e" cm="1">
        <f t="array" ref="D156">INDEX(Total!$D$8:$D$31,MATCH($C156&amp;$G156,Total!$E$8:$E$31&amp;Total!#REF!,0))</f>
        <v>#REF!</v>
      </c>
      <c r="E156" s="54"/>
      <c r="F156" s="55" t="s">
        <v>138</v>
      </c>
      <c r="G156" s="53" t="e">
        <f>Total!#REF!</f>
        <v>#REF!</v>
      </c>
      <c r="H156" s="53"/>
      <c r="I156" s="280"/>
    </row>
    <row r="157" spans="1:9" ht="17.25" customHeight="1" thickBot="1">
      <c r="A157" s="278"/>
      <c r="B157" s="56"/>
      <c r="C157" s="56"/>
      <c r="D157" s="56"/>
      <c r="E157" s="57"/>
      <c r="F157" s="58"/>
      <c r="G157" s="59"/>
      <c r="H157" s="59"/>
      <c r="I157" s="280"/>
    </row>
    <row r="158" spans="1:9" ht="17.25" customHeight="1" thickBot="1">
      <c r="A158" s="278"/>
      <c r="B158" s="60" t="s">
        <v>139</v>
      </c>
      <c r="C158" s="61"/>
      <c r="D158" s="62"/>
      <c r="E158" s="61" t="s">
        <v>140</v>
      </c>
      <c r="F158" s="63"/>
      <c r="G158" s="59"/>
      <c r="H158" s="59"/>
      <c r="I158" s="280"/>
    </row>
    <row r="159" spans="1:9" ht="17.25" customHeight="1" thickTop="1">
      <c r="A159" s="278"/>
      <c r="B159" s="64" t="s">
        <v>141</v>
      </c>
      <c r="C159" s="65"/>
      <c r="D159" s="66"/>
      <c r="E159" s="67" t="s">
        <v>142</v>
      </c>
      <c r="F159" s="68"/>
      <c r="G159" s="59"/>
      <c r="H159" s="59"/>
      <c r="I159" s="280"/>
    </row>
    <row r="160" spans="1:9" ht="16.5" customHeight="1">
      <c r="A160" s="278"/>
      <c r="B160" s="69" t="s">
        <v>143</v>
      </c>
      <c r="C160" s="70"/>
      <c r="D160" s="71"/>
      <c r="E160" s="72" t="e" cm="1">
        <f t="array" ref="E160">INDEX(Total!$F$8:$F$31,MATCH($C156&amp;$G156,Total!$E$8:$E$31&amp;Total!#REF!,0))</f>
        <v>#REF!</v>
      </c>
      <c r="F160" s="73"/>
      <c r="G160" s="59"/>
      <c r="H160" s="59"/>
      <c r="I160" s="280"/>
    </row>
    <row r="161" spans="1:9" ht="16.5" customHeight="1">
      <c r="A161" s="278"/>
      <c r="B161" s="69" t="s">
        <v>144</v>
      </c>
      <c r="C161" s="74"/>
      <c r="D161" s="71"/>
      <c r="E161" s="75" t="e" cm="1">
        <f t="array" ref="E161">INDEX(Total!$G$8:$G$31,MATCH($C156&amp;$G156,Total!$E$8:$E$31&amp;Total!#REF!,0))</f>
        <v>#REF!</v>
      </c>
      <c r="F161" s="73"/>
      <c r="G161" s="59"/>
      <c r="H161" s="59"/>
      <c r="I161" s="280"/>
    </row>
    <row r="162" spans="1:9" ht="16.5" customHeight="1">
      <c r="A162" s="278"/>
      <c r="B162" s="69" t="s">
        <v>145</v>
      </c>
      <c r="C162" s="74"/>
      <c r="D162" s="71"/>
      <c r="E162" s="76" t="e" cm="1">
        <f t="array" ref="E162">INDEX(Total!$H$8:$H$31,MATCH($C156&amp;$G156,Total!$E$8:$E$31&amp;Total!#REF!,0))</f>
        <v>#REF!</v>
      </c>
      <c r="F162" s="73"/>
      <c r="G162" s="58"/>
      <c r="H162" s="58"/>
      <c r="I162" s="280"/>
    </row>
    <row r="163" spans="1:9" ht="16.5" customHeight="1">
      <c r="A163" s="278"/>
      <c r="B163" s="69" t="s">
        <v>146</v>
      </c>
      <c r="C163" s="70"/>
      <c r="D163" s="77"/>
      <c r="E163" s="76" t="e" cm="1">
        <f t="array" ref="E163">INDEX(Total!$I$8:$I$31,MATCH($C156&amp;$G156,Total!$E$8:$E$31&amp;Total!#REF!,0))</f>
        <v>#REF!</v>
      </c>
      <c r="F163" s="78"/>
      <c r="G163" s="58"/>
      <c r="H163" s="58"/>
      <c r="I163" s="280"/>
    </row>
    <row r="164" spans="1:9" ht="16.5" customHeight="1">
      <c r="A164" s="278"/>
      <c r="B164" s="69" t="s">
        <v>147</v>
      </c>
      <c r="C164" s="70"/>
      <c r="D164" s="77"/>
      <c r="E164" s="76" t="e" cm="1">
        <f t="array" ref="E164">INDEX(Total!$J$8:$J$31,MATCH($C156&amp;$G156,Total!$E$8:$E$31&amp;Total!#REF!,0))</f>
        <v>#REF!</v>
      </c>
      <c r="F164" s="78"/>
      <c r="G164" s="58"/>
      <c r="H164" s="58"/>
      <c r="I164" s="280"/>
    </row>
    <row r="165" spans="1:9" ht="17.25" customHeight="1" thickBot="1">
      <c r="A165" s="278"/>
      <c r="B165" s="79" t="s">
        <v>148</v>
      </c>
      <c r="C165" s="80"/>
      <c r="D165" s="81"/>
      <c r="E165" s="82" t="e" cm="1">
        <f t="array" ref="E165">INDEX(Total!$L$8:$L$31,MATCH($C156&amp;$G156,Total!$E$8:$E$31&amp;Total!#REF!,0))</f>
        <v>#REF!</v>
      </c>
      <c r="F165" s="83"/>
      <c r="G165" s="84"/>
      <c r="H165" s="84"/>
      <c r="I165" s="280"/>
    </row>
    <row r="166" spans="1:9" ht="17.25" customHeight="1" thickBot="1">
      <c r="A166" s="278"/>
      <c r="B166" s="85"/>
      <c r="C166" s="85"/>
      <c r="D166" s="85"/>
      <c r="E166" s="85"/>
      <c r="F166" s="85"/>
      <c r="G166" s="85"/>
      <c r="H166" s="85"/>
      <c r="I166" s="280"/>
    </row>
    <row r="167" spans="1:9" ht="17.25" customHeight="1" thickBot="1">
      <c r="A167" s="278"/>
      <c r="B167" s="86"/>
      <c r="C167" s="87" t="s">
        <v>149</v>
      </c>
      <c r="D167" s="88"/>
      <c r="E167" s="88"/>
      <c r="F167" s="89" t="s">
        <v>150</v>
      </c>
      <c r="G167" s="89"/>
      <c r="H167" s="90"/>
      <c r="I167" s="280"/>
    </row>
    <row r="168" spans="1:9" ht="17.25" customHeight="1" thickTop="1">
      <c r="A168" s="278"/>
      <c r="B168" s="91"/>
      <c r="C168" s="64" t="s">
        <v>151</v>
      </c>
      <c r="D168" s="92"/>
      <c r="E168" s="92"/>
      <c r="F168" s="93"/>
      <c r="G168" s="94" t="e" cm="1">
        <f t="array" ref="G168">INDEX(Total!$K$8:$K$31,MATCH($C156&amp;$G156,Total!$E$8:$E$31&amp;Total!#REF!,0))</f>
        <v>#REF!</v>
      </c>
      <c r="H168" s="95"/>
      <c r="I168" s="280"/>
    </row>
    <row r="169" spans="1:9" ht="16.5" customHeight="1">
      <c r="A169" s="278"/>
      <c r="B169" s="91"/>
      <c r="C169" s="69" t="s">
        <v>152</v>
      </c>
      <c r="D169" s="96"/>
      <c r="E169" s="96"/>
      <c r="F169" s="97"/>
      <c r="G169" s="98" t="e" cm="1">
        <f t="array" ref="G169">INDEX(Total!$Q$8:$Q$31,MATCH($C156&amp;$G156,Total!$E$8:$E$31&amp;Total!#REF!,0))</f>
        <v>#REF!</v>
      </c>
      <c r="H169" s="99"/>
      <c r="I169" s="280"/>
    </row>
    <row r="170" spans="1:9" ht="16.5" customHeight="1">
      <c r="A170" s="278"/>
      <c r="B170" s="91"/>
      <c r="C170" s="69" t="s">
        <v>153</v>
      </c>
      <c r="D170" s="100"/>
      <c r="E170" s="100"/>
      <c r="F170" s="97"/>
      <c r="G170" s="98" t="e" cm="1">
        <f t="array" ref="G170">INDEX(Total!$N$8:$N$31,MATCH($C156&amp;$G156,Total!$E$8:$E$31&amp;Total!#REF!,0))</f>
        <v>#REF!</v>
      </c>
      <c r="H170" s="99"/>
      <c r="I170" s="280"/>
    </row>
    <row r="171" spans="1:9" ht="16.5" customHeight="1">
      <c r="A171" s="278"/>
      <c r="B171" s="91"/>
      <c r="C171" s="69" t="s">
        <v>154</v>
      </c>
      <c r="D171" s="101"/>
      <c r="E171" s="101"/>
      <c r="F171" s="97"/>
      <c r="G171" s="98" t="e" cm="1">
        <f t="array" ref="G171">INDEX(Total!$R$8:$R$31,MATCH($C156&amp;$G156,Total!$E$8:$E$31&amp;Total!#REF!,0))</f>
        <v>#REF!</v>
      </c>
      <c r="H171" s="99"/>
      <c r="I171" s="280"/>
    </row>
    <row r="172" spans="1:9" ht="16.5" customHeight="1">
      <c r="A172" s="278"/>
      <c r="B172" s="91"/>
      <c r="C172" s="69" t="s">
        <v>155</v>
      </c>
      <c r="D172" s="101"/>
      <c r="E172" s="101"/>
      <c r="F172" s="97"/>
      <c r="G172" s="98" t="e" cm="1">
        <f t="array" ref="G172">INDEX(Total!#REF!,MATCH($C156&amp;$G156,Total!$E$8:$E$31&amp;Total!#REF!,0))</f>
        <v>#REF!</v>
      </c>
      <c r="H172" s="99"/>
      <c r="I172" s="280"/>
    </row>
    <row r="173" spans="1:9" ht="16.5" customHeight="1">
      <c r="A173" s="278"/>
      <c r="B173" s="91"/>
      <c r="C173" s="69" t="s">
        <v>156</v>
      </c>
      <c r="D173" s="96" t="s">
        <v>157</v>
      </c>
      <c r="E173" s="96"/>
      <c r="F173" s="97"/>
      <c r="G173" s="98" t="e" cm="1">
        <f t="array" ref="G173">INDEX(Total!$S$8:$S$31,MATCH($C156&amp;$G156,Total!$E$8:$E$31&amp;Total!#REF!,0))</f>
        <v>#REF!</v>
      </c>
      <c r="H173" s="99"/>
      <c r="I173" s="280"/>
    </row>
    <row r="174" spans="1:9" ht="16.5" customHeight="1">
      <c r="A174" s="278"/>
      <c r="B174" s="91"/>
      <c r="C174" s="69" t="s">
        <v>158</v>
      </c>
      <c r="D174" s="101"/>
      <c r="E174" s="101"/>
      <c r="F174" s="97"/>
      <c r="G174" s="98" t="e" cm="1">
        <f t="array" ref="G174">INDEX(Total!#REF!,MATCH($C156&amp;$G156,Total!$E$8:$E$31&amp;Total!#REF!,0))</f>
        <v>#REF!</v>
      </c>
      <c r="H174" s="99"/>
      <c r="I174" s="280"/>
    </row>
    <row r="175" spans="1:9" ht="16.5" customHeight="1">
      <c r="A175" s="278"/>
      <c r="B175" s="91"/>
      <c r="C175" s="69" t="s">
        <v>159</v>
      </c>
      <c r="D175" s="101"/>
      <c r="E175" s="101"/>
      <c r="F175" s="97"/>
      <c r="G175" s="98" t="e" cm="1">
        <f t="array" ref="G175">INDEX(Total!$T$8:$T$31,MATCH($C156&amp;$G156,Total!$E$8:$E$31&amp;Total!#REF!,0))</f>
        <v>#REF!</v>
      </c>
      <c r="H175" s="99"/>
      <c r="I175" s="280"/>
    </row>
    <row r="176" spans="1:9" ht="17.25" customHeight="1" thickBot="1">
      <c r="A176" s="278"/>
      <c r="B176" s="91"/>
      <c r="C176" s="102" t="s">
        <v>160</v>
      </c>
      <c r="D176" s="103"/>
      <c r="E176" s="103"/>
      <c r="F176" s="104"/>
      <c r="G176" s="105" t="e" cm="1">
        <f t="array" ref="G176">-INDEX(Total!$U$8:$U$31,MATCH($C156&amp;$G156,Total!$E$8:$E$31&amp;Total!#REF!,0))</f>
        <v>#REF!</v>
      </c>
      <c r="H176" s="106"/>
      <c r="I176" s="280"/>
    </row>
    <row r="177" spans="1:10" ht="18" customHeight="1" thickTop="1" thickBot="1">
      <c r="A177" s="278"/>
      <c r="B177" s="107"/>
      <c r="C177" s="108"/>
      <c r="D177" s="109"/>
      <c r="E177" s="110" t="s">
        <v>113</v>
      </c>
      <c r="F177" s="269" t="e">
        <f>SUM($G168:$G176)</f>
        <v>#REF!</v>
      </c>
      <c r="G177" s="269"/>
      <c r="H177" s="112"/>
      <c r="I177" s="280"/>
      <c r="J177" s="113" t="e" cm="1">
        <f t="array" ref="J177">INDEX(Total!$W$8:$W$31,MATCH($C156&amp;$G156,Total!$E$8:$E$31&amp;Total!#REF!,0))</f>
        <v>#REF!</v>
      </c>
    </row>
    <row r="178" spans="1:10" ht="16.5" customHeight="1">
      <c r="A178" s="278"/>
      <c r="B178" s="56"/>
      <c r="C178" s="56"/>
      <c r="D178" s="56"/>
      <c r="E178" s="56"/>
      <c r="F178" s="270"/>
      <c r="G178" s="271"/>
      <c r="H178" s="59"/>
      <c r="I178" s="280"/>
    </row>
    <row r="179" spans="1:10" ht="16.5" customHeight="1">
      <c r="A179" s="278"/>
      <c r="B179" s="114" t="s">
        <v>161</v>
      </c>
      <c r="C179" s="56"/>
      <c r="D179" s="56"/>
      <c r="E179" s="56"/>
      <c r="F179" s="271"/>
      <c r="G179" s="271"/>
      <c r="H179" s="59"/>
      <c r="I179" s="280"/>
    </row>
    <row r="180" spans="1:10" ht="16.5" customHeight="1">
      <c r="A180" s="278"/>
      <c r="B180" s="114" t="s">
        <v>162</v>
      </c>
      <c r="C180" s="56"/>
      <c r="D180" s="272"/>
      <c r="E180" s="272"/>
      <c r="F180" s="271"/>
      <c r="G180" s="271"/>
      <c r="H180" s="59"/>
      <c r="I180" s="280"/>
    </row>
    <row r="181" spans="1:10" ht="16.5" customHeight="1">
      <c r="A181" s="278"/>
      <c r="B181" s="114" t="s">
        <v>163</v>
      </c>
      <c r="C181" s="56"/>
      <c r="D181" s="56"/>
      <c r="E181" s="56"/>
      <c r="F181" s="56"/>
      <c r="G181" s="56"/>
      <c r="H181" s="59"/>
      <c r="I181" s="280"/>
    </row>
    <row r="182" spans="1:10" ht="16.5" customHeight="1">
      <c r="A182" s="278"/>
      <c r="B182" s="115"/>
      <c r="C182" s="57"/>
      <c r="D182" s="116"/>
      <c r="E182" s="273" t="s">
        <v>164</v>
      </c>
      <c r="F182" s="273"/>
      <c r="G182" s="118"/>
      <c r="H182" s="119"/>
      <c r="I182" s="280"/>
    </row>
    <row r="183" spans="1:10" ht="16.5" customHeight="1">
      <c r="A183" s="278"/>
      <c r="B183" s="57"/>
      <c r="C183" s="57"/>
      <c r="D183" s="120"/>
      <c r="E183" s="120"/>
      <c r="F183" s="57"/>
      <c r="G183" s="57"/>
      <c r="H183" s="57"/>
      <c r="I183" s="280"/>
    </row>
    <row r="184" spans="1:10" ht="16.5" customHeight="1">
      <c r="A184" s="278"/>
      <c r="B184" s="57"/>
      <c r="C184" s="57"/>
      <c r="D184" s="120"/>
      <c r="E184" s="116"/>
      <c r="F184" s="117" t="s">
        <v>165</v>
      </c>
      <c r="G184" s="121"/>
      <c r="H184" s="122"/>
      <c r="I184" s="280"/>
    </row>
    <row r="185" spans="1:10" ht="16.5" customHeight="1"/>
    <row r="186" spans="1:10">
      <c r="A186" s="274"/>
      <c r="B186" s="274"/>
      <c r="C186" s="274"/>
      <c r="D186" s="274"/>
      <c r="E186" s="274"/>
      <c r="F186" s="274"/>
      <c r="G186" s="274"/>
      <c r="H186" s="274"/>
      <c r="I186" s="274"/>
    </row>
    <row r="187" spans="1:10" ht="27.75">
      <c r="A187" s="275" t="s">
        <v>166</v>
      </c>
      <c r="B187" s="275"/>
      <c r="C187" s="275"/>
      <c r="D187" s="275"/>
      <c r="E187" s="275"/>
      <c r="F187" s="275"/>
      <c r="G187" s="275"/>
      <c r="H187" s="275"/>
      <c r="I187" s="275"/>
    </row>
    <row r="188" spans="1:10" ht="27.75">
      <c r="A188" s="275" t="s">
        <v>167</v>
      </c>
      <c r="B188" s="275"/>
      <c r="C188" s="275"/>
      <c r="D188" s="275"/>
      <c r="E188" s="275"/>
      <c r="F188" s="275"/>
      <c r="G188" s="275"/>
      <c r="H188" s="275"/>
      <c r="I188" s="275"/>
    </row>
    <row r="189" spans="1:10">
      <c r="A189" s="276" t="s">
        <v>168</v>
      </c>
      <c r="B189" s="276"/>
      <c r="C189" s="276"/>
      <c r="D189" s="276"/>
      <c r="E189" s="276"/>
      <c r="F189" s="276"/>
      <c r="G189" s="276"/>
      <c r="H189" s="276"/>
      <c r="I189" s="276"/>
    </row>
    <row r="190" spans="1:10">
      <c r="A190" s="277"/>
      <c r="B190" s="277"/>
      <c r="C190" s="277"/>
      <c r="D190" s="277"/>
      <c r="E190" s="277"/>
      <c r="F190" s="277"/>
      <c r="G190" s="277"/>
      <c r="H190" s="277"/>
      <c r="I190" s="277"/>
    </row>
    <row r="191" spans="1:10" ht="21" thickBot="1">
      <c r="A191" s="278"/>
      <c r="B191" s="279" t="str">
        <f>Total!$A$2</f>
        <v>2026 Jun Century Field Promoter Salary Summary</v>
      </c>
      <c r="C191" s="279"/>
      <c r="D191" s="279"/>
      <c r="E191" s="279"/>
      <c r="F191" s="279"/>
      <c r="G191" s="279"/>
      <c r="H191" s="279"/>
      <c r="I191" s="280"/>
    </row>
    <row r="192" spans="1:10" ht="17.25" customHeight="1" thickTop="1">
      <c r="A192" s="278"/>
      <c r="B192" s="281"/>
      <c r="C192" s="281"/>
      <c r="D192" s="281"/>
      <c r="E192" s="281"/>
      <c r="F192" s="281"/>
      <c r="G192" s="281"/>
      <c r="H192" s="51"/>
      <c r="I192" s="280"/>
    </row>
    <row r="193" spans="1:9" ht="16.5" customHeight="1">
      <c r="A193" s="278"/>
      <c r="B193" s="52" t="s">
        <v>137</v>
      </c>
      <c r="C193" s="53" t="str">
        <f>Total!$E$13</f>
        <v>Choi Pui Ha</v>
      </c>
      <c r="D193" s="53" t="e" cm="1">
        <f t="array" ref="D193">INDEX(Total!$D$8:$D$31,MATCH($C193&amp;$G193,Total!$E$8:$E$31&amp;Total!#REF!,0))</f>
        <v>#REF!</v>
      </c>
      <c r="E193" s="54"/>
      <c r="F193" s="55" t="s">
        <v>138</v>
      </c>
      <c r="G193" s="53" t="e">
        <f>Total!#REF!</f>
        <v>#REF!</v>
      </c>
      <c r="H193" s="53"/>
      <c r="I193" s="280"/>
    </row>
    <row r="194" spans="1:9" ht="17.25" customHeight="1" thickBot="1">
      <c r="A194" s="278"/>
      <c r="B194" s="56"/>
      <c r="C194" s="56"/>
      <c r="D194" s="56"/>
      <c r="E194" s="57"/>
      <c r="F194" s="58"/>
      <c r="G194" s="59"/>
      <c r="H194" s="59"/>
      <c r="I194" s="280"/>
    </row>
    <row r="195" spans="1:9" ht="17.25" customHeight="1" thickBot="1">
      <c r="A195" s="278"/>
      <c r="B195" s="60" t="s">
        <v>139</v>
      </c>
      <c r="C195" s="61"/>
      <c r="D195" s="62"/>
      <c r="E195" s="61" t="s">
        <v>140</v>
      </c>
      <c r="F195" s="63"/>
      <c r="G195" s="59"/>
      <c r="H195" s="59"/>
      <c r="I195" s="280"/>
    </row>
    <row r="196" spans="1:9" ht="17.25" customHeight="1" thickTop="1">
      <c r="A196" s="278"/>
      <c r="B196" s="64" t="s">
        <v>141</v>
      </c>
      <c r="C196" s="65"/>
      <c r="D196" s="66"/>
      <c r="E196" s="67" t="s">
        <v>142</v>
      </c>
      <c r="F196" s="68"/>
      <c r="G196" s="59"/>
      <c r="H196" s="59"/>
      <c r="I196" s="280"/>
    </row>
    <row r="197" spans="1:9" ht="16.5" customHeight="1">
      <c r="A197" s="278"/>
      <c r="B197" s="69" t="s">
        <v>143</v>
      </c>
      <c r="C197" s="70"/>
      <c r="D197" s="71"/>
      <c r="E197" s="72" t="e" cm="1">
        <f t="array" ref="E197">INDEX(Total!$F$8:$F$31,MATCH($C193&amp;$G193,Total!$E$8:$E$31&amp;Total!#REF!,0))</f>
        <v>#REF!</v>
      </c>
      <c r="F197" s="73"/>
      <c r="G197" s="59"/>
      <c r="H197" s="59"/>
      <c r="I197" s="280"/>
    </row>
    <row r="198" spans="1:9" ht="16.5" customHeight="1">
      <c r="A198" s="278"/>
      <c r="B198" s="69" t="s">
        <v>144</v>
      </c>
      <c r="C198" s="74"/>
      <c r="D198" s="71"/>
      <c r="E198" s="75" t="e" cm="1">
        <f t="array" ref="E198">INDEX(Total!$G$8:$G$31,MATCH($C193&amp;$G193,Total!$E$8:$E$31&amp;Total!#REF!,0))</f>
        <v>#REF!</v>
      </c>
      <c r="F198" s="73"/>
      <c r="G198" s="59"/>
      <c r="H198" s="59"/>
      <c r="I198" s="280"/>
    </row>
    <row r="199" spans="1:9" ht="16.5" customHeight="1">
      <c r="A199" s="278"/>
      <c r="B199" s="69" t="s">
        <v>145</v>
      </c>
      <c r="C199" s="74"/>
      <c r="D199" s="71"/>
      <c r="E199" s="76" t="e" cm="1">
        <f t="array" ref="E199">INDEX(Total!$H$8:$H$31,MATCH($C193&amp;$G193,Total!$E$8:$E$31&amp;Total!#REF!,0))</f>
        <v>#REF!</v>
      </c>
      <c r="F199" s="73"/>
      <c r="G199" s="58"/>
      <c r="H199" s="58"/>
      <c r="I199" s="280"/>
    </row>
    <row r="200" spans="1:9" ht="16.5" customHeight="1">
      <c r="A200" s="278"/>
      <c r="B200" s="69" t="s">
        <v>146</v>
      </c>
      <c r="C200" s="70"/>
      <c r="D200" s="77"/>
      <c r="E200" s="76" t="e" cm="1">
        <f t="array" ref="E200">INDEX(Total!$I$8:$I$31,MATCH($C193&amp;$G193,Total!$E$8:$E$31&amp;Total!#REF!,0))</f>
        <v>#REF!</v>
      </c>
      <c r="F200" s="78"/>
      <c r="G200" s="58"/>
      <c r="H200" s="58"/>
      <c r="I200" s="280"/>
    </row>
    <row r="201" spans="1:9" ht="16.5" customHeight="1">
      <c r="A201" s="278"/>
      <c r="B201" s="69" t="s">
        <v>147</v>
      </c>
      <c r="C201" s="70"/>
      <c r="D201" s="77"/>
      <c r="E201" s="76" t="e" cm="1">
        <f t="array" ref="E201">INDEX(Total!$J$8:$J$31,MATCH($C193&amp;$G193,Total!$E$8:$E$31&amp;Total!#REF!,0))</f>
        <v>#REF!</v>
      </c>
      <c r="F201" s="78"/>
      <c r="G201" s="58"/>
      <c r="H201" s="58"/>
      <c r="I201" s="280"/>
    </row>
    <row r="202" spans="1:9" ht="17.25" customHeight="1" thickBot="1">
      <c r="A202" s="278"/>
      <c r="B202" s="79" t="s">
        <v>148</v>
      </c>
      <c r="C202" s="80"/>
      <c r="D202" s="81"/>
      <c r="E202" s="82" t="e" cm="1">
        <f t="array" ref="E202">INDEX(Total!$L$8:$L$31,MATCH($C193&amp;$G193,Total!$E$8:$E$31&amp;Total!#REF!,0))</f>
        <v>#REF!</v>
      </c>
      <c r="F202" s="83"/>
      <c r="G202" s="84"/>
      <c r="H202" s="84"/>
      <c r="I202" s="280"/>
    </row>
    <row r="203" spans="1:9" ht="17.25" customHeight="1" thickBot="1">
      <c r="A203" s="278"/>
      <c r="B203" s="85"/>
      <c r="C203" s="85"/>
      <c r="D203" s="85"/>
      <c r="E203" s="85"/>
      <c r="F203" s="85"/>
      <c r="G203" s="85"/>
      <c r="H203" s="85"/>
      <c r="I203" s="280"/>
    </row>
    <row r="204" spans="1:9" ht="17.25" customHeight="1" thickBot="1">
      <c r="A204" s="278"/>
      <c r="B204" s="86"/>
      <c r="C204" s="87" t="s">
        <v>149</v>
      </c>
      <c r="D204" s="88"/>
      <c r="E204" s="88"/>
      <c r="F204" s="89" t="s">
        <v>150</v>
      </c>
      <c r="G204" s="89"/>
      <c r="H204" s="90"/>
      <c r="I204" s="280"/>
    </row>
    <row r="205" spans="1:9" ht="17.25" customHeight="1" thickTop="1">
      <c r="A205" s="278"/>
      <c r="B205" s="91"/>
      <c r="C205" s="64" t="s">
        <v>151</v>
      </c>
      <c r="D205" s="92"/>
      <c r="E205" s="92"/>
      <c r="F205" s="93"/>
      <c r="G205" s="94" t="e" cm="1">
        <f t="array" ref="G205">INDEX(Total!$K$8:$K$31,MATCH($C193&amp;$G193,Total!$E$8:$E$31&amp;Total!#REF!,0))</f>
        <v>#REF!</v>
      </c>
      <c r="H205" s="95"/>
      <c r="I205" s="280"/>
    </row>
    <row r="206" spans="1:9" ht="16.5" customHeight="1">
      <c r="A206" s="278"/>
      <c r="B206" s="91"/>
      <c r="C206" s="69" t="s">
        <v>152</v>
      </c>
      <c r="D206" s="96"/>
      <c r="E206" s="96"/>
      <c r="F206" s="97"/>
      <c r="G206" s="98" t="e" cm="1">
        <f t="array" ref="G206">INDEX(Total!$Q$8:$Q$31,MATCH($C193&amp;$G193,Total!$E$8:$E$31&amp;Total!#REF!,0))</f>
        <v>#REF!</v>
      </c>
      <c r="H206" s="99"/>
      <c r="I206" s="280"/>
    </row>
    <row r="207" spans="1:9" ht="16.5" customHeight="1">
      <c r="A207" s="278"/>
      <c r="B207" s="91"/>
      <c r="C207" s="69" t="s">
        <v>153</v>
      </c>
      <c r="D207" s="100"/>
      <c r="E207" s="100"/>
      <c r="F207" s="97"/>
      <c r="G207" s="98" t="e" cm="1">
        <f t="array" ref="G207">INDEX(Total!$N$8:$N$31,MATCH($C193&amp;$G193,Total!$E$8:$E$31&amp;Total!#REF!,0))</f>
        <v>#REF!</v>
      </c>
      <c r="H207" s="99"/>
      <c r="I207" s="280"/>
    </row>
    <row r="208" spans="1:9" ht="16.5" customHeight="1">
      <c r="A208" s="278"/>
      <c r="B208" s="91"/>
      <c r="C208" s="69" t="s">
        <v>154</v>
      </c>
      <c r="D208" s="101"/>
      <c r="E208" s="101"/>
      <c r="F208" s="97"/>
      <c r="G208" s="98" t="e" cm="1">
        <f t="array" ref="G208">INDEX(Total!$R$8:$R$31,MATCH($C193&amp;$G193,Total!$E$8:$E$31&amp;Total!#REF!,0))</f>
        <v>#REF!</v>
      </c>
      <c r="H208" s="99"/>
      <c r="I208" s="280"/>
    </row>
    <row r="209" spans="1:10" ht="16.5" customHeight="1">
      <c r="A209" s="278"/>
      <c r="B209" s="91"/>
      <c r="C209" s="69" t="s">
        <v>155</v>
      </c>
      <c r="D209" s="101"/>
      <c r="E209" s="101"/>
      <c r="F209" s="97"/>
      <c r="G209" s="98" t="e" cm="1">
        <f t="array" ref="G209">INDEX(Total!#REF!,MATCH($C193&amp;$G193,Total!$E$8:$E$31&amp;Total!#REF!,0))</f>
        <v>#REF!</v>
      </c>
      <c r="H209" s="99"/>
      <c r="I209" s="280"/>
    </row>
    <row r="210" spans="1:10" ht="16.5" customHeight="1">
      <c r="A210" s="278"/>
      <c r="B210" s="91"/>
      <c r="C210" s="69" t="s">
        <v>156</v>
      </c>
      <c r="D210" s="96" t="s">
        <v>157</v>
      </c>
      <c r="E210" s="96"/>
      <c r="F210" s="97"/>
      <c r="G210" s="98" t="e" cm="1">
        <f t="array" ref="G210">INDEX(Total!$S$8:$S$31,MATCH($C193&amp;$G193,Total!$E$8:$E$31&amp;Total!#REF!,0))</f>
        <v>#REF!</v>
      </c>
      <c r="H210" s="99"/>
      <c r="I210" s="280"/>
    </row>
    <row r="211" spans="1:10" ht="16.5" customHeight="1">
      <c r="A211" s="278"/>
      <c r="B211" s="91"/>
      <c r="C211" s="69" t="s">
        <v>158</v>
      </c>
      <c r="D211" s="101"/>
      <c r="E211" s="101"/>
      <c r="F211" s="97"/>
      <c r="G211" s="98" t="e" cm="1">
        <f t="array" ref="G211">INDEX(Total!#REF!,MATCH($C193&amp;$G193,Total!$E$8:$E$31&amp;Total!#REF!,0))</f>
        <v>#REF!</v>
      </c>
      <c r="H211" s="99"/>
      <c r="I211" s="280"/>
    </row>
    <row r="212" spans="1:10" ht="16.5" customHeight="1">
      <c r="A212" s="278"/>
      <c r="B212" s="91"/>
      <c r="C212" s="69" t="s">
        <v>159</v>
      </c>
      <c r="D212" s="101"/>
      <c r="E212" s="101"/>
      <c r="F212" s="97"/>
      <c r="G212" s="98" t="e" cm="1">
        <f t="array" ref="G212">INDEX(Total!$T$8:$T$31,MATCH($C193&amp;$G193,Total!$E$8:$E$31&amp;Total!#REF!,0))</f>
        <v>#REF!</v>
      </c>
      <c r="H212" s="99"/>
      <c r="I212" s="280"/>
    </row>
    <row r="213" spans="1:10" ht="17.25" customHeight="1" thickBot="1">
      <c r="A213" s="278"/>
      <c r="B213" s="91"/>
      <c r="C213" s="102" t="s">
        <v>160</v>
      </c>
      <c r="D213" s="103"/>
      <c r="E213" s="103"/>
      <c r="F213" s="104"/>
      <c r="G213" s="105" t="e" cm="1">
        <f t="array" ref="G213">-INDEX(Total!$U$8:$U$31,MATCH($C193&amp;$G193,Total!$E$8:$E$31&amp;Total!#REF!,0))</f>
        <v>#REF!</v>
      </c>
      <c r="H213" s="106"/>
      <c r="I213" s="280"/>
    </row>
    <row r="214" spans="1:10" ht="18" customHeight="1" thickTop="1" thickBot="1">
      <c r="A214" s="278"/>
      <c r="B214" s="107"/>
      <c r="C214" s="108"/>
      <c r="D214" s="109"/>
      <c r="E214" s="110" t="s">
        <v>113</v>
      </c>
      <c r="F214" s="269" t="e">
        <f>SUM($G205:$G213)</f>
        <v>#REF!</v>
      </c>
      <c r="G214" s="269"/>
      <c r="H214" s="112"/>
      <c r="I214" s="280"/>
      <c r="J214" s="113" t="e" cm="1">
        <f t="array" ref="J214">INDEX(Total!$W$8:$W$31,MATCH($C193&amp;$G193,Total!$E$8:$E$31&amp;Total!#REF!,0))</f>
        <v>#REF!</v>
      </c>
    </row>
    <row r="215" spans="1:10" ht="16.5" customHeight="1">
      <c r="A215" s="278"/>
      <c r="B215" s="56"/>
      <c r="C215" s="56"/>
      <c r="D215" s="56"/>
      <c r="E215" s="56"/>
      <c r="F215" s="270"/>
      <c r="G215" s="271"/>
      <c r="H215" s="59"/>
      <c r="I215" s="280"/>
    </row>
    <row r="216" spans="1:10" ht="16.5" customHeight="1">
      <c r="A216" s="278"/>
      <c r="B216" s="114" t="s">
        <v>161</v>
      </c>
      <c r="C216" s="56"/>
      <c r="D216" s="56"/>
      <c r="E216" s="56"/>
      <c r="F216" s="271"/>
      <c r="G216" s="271"/>
      <c r="H216" s="59"/>
      <c r="I216" s="280"/>
    </row>
    <row r="217" spans="1:10" ht="16.5" customHeight="1">
      <c r="A217" s="278"/>
      <c r="B217" s="114" t="s">
        <v>162</v>
      </c>
      <c r="C217" s="56"/>
      <c r="D217" s="272"/>
      <c r="E217" s="272"/>
      <c r="F217" s="271"/>
      <c r="G217" s="271"/>
      <c r="H217" s="59"/>
      <c r="I217" s="280"/>
    </row>
    <row r="218" spans="1:10" ht="16.5" customHeight="1">
      <c r="A218" s="278"/>
      <c r="B218" s="114" t="s">
        <v>163</v>
      </c>
      <c r="C218" s="56"/>
      <c r="D218" s="56"/>
      <c r="E218" s="56"/>
      <c r="F218" s="56"/>
      <c r="G218" s="56"/>
      <c r="H218" s="59"/>
      <c r="I218" s="280"/>
    </row>
    <row r="219" spans="1:10" ht="16.5" customHeight="1">
      <c r="A219" s="278"/>
      <c r="B219" s="115"/>
      <c r="C219" s="57"/>
      <c r="D219" s="116"/>
      <c r="E219" s="273" t="s">
        <v>164</v>
      </c>
      <c r="F219" s="273"/>
      <c r="G219" s="118"/>
      <c r="H219" s="119"/>
      <c r="I219" s="280"/>
    </row>
    <row r="220" spans="1:10" ht="16.5" customHeight="1">
      <c r="A220" s="278"/>
      <c r="B220" s="57"/>
      <c r="C220" s="57"/>
      <c r="D220" s="120"/>
      <c r="E220" s="120"/>
      <c r="F220" s="57"/>
      <c r="G220" s="57"/>
      <c r="H220" s="57"/>
      <c r="I220" s="280"/>
    </row>
    <row r="221" spans="1:10" ht="16.5" customHeight="1">
      <c r="A221" s="278"/>
      <c r="B221" s="57"/>
      <c r="C221" s="57"/>
      <c r="D221" s="120"/>
      <c r="E221" s="116"/>
      <c r="F221" s="117" t="s">
        <v>165</v>
      </c>
      <c r="G221" s="121"/>
      <c r="H221" s="122"/>
      <c r="I221" s="280"/>
    </row>
    <row r="222" spans="1:10" ht="16.5" customHeight="1"/>
    <row r="223" spans="1:10">
      <c r="A223" s="274"/>
      <c r="B223" s="274"/>
      <c r="C223" s="274"/>
      <c r="D223" s="274"/>
      <c r="E223" s="274"/>
      <c r="F223" s="274"/>
      <c r="G223" s="274"/>
      <c r="H223" s="274"/>
      <c r="I223" s="274"/>
    </row>
    <row r="224" spans="1:10" ht="27.75">
      <c r="A224" s="275" t="s">
        <v>166</v>
      </c>
      <c r="B224" s="275"/>
      <c r="C224" s="275"/>
      <c r="D224" s="275"/>
      <c r="E224" s="275"/>
      <c r="F224" s="275"/>
      <c r="G224" s="275"/>
      <c r="H224" s="275"/>
      <c r="I224" s="275"/>
    </row>
    <row r="225" spans="1:9" ht="27.75">
      <c r="A225" s="275" t="s">
        <v>167</v>
      </c>
      <c r="B225" s="275"/>
      <c r="C225" s="275"/>
      <c r="D225" s="275"/>
      <c r="E225" s="275"/>
      <c r="F225" s="275"/>
      <c r="G225" s="275"/>
      <c r="H225" s="275"/>
      <c r="I225" s="275"/>
    </row>
    <row r="226" spans="1:9">
      <c r="A226" s="276" t="s">
        <v>168</v>
      </c>
      <c r="B226" s="276"/>
      <c r="C226" s="276"/>
      <c r="D226" s="276"/>
      <c r="E226" s="276"/>
      <c r="F226" s="276"/>
      <c r="G226" s="276"/>
      <c r="H226" s="276"/>
      <c r="I226" s="276"/>
    </row>
    <row r="227" spans="1:9">
      <c r="A227" s="277"/>
      <c r="B227" s="277"/>
      <c r="C227" s="277"/>
      <c r="D227" s="277"/>
      <c r="E227" s="277"/>
      <c r="F227" s="277"/>
      <c r="G227" s="277"/>
      <c r="H227" s="277"/>
      <c r="I227" s="277"/>
    </row>
    <row r="228" spans="1:9" ht="21" thickBot="1">
      <c r="A228" s="278"/>
      <c r="B228" s="279" t="str">
        <f>Total!$A$2</f>
        <v>2026 Jun Century Field Promoter Salary Summary</v>
      </c>
      <c r="C228" s="279"/>
      <c r="D228" s="279"/>
      <c r="E228" s="279"/>
      <c r="F228" s="279"/>
      <c r="G228" s="279"/>
      <c r="H228" s="279"/>
      <c r="I228" s="280"/>
    </row>
    <row r="229" spans="1:9" ht="17.25" customHeight="1" thickTop="1">
      <c r="A229" s="278"/>
      <c r="B229" s="281"/>
      <c r="C229" s="281"/>
      <c r="D229" s="281"/>
      <c r="E229" s="281"/>
      <c r="F229" s="281"/>
      <c r="G229" s="281"/>
      <c r="H229" s="51"/>
      <c r="I229" s="280"/>
    </row>
    <row r="230" spans="1:9" ht="16.5" customHeight="1">
      <c r="A230" s="278"/>
      <c r="B230" s="52" t="s">
        <v>137</v>
      </c>
      <c r="C230" s="53" t="str">
        <f>Total!$E$14</f>
        <v>Mok Yun Mei Marine</v>
      </c>
      <c r="D230" s="53" t="e" cm="1">
        <f t="array" ref="D230">INDEX(Total!$D$8:$D$31,MATCH($C230&amp;$G230,Total!$E$8:$E$31&amp;Total!#REF!,0))</f>
        <v>#REF!</v>
      </c>
      <c r="E230" s="54"/>
      <c r="F230" s="55" t="s">
        <v>138</v>
      </c>
      <c r="G230" s="53" t="e">
        <f>Total!#REF!</f>
        <v>#REF!</v>
      </c>
      <c r="H230" s="53"/>
      <c r="I230" s="280"/>
    </row>
    <row r="231" spans="1:9" ht="17.25" customHeight="1" thickBot="1">
      <c r="A231" s="278"/>
      <c r="B231" s="56"/>
      <c r="C231" s="56"/>
      <c r="D231" s="56"/>
      <c r="E231" s="57"/>
      <c r="F231" s="58"/>
      <c r="G231" s="59"/>
      <c r="H231" s="59"/>
      <c r="I231" s="280"/>
    </row>
    <row r="232" spans="1:9" ht="17.25" customHeight="1" thickBot="1">
      <c r="A232" s="278"/>
      <c r="B232" s="60" t="s">
        <v>139</v>
      </c>
      <c r="C232" s="61"/>
      <c r="D232" s="62"/>
      <c r="E232" s="61" t="s">
        <v>140</v>
      </c>
      <c r="F232" s="63"/>
      <c r="G232" s="59"/>
      <c r="H232" s="59"/>
      <c r="I232" s="280"/>
    </row>
    <row r="233" spans="1:9" ht="17.25" customHeight="1" thickTop="1">
      <c r="A233" s="278"/>
      <c r="B233" s="64" t="s">
        <v>141</v>
      </c>
      <c r="C233" s="65"/>
      <c r="D233" s="66"/>
      <c r="E233" s="67" t="s">
        <v>142</v>
      </c>
      <c r="F233" s="68"/>
      <c r="G233" s="59"/>
      <c r="H233" s="59"/>
      <c r="I233" s="280"/>
    </row>
    <row r="234" spans="1:9" ht="16.5" customHeight="1">
      <c r="A234" s="278"/>
      <c r="B234" s="69" t="s">
        <v>143</v>
      </c>
      <c r="C234" s="70"/>
      <c r="D234" s="71"/>
      <c r="E234" s="72" t="e" cm="1">
        <f t="array" ref="E234">INDEX(Total!$F$8:$F$31,MATCH($C230&amp;$G230,Total!$E$8:$E$31&amp;Total!#REF!,0))</f>
        <v>#REF!</v>
      </c>
      <c r="F234" s="73"/>
      <c r="G234" s="59"/>
      <c r="H234" s="59"/>
      <c r="I234" s="280"/>
    </row>
    <row r="235" spans="1:9" ht="16.5" customHeight="1">
      <c r="A235" s="278"/>
      <c r="B235" s="69" t="s">
        <v>144</v>
      </c>
      <c r="C235" s="74"/>
      <c r="D235" s="71"/>
      <c r="E235" s="75" t="e" cm="1">
        <f t="array" ref="E235">INDEX(Total!$G$8:$G$31,MATCH($C230&amp;$G230,Total!$E$8:$E$31&amp;Total!#REF!,0))</f>
        <v>#REF!</v>
      </c>
      <c r="F235" s="73"/>
      <c r="G235" s="59"/>
      <c r="H235" s="59"/>
      <c r="I235" s="280"/>
    </row>
    <row r="236" spans="1:9" ht="16.5" customHeight="1">
      <c r="A236" s="278"/>
      <c r="B236" s="69" t="s">
        <v>145</v>
      </c>
      <c r="C236" s="74"/>
      <c r="D236" s="71"/>
      <c r="E236" s="76" t="e" cm="1">
        <f t="array" ref="E236">INDEX(Total!$H$8:$H$31,MATCH($C230&amp;$G230,Total!$E$8:$E$31&amp;Total!#REF!,0))</f>
        <v>#REF!</v>
      </c>
      <c r="F236" s="73"/>
      <c r="G236" s="58"/>
      <c r="H236" s="58"/>
      <c r="I236" s="280"/>
    </row>
    <row r="237" spans="1:9" ht="16.5" customHeight="1">
      <c r="A237" s="278"/>
      <c r="B237" s="69" t="s">
        <v>146</v>
      </c>
      <c r="C237" s="70"/>
      <c r="D237" s="77"/>
      <c r="E237" s="76" t="e" cm="1">
        <f t="array" ref="E237">INDEX(Total!$I$8:$I$31,MATCH($C230&amp;$G230,Total!$E$8:$E$31&amp;Total!#REF!,0))</f>
        <v>#REF!</v>
      </c>
      <c r="F237" s="78"/>
      <c r="G237" s="58"/>
      <c r="H237" s="58"/>
      <c r="I237" s="280"/>
    </row>
    <row r="238" spans="1:9" ht="16.5" customHeight="1">
      <c r="A238" s="278"/>
      <c r="B238" s="69" t="s">
        <v>147</v>
      </c>
      <c r="C238" s="70"/>
      <c r="D238" s="77"/>
      <c r="E238" s="76" t="e" cm="1">
        <f t="array" ref="E238">INDEX(Total!$J$8:$J$31,MATCH($C230&amp;$G230,Total!$E$8:$E$31&amp;Total!#REF!,0))</f>
        <v>#REF!</v>
      </c>
      <c r="F238" s="78"/>
      <c r="G238" s="58"/>
      <c r="H238" s="58"/>
      <c r="I238" s="280"/>
    </row>
    <row r="239" spans="1:9" ht="17.25" customHeight="1" thickBot="1">
      <c r="A239" s="278"/>
      <c r="B239" s="79" t="s">
        <v>148</v>
      </c>
      <c r="C239" s="80"/>
      <c r="D239" s="81"/>
      <c r="E239" s="82" t="e" cm="1">
        <f t="array" ref="E239">INDEX(Total!$L$8:$L$31,MATCH($C230&amp;$G230,Total!$E$8:$E$31&amp;Total!#REF!,0))</f>
        <v>#REF!</v>
      </c>
      <c r="F239" s="83"/>
      <c r="G239" s="84"/>
      <c r="H239" s="84"/>
      <c r="I239" s="280"/>
    </row>
    <row r="240" spans="1:9" ht="17.25" customHeight="1" thickBot="1">
      <c r="A240" s="278"/>
      <c r="B240" s="85"/>
      <c r="C240" s="85"/>
      <c r="D240" s="85"/>
      <c r="E240" s="85"/>
      <c r="F240" s="85"/>
      <c r="G240" s="85"/>
      <c r="H240" s="85"/>
      <c r="I240" s="280"/>
    </row>
    <row r="241" spans="1:10" ht="17.25" customHeight="1" thickBot="1">
      <c r="A241" s="278"/>
      <c r="B241" s="86"/>
      <c r="C241" s="87" t="s">
        <v>149</v>
      </c>
      <c r="D241" s="88"/>
      <c r="E241" s="88"/>
      <c r="F241" s="89" t="s">
        <v>150</v>
      </c>
      <c r="G241" s="89"/>
      <c r="H241" s="90"/>
      <c r="I241" s="280"/>
    </row>
    <row r="242" spans="1:10" ht="17.25" customHeight="1" thickTop="1">
      <c r="A242" s="278"/>
      <c r="B242" s="91"/>
      <c r="C242" s="64" t="s">
        <v>151</v>
      </c>
      <c r="D242" s="92"/>
      <c r="E242" s="92"/>
      <c r="F242" s="93"/>
      <c r="G242" s="94" t="e" cm="1">
        <f t="array" ref="G242">INDEX(Total!$K$8:$K$31,MATCH($C230&amp;$G230,Total!$E$8:$E$31&amp;Total!#REF!,0))</f>
        <v>#REF!</v>
      </c>
      <c r="H242" s="95"/>
      <c r="I242" s="280"/>
    </row>
    <row r="243" spans="1:10" ht="16.5" customHeight="1">
      <c r="A243" s="278"/>
      <c r="B243" s="91"/>
      <c r="C243" s="69" t="s">
        <v>152</v>
      </c>
      <c r="D243" s="96"/>
      <c r="E243" s="96"/>
      <c r="F243" s="97"/>
      <c r="G243" s="98" t="e" cm="1">
        <f t="array" ref="G243">INDEX(Total!$Q$8:$Q$31,MATCH($C230&amp;$G230,Total!$E$8:$E$31&amp;Total!#REF!,0))</f>
        <v>#REF!</v>
      </c>
      <c r="H243" s="99"/>
      <c r="I243" s="280"/>
    </row>
    <row r="244" spans="1:10" ht="16.5" customHeight="1">
      <c r="A244" s="278"/>
      <c r="B244" s="91"/>
      <c r="C244" s="69" t="s">
        <v>153</v>
      </c>
      <c r="D244" s="100"/>
      <c r="E244" s="100"/>
      <c r="F244" s="97"/>
      <c r="G244" s="98" t="e" cm="1">
        <f t="array" ref="G244">INDEX(Total!$N$8:$N$31,MATCH($C230&amp;$G230,Total!$E$8:$E$31&amp;Total!#REF!,0))</f>
        <v>#REF!</v>
      </c>
      <c r="H244" s="99"/>
      <c r="I244" s="280"/>
    </row>
    <row r="245" spans="1:10" ht="16.5" customHeight="1">
      <c r="A245" s="278"/>
      <c r="B245" s="91"/>
      <c r="C245" s="69" t="s">
        <v>154</v>
      </c>
      <c r="D245" s="101"/>
      <c r="E245" s="101"/>
      <c r="F245" s="97"/>
      <c r="G245" s="98" t="e" cm="1">
        <f t="array" ref="G245">INDEX(Total!$R$8:$R$31,MATCH($C230&amp;$G230,Total!$E$8:$E$31&amp;Total!#REF!,0))</f>
        <v>#REF!</v>
      </c>
      <c r="H245" s="99"/>
      <c r="I245" s="280"/>
    </row>
    <row r="246" spans="1:10" ht="16.5" customHeight="1">
      <c r="A246" s="278"/>
      <c r="B246" s="91"/>
      <c r="C246" s="69" t="s">
        <v>155</v>
      </c>
      <c r="D246" s="101"/>
      <c r="E246" s="101"/>
      <c r="F246" s="97"/>
      <c r="G246" s="98" t="e" cm="1">
        <f t="array" ref="G246">INDEX(Total!#REF!,MATCH($C230&amp;$G230,Total!$E$8:$E$31&amp;Total!#REF!,0))</f>
        <v>#REF!</v>
      </c>
      <c r="H246" s="99"/>
      <c r="I246" s="280"/>
    </row>
    <row r="247" spans="1:10" ht="16.5" customHeight="1">
      <c r="A247" s="278"/>
      <c r="B247" s="91"/>
      <c r="C247" s="69" t="s">
        <v>156</v>
      </c>
      <c r="D247" s="96" t="s">
        <v>157</v>
      </c>
      <c r="E247" s="96"/>
      <c r="F247" s="97"/>
      <c r="G247" s="98" t="e" cm="1">
        <f t="array" ref="G247">INDEX(Total!$S$8:$S$31,MATCH($C230&amp;$G230,Total!$E$8:$E$31&amp;Total!#REF!,0))</f>
        <v>#REF!</v>
      </c>
      <c r="H247" s="99"/>
      <c r="I247" s="280"/>
    </row>
    <row r="248" spans="1:10" ht="16.5" customHeight="1">
      <c r="A248" s="278"/>
      <c r="B248" s="91"/>
      <c r="C248" s="69" t="s">
        <v>158</v>
      </c>
      <c r="D248" s="101"/>
      <c r="E248" s="101"/>
      <c r="F248" s="97"/>
      <c r="G248" s="98" t="e" cm="1">
        <f t="array" ref="G248">INDEX(Total!#REF!,MATCH($C230&amp;$G230,Total!$E$8:$E$31&amp;Total!#REF!,0))</f>
        <v>#REF!</v>
      </c>
      <c r="H248" s="99"/>
      <c r="I248" s="280"/>
    </row>
    <row r="249" spans="1:10" ht="16.5" customHeight="1">
      <c r="A249" s="278"/>
      <c r="B249" s="91"/>
      <c r="C249" s="69" t="s">
        <v>159</v>
      </c>
      <c r="D249" s="101"/>
      <c r="E249" s="101"/>
      <c r="F249" s="97"/>
      <c r="G249" s="98" t="e" cm="1">
        <f t="array" ref="G249">INDEX(Total!$T$8:$T$31,MATCH($C230&amp;$G230,Total!$E$8:$E$31&amp;Total!#REF!,0))</f>
        <v>#REF!</v>
      </c>
      <c r="H249" s="99"/>
      <c r="I249" s="280"/>
    </row>
    <row r="250" spans="1:10" ht="17.25" customHeight="1" thickBot="1">
      <c r="A250" s="278"/>
      <c r="B250" s="91"/>
      <c r="C250" s="102" t="s">
        <v>160</v>
      </c>
      <c r="D250" s="103"/>
      <c r="E250" s="103"/>
      <c r="F250" s="104"/>
      <c r="G250" s="105" t="e" cm="1">
        <f t="array" ref="G250">-INDEX(Total!$U$8:$U$31,MATCH($C230&amp;$G230,Total!$E$8:$E$31&amp;Total!#REF!,0))</f>
        <v>#REF!</v>
      </c>
      <c r="H250" s="106"/>
      <c r="I250" s="280"/>
    </row>
    <row r="251" spans="1:10" ht="18" customHeight="1" thickTop="1" thickBot="1">
      <c r="A251" s="278"/>
      <c r="B251" s="107"/>
      <c r="C251" s="108"/>
      <c r="D251" s="109"/>
      <c r="E251" s="110" t="s">
        <v>113</v>
      </c>
      <c r="F251" s="269" t="e">
        <f>SUM($G242:$G250)</f>
        <v>#REF!</v>
      </c>
      <c r="G251" s="269"/>
      <c r="H251" s="112"/>
      <c r="I251" s="280"/>
      <c r="J251" s="113" t="e" cm="1">
        <f t="array" ref="J251">INDEX(Total!$W$8:$W$31,MATCH($C230&amp;$G230,Total!$E$8:$E$31&amp;Total!#REF!,0))</f>
        <v>#REF!</v>
      </c>
    </row>
    <row r="252" spans="1:10" ht="16.5" customHeight="1">
      <c r="A252" s="278"/>
      <c r="B252" s="56"/>
      <c r="C252" s="56"/>
      <c r="D252" s="56"/>
      <c r="E252" s="56"/>
      <c r="F252" s="270"/>
      <c r="G252" s="271"/>
      <c r="H252" s="59"/>
      <c r="I252" s="280"/>
    </row>
    <row r="253" spans="1:10" ht="16.5" customHeight="1">
      <c r="A253" s="278"/>
      <c r="B253" s="114" t="s">
        <v>161</v>
      </c>
      <c r="C253" s="56"/>
      <c r="D253" s="56"/>
      <c r="E253" s="56"/>
      <c r="F253" s="271"/>
      <c r="G253" s="271"/>
      <c r="H253" s="59"/>
      <c r="I253" s="280"/>
    </row>
    <row r="254" spans="1:10" ht="16.5" customHeight="1">
      <c r="A254" s="278"/>
      <c r="B254" s="114" t="s">
        <v>162</v>
      </c>
      <c r="C254" s="56"/>
      <c r="D254" s="272"/>
      <c r="E254" s="272"/>
      <c r="F254" s="271"/>
      <c r="G254" s="271"/>
      <c r="H254" s="59"/>
      <c r="I254" s="280"/>
    </row>
    <row r="255" spans="1:10" ht="16.5" customHeight="1">
      <c r="A255" s="278"/>
      <c r="B255" s="114" t="s">
        <v>163</v>
      </c>
      <c r="C255" s="56"/>
      <c r="D255" s="56"/>
      <c r="E255" s="56"/>
      <c r="F255" s="56"/>
      <c r="G255" s="56"/>
      <c r="H255" s="59"/>
      <c r="I255" s="280"/>
    </row>
    <row r="256" spans="1:10" ht="16.5" customHeight="1">
      <c r="A256" s="278"/>
      <c r="B256" s="115"/>
      <c r="C256" s="57"/>
      <c r="D256" s="116"/>
      <c r="E256" s="273" t="s">
        <v>164</v>
      </c>
      <c r="F256" s="273"/>
      <c r="G256" s="118"/>
      <c r="H256" s="119"/>
      <c r="I256" s="280"/>
    </row>
    <row r="257" spans="1:9" ht="16.5" customHeight="1">
      <c r="A257" s="278"/>
      <c r="B257" s="57"/>
      <c r="C257" s="57"/>
      <c r="D257" s="120"/>
      <c r="E257" s="120"/>
      <c r="F257" s="57"/>
      <c r="G257" s="57"/>
      <c r="H257" s="57"/>
      <c r="I257" s="280"/>
    </row>
    <row r="258" spans="1:9" ht="16.5" customHeight="1">
      <c r="A258" s="278"/>
      <c r="B258" s="57"/>
      <c r="C258" s="57"/>
      <c r="D258" s="120"/>
      <c r="E258" s="116"/>
      <c r="F258" s="117" t="s">
        <v>165</v>
      </c>
      <c r="G258" s="121"/>
      <c r="H258" s="122"/>
      <c r="I258" s="280"/>
    </row>
    <row r="259" spans="1:9" ht="16.5" customHeight="1"/>
    <row r="260" spans="1:9">
      <c r="A260" s="274"/>
      <c r="B260" s="274"/>
      <c r="C260" s="274"/>
      <c r="D260" s="274"/>
      <c r="E260" s="274"/>
      <c r="F260" s="274"/>
      <c r="G260" s="274"/>
      <c r="H260" s="274"/>
      <c r="I260" s="274"/>
    </row>
    <row r="261" spans="1:9" ht="27.75">
      <c r="A261" s="275" t="s">
        <v>166</v>
      </c>
      <c r="B261" s="275"/>
      <c r="C261" s="275"/>
      <c r="D261" s="275"/>
      <c r="E261" s="275"/>
      <c r="F261" s="275"/>
      <c r="G261" s="275"/>
      <c r="H261" s="275"/>
      <c r="I261" s="275"/>
    </row>
    <row r="262" spans="1:9" ht="27.75">
      <c r="A262" s="275" t="s">
        <v>167</v>
      </c>
      <c r="B262" s="275"/>
      <c r="C262" s="275"/>
      <c r="D262" s="275"/>
      <c r="E262" s="275"/>
      <c r="F262" s="275"/>
      <c r="G262" s="275"/>
      <c r="H262" s="275"/>
      <c r="I262" s="275"/>
    </row>
    <row r="263" spans="1:9">
      <c r="A263" s="276" t="s">
        <v>168</v>
      </c>
      <c r="B263" s="276"/>
      <c r="C263" s="276"/>
      <c r="D263" s="276"/>
      <c r="E263" s="276"/>
      <c r="F263" s="276"/>
      <c r="G263" s="276"/>
      <c r="H263" s="276"/>
      <c r="I263" s="276"/>
    </row>
    <row r="264" spans="1:9">
      <c r="A264" s="277"/>
      <c r="B264" s="277"/>
      <c r="C264" s="277"/>
      <c r="D264" s="277"/>
      <c r="E264" s="277"/>
      <c r="F264" s="277"/>
      <c r="G264" s="277"/>
      <c r="H264" s="277"/>
      <c r="I264" s="277"/>
    </row>
    <row r="265" spans="1:9" ht="21" thickBot="1">
      <c r="A265" s="278"/>
      <c r="B265" s="279" t="str">
        <f>Total!$A$2</f>
        <v>2026 Jun Century Field Promoter Salary Summary</v>
      </c>
      <c r="C265" s="279"/>
      <c r="D265" s="279"/>
      <c r="E265" s="279"/>
      <c r="F265" s="279"/>
      <c r="G265" s="279"/>
      <c r="H265" s="279"/>
      <c r="I265" s="280"/>
    </row>
    <row r="266" spans="1:9" ht="17.25" customHeight="1" thickTop="1">
      <c r="A266" s="278"/>
      <c r="B266" s="281"/>
      <c r="C266" s="281"/>
      <c r="D266" s="281"/>
      <c r="E266" s="281"/>
      <c r="F266" s="281"/>
      <c r="G266" s="281"/>
      <c r="H266" s="51"/>
      <c r="I266" s="280"/>
    </row>
    <row r="267" spans="1:9" ht="16.5" customHeight="1">
      <c r="A267" s="278"/>
      <c r="B267" s="52" t="s">
        <v>137</v>
      </c>
      <c r="C267" s="53" t="str">
        <f>Total!$E$15</f>
        <v xml:space="preserve">Siu Wai Ling </v>
      </c>
      <c r="D267" s="53" t="e" cm="1">
        <f t="array" ref="D267">INDEX(Total!$D$8:$D$31,MATCH($C267&amp;$G267,Total!$E$8:$E$31&amp;Total!#REF!,0))</f>
        <v>#REF!</v>
      </c>
      <c r="E267" s="54"/>
      <c r="F267" s="55" t="s">
        <v>138</v>
      </c>
      <c r="G267" s="53" t="e">
        <f>Total!#REF!</f>
        <v>#REF!</v>
      </c>
      <c r="H267" s="53"/>
      <c r="I267" s="280"/>
    </row>
    <row r="268" spans="1:9" ht="17.25" customHeight="1" thickBot="1">
      <c r="A268" s="278"/>
      <c r="B268" s="56"/>
      <c r="C268" s="56"/>
      <c r="D268" s="56"/>
      <c r="E268" s="57"/>
      <c r="F268" s="58"/>
      <c r="G268" s="59"/>
      <c r="H268" s="59"/>
      <c r="I268" s="280"/>
    </row>
    <row r="269" spans="1:9" ht="17.25" customHeight="1" thickBot="1">
      <c r="A269" s="278"/>
      <c r="B269" s="60" t="s">
        <v>139</v>
      </c>
      <c r="C269" s="61"/>
      <c r="D269" s="62"/>
      <c r="E269" s="61" t="s">
        <v>140</v>
      </c>
      <c r="F269" s="63"/>
      <c r="G269" s="59"/>
      <c r="H269" s="59"/>
      <c r="I269" s="280"/>
    </row>
    <row r="270" spans="1:9" ht="17.25" customHeight="1" thickTop="1">
      <c r="A270" s="278"/>
      <c r="B270" s="64" t="s">
        <v>141</v>
      </c>
      <c r="C270" s="65"/>
      <c r="D270" s="66"/>
      <c r="E270" s="67" t="s">
        <v>142</v>
      </c>
      <c r="F270" s="68"/>
      <c r="G270" s="59"/>
      <c r="H270" s="59"/>
      <c r="I270" s="280"/>
    </row>
    <row r="271" spans="1:9" ht="16.5" customHeight="1">
      <c r="A271" s="278"/>
      <c r="B271" s="69" t="s">
        <v>143</v>
      </c>
      <c r="C271" s="70"/>
      <c r="D271" s="71"/>
      <c r="E271" s="72" t="e" cm="1">
        <f t="array" ref="E271">INDEX(Total!$F$8:$F$31,MATCH($C267&amp;$G267,Total!$E$8:$E$31&amp;Total!#REF!,0))</f>
        <v>#REF!</v>
      </c>
      <c r="F271" s="73"/>
      <c r="G271" s="59"/>
      <c r="H271" s="59"/>
      <c r="I271" s="280"/>
    </row>
    <row r="272" spans="1:9" ht="16.5" customHeight="1">
      <c r="A272" s="278"/>
      <c r="B272" s="69" t="s">
        <v>144</v>
      </c>
      <c r="C272" s="74"/>
      <c r="D272" s="71"/>
      <c r="E272" s="75" t="e" cm="1">
        <f t="array" ref="E272">INDEX(Total!$G$8:$G$31,MATCH($C267&amp;$G267,Total!$E$8:$E$31&amp;Total!#REF!,0))</f>
        <v>#REF!</v>
      </c>
      <c r="F272" s="73"/>
      <c r="G272" s="59"/>
      <c r="H272" s="59"/>
      <c r="I272" s="280"/>
    </row>
    <row r="273" spans="1:10" ht="16.5" customHeight="1">
      <c r="A273" s="278"/>
      <c r="B273" s="69" t="s">
        <v>145</v>
      </c>
      <c r="C273" s="74"/>
      <c r="D273" s="71"/>
      <c r="E273" s="76" t="e" cm="1">
        <f t="array" ref="E273">INDEX(Total!$H$8:$H$31,MATCH($C267&amp;$G267,Total!$E$8:$E$31&amp;Total!#REF!,0))</f>
        <v>#REF!</v>
      </c>
      <c r="F273" s="73"/>
      <c r="G273" s="58"/>
      <c r="H273" s="58"/>
      <c r="I273" s="280"/>
    </row>
    <row r="274" spans="1:10" ht="16.5" customHeight="1">
      <c r="A274" s="278"/>
      <c r="B274" s="69" t="s">
        <v>146</v>
      </c>
      <c r="C274" s="70"/>
      <c r="D274" s="77"/>
      <c r="E274" s="76" t="e" cm="1">
        <f t="array" ref="E274">INDEX(Total!$I$8:$I$31,MATCH($C267&amp;$G267,Total!$E$8:$E$31&amp;Total!#REF!,0))</f>
        <v>#REF!</v>
      </c>
      <c r="F274" s="78"/>
      <c r="G274" s="58"/>
      <c r="H274" s="58"/>
      <c r="I274" s="280"/>
    </row>
    <row r="275" spans="1:10" ht="16.5" customHeight="1">
      <c r="A275" s="278"/>
      <c r="B275" s="69" t="s">
        <v>147</v>
      </c>
      <c r="C275" s="70"/>
      <c r="D275" s="77"/>
      <c r="E275" s="76" t="e" cm="1">
        <f t="array" ref="E275">INDEX(Total!$J$8:$J$31,MATCH($C267&amp;$G267,Total!$E$8:$E$31&amp;Total!#REF!,0))</f>
        <v>#REF!</v>
      </c>
      <c r="F275" s="78"/>
      <c r="G275" s="58"/>
      <c r="H275" s="58"/>
      <c r="I275" s="280"/>
    </row>
    <row r="276" spans="1:10" ht="17.25" customHeight="1" thickBot="1">
      <c r="A276" s="278"/>
      <c r="B276" s="79" t="s">
        <v>148</v>
      </c>
      <c r="C276" s="80"/>
      <c r="D276" s="81"/>
      <c r="E276" s="82" t="e" cm="1">
        <f t="array" ref="E276">INDEX(Total!$L$8:$L$31,MATCH($C267&amp;$G267,Total!$E$8:$E$31&amp;Total!#REF!,0))</f>
        <v>#REF!</v>
      </c>
      <c r="F276" s="83"/>
      <c r="G276" s="84"/>
      <c r="H276" s="84"/>
      <c r="I276" s="280"/>
    </row>
    <row r="277" spans="1:10" ht="17.25" customHeight="1" thickBot="1">
      <c r="A277" s="278"/>
      <c r="B277" s="85"/>
      <c r="C277" s="85"/>
      <c r="D277" s="85"/>
      <c r="E277" s="85"/>
      <c r="F277" s="85"/>
      <c r="G277" s="85"/>
      <c r="H277" s="85"/>
      <c r="I277" s="280"/>
    </row>
    <row r="278" spans="1:10" ht="17.25" customHeight="1" thickBot="1">
      <c r="A278" s="278"/>
      <c r="B278" s="86"/>
      <c r="C278" s="87" t="s">
        <v>149</v>
      </c>
      <c r="D278" s="88"/>
      <c r="E278" s="88"/>
      <c r="F278" s="89" t="s">
        <v>150</v>
      </c>
      <c r="G278" s="89"/>
      <c r="H278" s="90"/>
      <c r="I278" s="280"/>
    </row>
    <row r="279" spans="1:10" ht="17.25" customHeight="1" thickTop="1">
      <c r="A279" s="278"/>
      <c r="B279" s="91"/>
      <c r="C279" s="64" t="s">
        <v>151</v>
      </c>
      <c r="D279" s="92"/>
      <c r="E279" s="92"/>
      <c r="F279" s="93"/>
      <c r="G279" s="94" t="e" cm="1">
        <f t="array" ref="G279">INDEX(Total!$K$8:$K$31,MATCH($C267&amp;$G267,Total!$E$8:$E$31&amp;Total!#REF!,0))</f>
        <v>#REF!</v>
      </c>
      <c r="H279" s="95"/>
      <c r="I279" s="280"/>
    </row>
    <row r="280" spans="1:10" ht="16.5" customHeight="1">
      <c r="A280" s="278"/>
      <c r="B280" s="91"/>
      <c r="C280" s="69" t="s">
        <v>152</v>
      </c>
      <c r="D280" s="96"/>
      <c r="E280" s="96"/>
      <c r="F280" s="97"/>
      <c r="G280" s="98" t="e" cm="1">
        <f t="array" ref="G280">INDEX(Total!$Q$8:$Q$31,MATCH($C267&amp;$G267,Total!$E$8:$E$31&amp;Total!#REF!,0))</f>
        <v>#REF!</v>
      </c>
      <c r="H280" s="99"/>
      <c r="I280" s="280"/>
    </row>
    <row r="281" spans="1:10" ht="16.5" customHeight="1">
      <c r="A281" s="278"/>
      <c r="B281" s="91"/>
      <c r="C281" s="69" t="s">
        <v>153</v>
      </c>
      <c r="D281" s="100"/>
      <c r="E281" s="100"/>
      <c r="F281" s="97"/>
      <c r="G281" s="98" t="e" cm="1">
        <f t="array" ref="G281">INDEX(Total!$N$8:$N$31,MATCH($C267&amp;$G267,Total!$E$8:$E$31&amp;Total!#REF!,0))</f>
        <v>#REF!</v>
      </c>
      <c r="H281" s="99"/>
      <c r="I281" s="280"/>
    </row>
    <row r="282" spans="1:10" ht="16.5" customHeight="1">
      <c r="A282" s="278"/>
      <c r="B282" s="91"/>
      <c r="C282" s="69" t="s">
        <v>154</v>
      </c>
      <c r="D282" s="101"/>
      <c r="E282" s="101"/>
      <c r="F282" s="97"/>
      <c r="G282" s="98" t="e" cm="1">
        <f t="array" ref="G282">INDEX(Total!$R$8:$R$31,MATCH($C267&amp;$G267,Total!$E$8:$E$31&amp;Total!#REF!,0))</f>
        <v>#REF!</v>
      </c>
      <c r="H282" s="99"/>
      <c r="I282" s="280"/>
    </row>
    <row r="283" spans="1:10" ht="16.5" customHeight="1">
      <c r="A283" s="278"/>
      <c r="B283" s="91"/>
      <c r="C283" s="69" t="s">
        <v>155</v>
      </c>
      <c r="D283" s="101"/>
      <c r="E283" s="101"/>
      <c r="F283" s="97"/>
      <c r="G283" s="98" t="e" cm="1">
        <f t="array" ref="G283">INDEX(Total!#REF!,MATCH($C267&amp;$G267,Total!$E$8:$E$31&amp;Total!#REF!,0))</f>
        <v>#REF!</v>
      </c>
      <c r="H283" s="99"/>
      <c r="I283" s="280"/>
    </row>
    <row r="284" spans="1:10" ht="16.5" customHeight="1">
      <c r="A284" s="278"/>
      <c r="B284" s="91"/>
      <c r="C284" s="69" t="s">
        <v>156</v>
      </c>
      <c r="D284" s="96" t="s">
        <v>157</v>
      </c>
      <c r="E284" s="96"/>
      <c r="F284" s="97"/>
      <c r="G284" s="98" t="e" cm="1">
        <f t="array" ref="G284">INDEX(Total!$S$8:$S$31,MATCH($C267&amp;$G267,Total!$E$8:$E$31&amp;Total!#REF!,0))</f>
        <v>#REF!</v>
      </c>
      <c r="H284" s="99"/>
      <c r="I284" s="280"/>
    </row>
    <row r="285" spans="1:10" ht="16.5" customHeight="1">
      <c r="A285" s="278"/>
      <c r="B285" s="91"/>
      <c r="C285" s="69" t="s">
        <v>158</v>
      </c>
      <c r="D285" s="101"/>
      <c r="E285" s="101"/>
      <c r="F285" s="97"/>
      <c r="G285" s="98" t="e" cm="1">
        <f t="array" ref="G285">INDEX(Total!#REF!,MATCH($C267&amp;$G267,Total!$E$8:$E$31&amp;Total!#REF!,0))</f>
        <v>#REF!</v>
      </c>
      <c r="H285" s="99"/>
      <c r="I285" s="280"/>
    </row>
    <row r="286" spans="1:10" ht="16.5" customHeight="1">
      <c r="A286" s="278"/>
      <c r="B286" s="91"/>
      <c r="C286" s="69" t="s">
        <v>159</v>
      </c>
      <c r="D286" s="101"/>
      <c r="E286" s="101"/>
      <c r="F286" s="97"/>
      <c r="G286" s="98" t="e" cm="1">
        <f t="array" ref="G286">INDEX(Total!$T$8:$T$31,MATCH($C267&amp;$G267,Total!$E$8:$E$31&amp;Total!#REF!,0))</f>
        <v>#REF!</v>
      </c>
      <c r="H286" s="99"/>
      <c r="I286" s="280"/>
    </row>
    <row r="287" spans="1:10" ht="17.25" customHeight="1" thickBot="1">
      <c r="A287" s="278"/>
      <c r="B287" s="91"/>
      <c r="C287" s="102" t="s">
        <v>160</v>
      </c>
      <c r="D287" s="103"/>
      <c r="E287" s="103"/>
      <c r="F287" s="104"/>
      <c r="G287" s="105" t="e" cm="1">
        <f t="array" ref="G287">-INDEX(Total!$U$8:$U$31,MATCH($C267&amp;$G267,Total!$E$8:$E$31&amp;Total!#REF!,0))</f>
        <v>#REF!</v>
      </c>
      <c r="H287" s="106"/>
      <c r="I287" s="280"/>
    </row>
    <row r="288" spans="1:10" ht="18" customHeight="1" thickTop="1" thickBot="1">
      <c r="A288" s="278"/>
      <c r="B288" s="107"/>
      <c r="C288" s="108"/>
      <c r="D288" s="109"/>
      <c r="E288" s="110" t="s">
        <v>113</v>
      </c>
      <c r="F288" s="269" t="e">
        <f>SUM($G279:$G287)</f>
        <v>#REF!</v>
      </c>
      <c r="G288" s="269"/>
      <c r="H288" s="112"/>
      <c r="I288" s="280"/>
      <c r="J288" s="113" t="e" cm="1">
        <f t="array" ref="J288">INDEX(Total!$W$8:$W$31,MATCH($C267&amp;$G267,Total!$E$8:$E$31&amp;Total!#REF!,0))</f>
        <v>#REF!</v>
      </c>
    </row>
    <row r="289" spans="1:9" ht="16.5" customHeight="1">
      <c r="A289" s="278"/>
      <c r="B289" s="56"/>
      <c r="C289" s="56"/>
      <c r="D289" s="56"/>
      <c r="E289" s="56"/>
      <c r="F289" s="270"/>
      <c r="G289" s="271"/>
      <c r="H289" s="59"/>
      <c r="I289" s="280"/>
    </row>
    <row r="290" spans="1:9" ht="16.5" customHeight="1">
      <c r="A290" s="278"/>
      <c r="B290" s="114" t="s">
        <v>161</v>
      </c>
      <c r="C290" s="56"/>
      <c r="D290" s="56"/>
      <c r="E290" s="56"/>
      <c r="F290" s="271"/>
      <c r="G290" s="271"/>
      <c r="H290" s="59"/>
      <c r="I290" s="280"/>
    </row>
    <row r="291" spans="1:9" ht="16.5" customHeight="1">
      <c r="A291" s="278"/>
      <c r="B291" s="114" t="s">
        <v>162</v>
      </c>
      <c r="C291" s="56"/>
      <c r="D291" s="272"/>
      <c r="E291" s="272"/>
      <c r="F291" s="271"/>
      <c r="G291" s="271"/>
      <c r="H291" s="59"/>
      <c r="I291" s="280"/>
    </row>
    <row r="292" spans="1:9" ht="16.5" customHeight="1">
      <c r="A292" s="278"/>
      <c r="B292" s="114" t="s">
        <v>163</v>
      </c>
      <c r="C292" s="56"/>
      <c r="D292" s="56"/>
      <c r="E292" s="56"/>
      <c r="F292" s="56"/>
      <c r="G292" s="56"/>
      <c r="H292" s="59"/>
      <c r="I292" s="280"/>
    </row>
    <row r="293" spans="1:9" ht="16.5" customHeight="1">
      <c r="A293" s="278"/>
      <c r="B293" s="115"/>
      <c r="C293" s="57"/>
      <c r="D293" s="116"/>
      <c r="E293" s="273" t="s">
        <v>164</v>
      </c>
      <c r="F293" s="273"/>
      <c r="G293" s="118"/>
      <c r="H293" s="119"/>
      <c r="I293" s="280"/>
    </row>
    <row r="294" spans="1:9" ht="16.5" customHeight="1">
      <c r="A294" s="278"/>
      <c r="B294" s="57"/>
      <c r="C294" s="57"/>
      <c r="D294" s="120"/>
      <c r="E294" s="120"/>
      <c r="F294" s="57"/>
      <c r="G294" s="57"/>
      <c r="H294" s="57"/>
      <c r="I294" s="280"/>
    </row>
    <row r="295" spans="1:9" ht="16.5" customHeight="1">
      <c r="A295" s="278"/>
      <c r="B295" s="57"/>
      <c r="C295" s="57"/>
      <c r="D295" s="120"/>
      <c r="E295" s="116"/>
      <c r="F295" s="117" t="s">
        <v>165</v>
      </c>
      <c r="G295" s="121"/>
      <c r="H295" s="122"/>
      <c r="I295" s="280"/>
    </row>
    <row r="296" spans="1:9" ht="16.5" customHeight="1"/>
    <row r="297" spans="1:9">
      <c r="A297" s="274"/>
      <c r="B297" s="274"/>
      <c r="C297" s="274"/>
      <c r="D297" s="274"/>
      <c r="E297" s="274"/>
      <c r="F297" s="274"/>
      <c r="G297" s="274"/>
      <c r="H297" s="274"/>
      <c r="I297" s="274"/>
    </row>
    <row r="298" spans="1:9" ht="27.75">
      <c r="A298" s="275" t="s">
        <v>166</v>
      </c>
      <c r="B298" s="275"/>
      <c r="C298" s="275"/>
      <c r="D298" s="275"/>
      <c r="E298" s="275"/>
      <c r="F298" s="275"/>
      <c r="G298" s="275"/>
      <c r="H298" s="275"/>
      <c r="I298" s="275"/>
    </row>
    <row r="299" spans="1:9" ht="27.75">
      <c r="A299" s="275" t="s">
        <v>167</v>
      </c>
      <c r="B299" s="275"/>
      <c r="C299" s="275"/>
      <c r="D299" s="275"/>
      <c r="E299" s="275"/>
      <c r="F299" s="275"/>
      <c r="G299" s="275"/>
      <c r="H299" s="275"/>
      <c r="I299" s="275"/>
    </row>
    <row r="300" spans="1:9">
      <c r="A300" s="276" t="s">
        <v>168</v>
      </c>
      <c r="B300" s="276"/>
      <c r="C300" s="276"/>
      <c r="D300" s="276"/>
      <c r="E300" s="276"/>
      <c r="F300" s="276"/>
      <c r="G300" s="276"/>
      <c r="H300" s="276"/>
      <c r="I300" s="276"/>
    </row>
    <row r="301" spans="1:9">
      <c r="A301" s="277"/>
      <c r="B301" s="277"/>
      <c r="C301" s="277"/>
      <c r="D301" s="277"/>
      <c r="E301" s="277"/>
      <c r="F301" s="277"/>
      <c r="G301" s="277"/>
      <c r="H301" s="277"/>
      <c r="I301" s="277"/>
    </row>
    <row r="302" spans="1:9" ht="21" thickBot="1">
      <c r="A302" s="278"/>
      <c r="B302" s="279" t="str">
        <f>Total!$A$2</f>
        <v>2026 Jun Century Field Promoter Salary Summary</v>
      </c>
      <c r="C302" s="279"/>
      <c r="D302" s="279"/>
      <c r="E302" s="279"/>
      <c r="F302" s="279"/>
      <c r="G302" s="279"/>
      <c r="H302" s="279"/>
      <c r="I302" s="280"/>
    </row>
    <row r="303" spans="1:9" ht="17.25" customHeight="1" thickTop="1">
      <c r="A303" s="278"/>
      <c r="B303" s="281"/>
      <c r="C303" s="281"/>
      <c r="D303" s="281"/>
      <c r="E303" s="281"/>
      <c r="F303" s="281"/>
      <c r="G303" s="281"/>
      <c r="H303" s="51"/>
      <c r="I303" s="280"/>
    </row>
    <row r="304" spans="1:9" ht="16.5" customHeight="1">
      <c r="A304" s="278"/>
      <c r="B304" s="52" t="s">
        <v>137</v>
      </c>
      <c r="C304" s="53" t="str">
        <f>Total!$E$16</f>
        <v xml:space="preserve">Siu Wai Ling </v>
      </c>
      <c r="D304" s="53" t="e" cm="1">
        <f t="array" ref="D304">INDEX(Total!$D$8:$D$31,MATCH($C304&amp;$G304,Total!$E$8:$E$31&amp;Total!#REF!,0))</f>
        <v>#REF!</v>
      </c>
      <c r="E304" s="54"/>
      <c r="F304" s="55" t="s">
        <v>138</v>
      </c>
      <c r="G304" s="53" t="e">
        <f>Total!#REF!</f>
        <v>#REF!</v>
      </c>
      <c r="H304" s="53"/>
      <c r="I304" s="280"/>
    </row>
    <row r="305" spans="1:9" ht="17.25" customHeight="1" thickBot="1">
      <c r="A305" s="278"/>
      <c r="B305" s="56"/>
      <c r="C305" s="56"/>
      <c r="D305" s="56"/>
      <c r="E305" s="57"/>
      <c r="F305" s="58"/>
      <c r="G305" s="59"/>
      <c r="H305" s="59"/>
      <c r="I305" s="280"/>
    </row>
    <row r="306" spans="1:9" ht="17.25" customHeight="1" thickBot="1">
      <c r="A306" s="278"/>
      <c r="B306" s="60" t="s">
        <v>139</v>
      </c>
      <c r="C306" s="61"/>
      <c r="D306" s="62"/>
      <c r="E306" s="61" t="s">
        <v>140</v>
      </c>
      <c r="F306" s="63"/>
      <c r="G306" s="59"/>
      <c r="H306" s="59"/>
      <c r="I306" s="280"/>
    </row>
    <row r="307" spans="1:9" ht="17.25" customHeight="1" thickTop="1">
      <c r="A307" s="278"/>
      <c r="B307" s="64" t="s">
        <v>141</v>
      </c>
      <c r="C307" s="65"/>
      <c r="D307" s="66"/>
      <c r="E307" s="67" t="s">
        <v>142</v>
      </c>
      <c r="F307" s="68"/>
      <c r="G307" s="59"/>
      <c r="H307" s="59"/>
      <c r="I307" s="280"/>
    </row>
    <row r="308" spans="1:9" ht="16.5" customHeight="1">
      <c r="A308" s="278"/>
      <c r="B308" s="69" t="s">
        <v>143</v>
      </c>
      <c r="C308" s="70"/>
      <c r="D308" s="71"/>
      <c r="E308" s="72" t="e" cm="1">
        <f t="array" ref="E308">INDEX(Total!$F$8:$F$31,MATCH($C304&amp;$G304,Total!$E$8:$E$31&amp;Total!#REF!,0))</f>
        <v>#REF!</v>
      </c>
      <c r="F308" s="73"/>
      <c r="G308" s="59"/>
      <c r="H308" s="59"/>
      <c r="I308" s="280"/>
    </row>
    <row r="309" spans="1:9" ht="16.5" customHeight="1">
      <c r="A309" s="278"/>
      <c r="B309" s="69" t="s">
        <v>144</v>
      </c>
      <c r="C309" s="74"/>
      <c r="D309" s="71"/>
      <c r="E309" s="75" t="e" cm="1">
        <f t="array" ref="E309">INDEX(Total!$G$8:$G$31,MATCH($C304&amp;$G304,Total!$E$8:$E$31&amp;Total!#REF!,0))</f>
        <v>#REF!</v>
      </c>
      <c r="F309" s="73"/>
      <c r="G309" s="59"/>
      <c r="H309" s="59"/>
      <c r="I309" s="280"/>
    </row>
    <row r="310" spans="1:9" ht="16.5" customHeight="1">
      <c r="A310" s="278"/>
      <c r="B310" s="69" t="s">
        <v>145</v>
      </c>
      <c r="C310" s="74"/>
      <c r="D310" s="71"/>
      <c r="E310" s="76" t="e" cm="1">
        <f t="array" ref="E310">INDEX(Total!$H$8:$H$31,MATCH($C304&amp;$G304,Total!$E$8:$E$31&amp;Total!#REF!,0))</f>
        <v>#REF!</v>
      </c>
      <c r="F310" s="73"/>
      <c r="G310" s="58"/>
      <c r="H310" s="58"/>
      <c r="I310" s="280"/>
    </row>
    <row r="311" spans="1:9" ht="16.5" customHeight="1">
      <c r="A311" s="278"/>
      <c r="B311" s="69" t="s">
        <v>146</v>
      </c>
      <c r="C311" s="70"/>
      <c r="D311" s="77"/>
      <c r="E311" s="76" t="e" cm="1">
        <f t="array" ref="E311">INDEX(Total!$I$8:$I$31,MATCH($C304&amp;$G304,Total!$E$8:$E$31&amp;Total!#REF!,0))</f>
        <v>#REF!</v>
      </c>
      <c r="F311" s="78"/>
      <c r="G311" s="58"/>
      <c r="H311" s="58"/>
      <c r="I311" s="280"/>
    </row>
    <row r="312" spans="1:9" ht="16.5" customHeight="1">
      <c r="A312" s="278"/>
      <c r="B312" s="69" t="s">
        <v>147</v>
      </c>
      <c r="C312" s="70"/>
      <c r="D312" s="77"/>
      <c r="E312" s="76" t="e" cm="1">
        <f t="array" ref="E312">INDEX(Total!$J$8:$J$31,MATCH($C304&amp;$G304,Total!$E$8:$E$31&amp;Total!#REF!,0))</f>
        <v>#REF!</v>
      </c>
      <c r="F312" s="78"/>
      <c r="G312" s="58"/>
      <c r="H312" s="58"/>
      <c r="I312" s="280"/>
    </row>
    <row r="313" spans="1:9" ht="17.25" customHeight="1" thickBot="1">
      <c r="A313" s="278"/>
      <c r="B313" s="79" t="s">
        <v>148</v>
      </c>
      <c r="C313" s="80"/>
      <c r="D313" s="81"/>
      <c r="E313" s="82" t="e" cm="1">
        <f t="array" ref="E313">INDEX(Total!$L$8:$L$31,MATCH($C304&amp;$G304,Total!$E$8:$E$31&amp;Total!#REF!,0))</f>
        <v>#REF!</v>
      </c>
      <c r="F313" s="83"/>
      <c r="G313" s="84"/>
      <c r="H313" s="84"/>
      <c r="I313" s="280"/>
    </row>
    <row r="314" spans="1:9" ht="17.25" customHeight="1" thickBot="1">
      <c r="A314" s="278"/>
      <c r="B314" s="85"/>
      <c r="C314" s="85"/>
      <c r="D314" s="85"/>
      <c r="E314" s="85"/>
      <c r="F314" s="85"/>
      <c r="G314" s="85"/>
      <c r="H314" s="85"/>
      <c r="I314" s="280"/>
    </row>
    <row r="315" spans="1:9" ht="17.25" customHeight="1" thickBot="1">
      <c r="A315" s="278"/>
      <c r="B315" s="86"/>
      <c r="C315" s="87" t="s">
        <v>149</v>
      </c>
      <c r="D315" s="88"/>
      <c r="E315" s="88"/>
      <c r="F315" s="89" t="s">
        <v>150</v>
      </c>
      <c r="G315" s="89"/>
      <c r="H315" s="90"/>
      <c r="I315" s="280"/>
    </row>
    <row r="316" spans="1:9" ht="17.25" customHeight="1" thickTop="1">
      <c r="A316" s="278"/>
      <c r="B316" s="91"/>
      <c r="C316" s="64" t="s">
        <v>151</v>
      </c>
      <c r="D316" s="92"/>
      <c r="E316" s="92"/>
      <c r="F316" s="93"/>
      <c r="G316" s="94" t="e" cm="1">
        <f t="array" ref="G316">INDEX(Total!$K$8:$K$31,MATCH($C304&amp;$G304,Total!$E$8:$E$31&amp;Total!#REF!,0))</f>
        <v>#REF!</v>
      </c>
      <c r="H316" s="95"/>
      <c r="I316" s="280"/>
    </row>
    <row r="317" spans="1:9" ht="16.5" customHeight="1">
      <c r="A317" s="278"/>
      <c r="B317" s="91"/>
      <c r="C317" s="69" t="s">
        <v>152</v>
      </c>
      <c r="D317" s="96"/>
      <c r="E317" s="96"/>
      <c r="F317" s="97"/>
      <c r="G317" s="98" t="e" cm="1">
        <f t="array" ref="G317">INDEX(Total!$Q$8:$Q$31,MATCH($C304&amp;$G304,Total!$E$8:$E$31&amp;Total!#REF!,0))</f>
        <v>#REF!</v>
      </c>
      <c r="H317" s="99"/>
      <c r="I317" s="280"/>
    </row>
    <row r="318" spans="1:9" ht="16.5" customHeight="1">
      <c r="A318" s="278"/>
      <c r="B318" s="91"/>
      <c r="C318" s="69" t="s">
        <v>153</v>
      </c>
      <c r="D318" s="100"/>
      <c r="E318" s="100"/>
      <c r="F318" s="97"/>
      <c r="G318" s="98" t="e" cm="1">
        <f t="array" ref="G318">INDEX(Total!$N$8:$N$31,MATCH($C304&amp;$G304,Total!$E$8:$E$31&amp;Total!#REF!,0))</f>
        <v>#REF!</v>
      </c>
      <c r="H318" s="99"/>
      <c r="I318" s="280"/>
    </row>
    <row r="319" spans="1:9" ht="16.5" customHeight="1">
      <c r="A319" s="278"/>
      <c r="B319" s="91"/>
      <c r="C319" s="69" t="s">
        <v>154</v>
      </c>
      <c r="D319" s="101"/>
      <c r="E319" s="101"/>
      <c r="F319" s="97"/>
      <c r="G319" s="98" t="e" cm="1">
        <f t="array" ref="G319">INDEX(Total!$R$8:$R$31,MATCH($C304&amp;$G304,Total!$E$8:$E$31&amp;Total!#REF!,0))</f>
        <v>#REF!</v>
      </c>
      <c r="H319" s="99"/>
      <c r="I319" s="280"/>
    </row>
    <row r="320" spans="1:9" ht="16.5" customHeight="1">
      <c r="A320" s="278"/>
      <c r="B320" s="91"/>
      <c r="C320" s="69" t="s">
        <v>155</v>
      </c>
      <c r="D320" s="101"/>
      <c r="E320" s="101"/>
      <c r="F320" s="97"/>
      <c r="G320" s="98" t="e" cm="1">
        <f t="array" ref="G320">INDEX(Total!#REF!,MATCH($C304&amp;$G304,Total!$E$8:$E$31&amp;Total!#REF!,0))</f>
        <v>#REF!</v>
      </c>
      <c r="H320" s="99"/>
      <c r="I320" s="280"/>
    </row>
    <row r="321" spans="1:10" ht="16.5" customHeight="1">
      <c r="A321" s="278"/>
      <c r="B321" s="91"/>
      <c r="C321" s="69" t="s">
        <v>156</v>
      </c>
      <c r="D321" s="96" t="s">
        <v>157</v>
      </c>
      <c r="E321" s="96"/>
      <c r="F321" s="97"/>
      <c r="G321" s="98" t="e" cm="1">
        <f t="array" ref="G321">INDEX(Total!$S$8:$S$31,MATCH($C304&amp;$G304,Total!$E$8:$E$31&amp;Total!#REF!,0))</f>
        <v>#REF!</v>
      </c>
      <c r="H321" s="99"/>
      <c r="I321" s="280"/>
    </row>
    <row r="322" spans="1:10" ht="16.5" customHeight="1">
      <c r="A322" s="278"/>
      <c r="B322" s="91"/>
      <c r="C322" s="69" t="s">
        <v>158</v>
      </c>
      <c r="D322" s="101"/>
      <c r="E322" s="101"/>
      <c r="F322" s="97"/>
      <c r="G322" s="98" t="e" cm="1">
        <f t="array" ref="G322">INDEX(Total!#REF!,MATCH($C304&amp;$G304,Total!$E$8:$E$31&amp;Total!#REF!,0))</f>
        <v>#REF!</v>
      </c>
      <c r="H322" s="99"/>
      <c r="I322" s="280"/>
    </row>
    <row r="323" spans="1:10" ht="16.5" customHeight="1">
      <c r="A323" s="278"/>
      <c r="B323" s="91"/>
      <c r="C323" s="69" t="s">
        <v>159</v>
      </c>
      <c r="D323" s="101"/>
      <c r="E323" s="101"/>
      <c r="F323" s="97"/>
      <c r="G323" s="98" t="e" cm="1">
        <f t="array" ref="G323">INDEX(Total!$T$8:$T$31,MATCH($C304&amp;$G304,Total!$E$8:$E$31&amp;Total!#REF!,0))</f>
        <v>#REF!</v>
      </c>
      <c r="H323" s="99"/>
      <c r="I323" s="280"/>
    </row>
    <row r="324" spans="1:10" ht="17.25" customHeight="1" thickBot="1">
      <c r="A324" s="278"/>
      <c r="B324" s="91"/>
      <c r="C324" s="102" t="s">
        <v>160</v>
      </c>
      <c r="D324" s="103"/>
      <c r="E324" s="103"/>
      <c r="F324" s="104"/>
      <c r="G324" s="105" t="e" cm="1">
        <f t="array" ref="G324">-INDEX(Total!$U$8:$U$31,MATCH($C304&amp;$G304,Total!$E$8:$E$31&amp;Total!#REF!,0))</f>
        <v>#REF!</v>
      </c>
      <c r="H324" s="106"/>
      <c r="I324" s="280"/>
    </row>
    <row r="325" spans="1:10" ht="18" customHeight="1" thickTop="1" thickBot="1">
      <c r="A325" s="278"/>
      <c r="B325" s="107"/>
      <c r="C325" s="108"/>
      <c r="D325" s="109"/>
      <c r="E325" s="110" t="s">
        <v>113</v>
      </c>
      <c r="F325" s="269" t="e">
        <f>SUM($G316:$G324)</f>
        <v>#REF!</v>
      </c>
      <c r="G325" s="269"/>
      <c r="H325" s="112"/>
      <c r="I325" s="280"/>
      <c r="J325" s="113" t="e" cm="1">
        <f t="array" ref="J325">INDEX(Total!$W$8:$W$31,MATCH($C304&amp;$G304,Total!$E$8:$E$31&amp;Total!#REF!,0))</f>
        <v>#REF!</v>
      </c>
    </row>
    <row r="326" spans="1:10" ht="16.5" customHeight="1">
      <c r="A326" s="278"/>
      <c r="B326" s="56"/>
      <c r="C326" s="56"/>
      <c r="D326" s="56"/>
      <c r="E326" s="56"/>
      <c r="F326" s="270"/>
      <c r="G326" s="271"/>
      <c r="H326" s="59"/>
      <c r="I326" s="280"/>
    </row>
    <row r="327" spans="1:10" ht="16.5" customHeight="1">
      <c r="A327" s="278"/>
      <c r="B327" s="114" t="s">
        <v>161</v>
      </c>
      <c r="C327" s="56"/>
      <c r="D327" s="56"/>
      <c r="E327" s="56"/>
      <c r="F327" s="271"/>
      <c r="G327" s="271"/>
      <c r="H327" s="59"/>
      <c r="I327" s="280"/>
    </row>
    <row r="328" spans="1:10" ht="16.5" customHeight="1">
      <c r="A328" s="278"/>
      <c r="B328" s="114" t="s">
        <v>162</v>
      </c>
      <c r="C328" s="56"/>
      <c r="D328" s="272"/>
      <c r="E328" s="272"/>
      <c r="F328" s="271"/>
      <c r="G328" s="271"/>
      <c r="H328" s="59"/>
      <c r="I328" s="280"/>
    </row>
    <row r="329" spans="1:10" ht="16.5" customHeight="1">
      <c r="A329" s="278"/>
      <c r="B329" s="114" t="s">
        <v>163</v>
      </c>
      <c r="C329" s="56"/>
      <c r="D329" s="56"/>
      <c r="E329" s="56"/>
      <c r="F329" s="56"/>
      <c r="G329" s="56"/>
      <c r="H329" s="59"/>
      <c r="I329" s="280"/>
    </row>
    <row r="330" spans="1:10" ht="16.5" customHeight="1">
      <c r="A330" s="278"/>
      <c r="B330" s="115"/>
      <c r="C330" s="57"/>
      <c r="D330" s="116"/>
      <c r="E330" s="273" t="s">
        <v>164</v>
      </c>
      <c r="F330" s="273"/>
      <c r="G330" s="118"/>
      <c r="H330" s="119"/>
      <c r="I330" s="280"/>
    </row>
    <row r="331" spans="1:10" ht="16.5" customHeight="1">
      <c r="A331" s="278"/>
      <c r="B331" s="57"/>
      <c r="C331" s="57"/>
      <c r="D331" s="120"/>
      <c r="E331" s="120"/>
      <c r="F331" s="57"/>
      <c r="G331" s="57"/>
      <c r="H331" s="57"/>
      <c r="I331" s="280"/>
    </row>
    <row r="332" spans="1:10" ht="16.5" customHeight="1">
      <c r="A332" s="278"/>
      <c r="B332" s="57"/>
      <c r="C332" s="57"/>
      <c r="D332" s="120"/>
      <c r="E332" s="116"/>
      <c r="F332" s="117" t="s">
        <v>165</v>
      </c>
      <c r="G332" s="121"/>
      <c r="H332" s="122"/>
      <c r="I332" s="280"/>
    </row>
    <row r="333" spans="1:10" ht="16.5" customHeight="1"/>
    <row r="334" spans="1:10">
      <c r="A334" s="274"/>
      <c r="B334" s="274"/>
      <c r="C334" s="274"/>
      <c r="D334" s="274"/>
      <c r="E334" s="274"/>
      <c r="F334" s="274"/>
      <c r="G334" s="274"/>
      <c r="H334" s="274"/>
      <c r="I334" s="274"/>
    </row>
    <row r="335" spans="1:10" ht="27.75">
      <c r="A335" s="275" t="s">
        <v>166</v>
      </c>
      <c r="B335" s="275"/>
      <c r="C335" s="275"/>
      <c r="D335" s="275"/>
      <c r="E335" s="275"/>
      <c r="F335" s="275"/>
      <c r="G335" s="275"/>
      <c r="H335" s="275"/>
      <c r="I335" s="275"/>
    </row>
    <row r="336" spans="1:10" ht="27.75">
      <c r="A336" s="275" t="s">
        <v>167</v>
      </c>
      <c r="B336" s="275"/>
      <c r="C336" s="275"/>
      <c r="D336" s="275"/>
      <c r="E336" s="275"/>
      <c r="F336" s="275"/>
      <c r="G336" s="275"/>
      <c r="H336" s="275"/>
      <c r="I336" s="275"/>
    </row>
    <row r="337" spans="1:9">
      <c r="A337" s="276" t="s">
        <v>168</v>
      </c>
      <c r="B337" s="276"/>
      <c r="C337" s="276"/>
      <c r="D337" s="276"/>
      <c r="E337" s="276"/>
      <c r="F337" s="276"/>
      <c r="G337" s="276"/>
      <c r="H337" s="276"/>
      <c r="I337" s="276"/>
    </row>
    <row r="338" spans="1:9">
      <c r="A338" s="277"/>
      <c r="B338" s="277"/>
      <c r="C338" s="277"/>
      <c r="D338" s="277"/>
      <c r="E338" s="277"/>
      <c r="F338" s="277"/>
      <c r="G338" s="277"/>
      <c r="H338" s="277"/>
      <c r="I338" s="277"/>
    </row>
    <row r="339" spans="1:9" ht="21" thickBot="1">
      <c r="A339" s="278"/>
      <c r="B339" s="279" t="str">
        <f>Total!$A$2</f>
        <v>2026 Jun Century Field Promoter Salary Summary</v>
      </c>
      <c r="C339" s="279"/>
      <c r="D339" s="279"/>
      <c r="E339" s="279"/>
      <c r="F339" s="279"/>
      <c r="G339" s="279"/>
      <c r="H339" s="279"/>
      <c r="I339" s="280"/>
    </row>
    <row r="340" spans="1:9" ht="17.25" customHeight="1" thickTop="1">
      <c r="A340" s="278"/>
      <c r="B340" s="281"/>
      <c r="C340" s="281"/>
      <c r="D340" s="281"/>
      <c r="E340" s="281"/>
      <c r="F340" s="281"/>
      <c r="G340" s="281"/>
      <c r="H340" s="51"/>
      <c r="I340" s="280"/>
    </row>
    <row r="341" spans="1:9" ht="16.5" customHeight="1">
      <c r="A341" s="278"/>
      <c r="B341" s="52" t="s">
        <v>137</v>
      </c>
      <c r="C341" s="53" t="str">
        <f>Total!$E$17</f>
        <v xml:space="preserve">Siu Wai Ling </v>
      </c>
      <c r="D341" s="53" t="e" cm="1">
        <f t="array" ref="D341">INDEX(Total!$D$8:$D$31,MATCH($C341&amp;$G341,Total!$E$8:$E$31&amp;Total!#REF!,0))</f>
        <v>#REF!</v>
      </c>
      <c r="E341" s="54"/>
      <c r="F341" s="55" t="s">
        <v>138</v>
      </c>
      <c r="G341" s="53" t="e">
        <f>Total!#REF!</f>
        <v>#REF!</v>
      </c>
      <c r="H341" s="53"/>
      <c r="I341" s="280"/>
    </row>
    <row r="342" spans="1:9" ht="17.25" customHeight="1" thickBot="1">
      <c r="A342" s="278"/>
      <c r="B342" s="56"/>
      <c r="C342" s="56"/>
      <c r="D342" s="56"/>
      <c r="E342" s="57"/>
      <c r="F342" s="58"/>
      <c r="G342" s="59"/>
      <c r="H342" s="59"/>
      <c r="I342" s="280"/>
    </row>
    <row r="343" spans="1:9" ht="17.25" customHeight="1" thickBot="1">
      <c r="A343" s="278"/>
      <c r="B343" s="60" t="s">
        <v>139</v>
      </c>
      <c r="C343" s="61"/>
      <c r="D343" s="62"/>
      <c r="E343" s="61" t="s">
        <v>140</v>
      </c>
      <c r="F343" s="63"/>
      <c r="G343" s="59"/>
      <c r="H343" s="59"/>
      <c r="I343" s="280"/>
    </row>
    <row r="344" spans="1:9" ht="17.25" customHeight="1" thickTop="1">
      <c r="A344" s="278"/>
      <c r="B344" s="64" t="s">
        <v>141</v>
      </c>
      <c r="C344" s="65"/>
      <c r="D344" s="66"/>
      <c r="E344" s="67" t="s">
        <v>142</v>
      </c>
      <c r="F344" s="68"/>
      <c r="G344" s="59"/>
      <c r="H344" s="59"/>
      <c r="I344" s="280"/>
    </row>
    <row r="345" spans="1:9" ht="16.5" customHeight="1">
      <c r="A345" s="278"/>
      <c r="B345" s="69" t="s">
        <v>143</v>
      </c>
      <c r="C345" s="70"/>
      <c r="D345" s="71"/>
      <c r="E345" s="72" t="e" cm="1">
        <f t="array" ref="E345">INDEX(Total!$F$8:$F$31,MATCH($C341&amp;$G341,Total!$E$8:$E$31&amp;Total!#REF!,0))</f>
        <v>#REF!</v>
      </c>
      <c r="F345" s="73"/>
      <c r="G345" s="59"/>
      <c r="H345" s="59"/>
      <c r="I345" s="280"/>
    </row>
    <row r="346" spans="1:9" ht="16.5" customHeight="1">
      <c r="A346" s="278"/>
      <c r="B346" s="69" t="s">
        <v>144</v>
      </c>
      <c r="C346" s="74"/>
      <c r="D346" s="71"/>
      <c r="E346" s="75" t="e" cm="1">
        <f t="array" ref="E346">INDEX(Total!$G$8:$G$31,MATCH($C341&amp;$G341,Total!$E$8:$E$31&amp;Total!#REF!,0))</f>
        <v>#REF!</v>
      </c>
      <c r="F346" s="73"/>
      <c r="G346" s="59"/>
      <c r="H346" s="59"/>
      <c r="I346" s="280"/>
    </row>
    <row r="347" spans="1:9" ht="16.5" customHeight="1">
      <c r="A347" s="278"/>
      <c r="B347" s="69" t="s">
        <v>145</v>
      </c>
      <c r="C347" s="74"/>
      <c r="D347" s="71"/>
      <c r="E347" s="76" t="e" cm="1">
        <f t="array" ref="E347">INDEX(Total!$H$8:$H$31,MATCH($C341&amp;$G341,Total!$E$8:$E$31&amp;Total!#REF!,0))</f>
        <v>#REF!</v>
      </c>
      <c r="F347" s="73"/>
      <c r="G347" s="58"/>
      <c r="H347" s="58"/>
      <c r="I347" s="280"/>
    </row>
    <row r="348" spans="1:9" ht="16.5" customHeight="1">
      <c r="A348" s="278"/>
      <c r="B348" s="69" t="s">
        <v>146</v>
      </c>
      <c r="C348" s="70"/>
      <c r="D348" s="77"/>
      <c r="E348" s="76" t="e" cm="1">
        <f t="array" ref="E348">INDEX(Total!$I$8:$I$31,MATCH($C341&amp;$G341,Total!$E$8:$E$31&amp;Total!#REF!,0))</f>
        <v>#REF!</v>
      </c>
      <c r="F348" s="78"/>
      <c r="G348" s="58"/>
      <c r="H348" s="58"/>
      <c r="I348" s="280"/>
    </row>
    <row r="349" spans="1:9" ht="16.5" customHeight="1">
      <c r="A349" s="278"/>
      <c r="B349" s="69" t="s">
        <v>147</v>
      </c>
      <c r="C349" s="70"/>
      <c r="D349" s="77"/>
      <c r="E349" s="76" t="e" cm="1">
        <f t="array" ref="E349">INDEX(Total!$J$8:$J$31,MATCH($C341&amp;$G341,Total!$E$8:$E$31&amp;Total!#REF!,0))</f>
        <v>#REF!</v>
      </c>
      <c r="F349" s="78"/>
      <c r="G349" s="58"/>
      <c r="H349" s="58"/>
      <c r="I349" s="280"/>
    </row>
    <row r="350" spans="1:9" ht="17.25" customHeight="1" thickBot="1">
      <c r="A350" s="278"/>
      <c r="B350" s="79" t="s">
        <v>148</v>
      </c>
      <c r="C350" s="80"/>
      <c r="D350" s="81"/>
      <c r="E350" s="82" t="e" cm="1">
        <f t="array" ref="E350">INDEX(Total!$L$8:$L$31,MATCH($C341&amp;$G341,Total!$E$8:$E$31&amp;Total!#REF!,0))</f>
        <v>#REF!</v>
      </c>
      <c r="F350" s="83"/>
      <c r="G350" s="84"/>
      <c r="H350" s="84"/>
      <c r="I350" s="280"/>
    </row>
    <row r="351" spans="1:9" ht="17.25" customHeight="1" thickBot="1">
      <c r="A351" s="278"/>
      <c r="B351" s="85"/>
      <c r="C351" s="85"/>
      <c r="D351" s="85"/>
      <c r="E351" s="85"/>
      <c r="F351" s="85"/>
      <c r="G351" s="85"/>
      <c r="H351" s="85"/>
      <c r="I351" s="280"/>
    </row>
    <row r="352" spans="1:9" ht="17.25" customHeight="1" thickBot="1">
      <c r="A352" s="278"/>
      <c r="B352" s="86"/>
      <c r="C352" s="87" t="s">
        <v>149</v>
      </c>
      <c r="D352" s="88"/>
      <c r="E352" s="88"/>
      <c r="F352" s="89" t="s">
        <v>150</v>
      </c>
      <c r="G352" s="89"/>
      <c r="H352" s="90"/>
      <c r="I352" s="280"/>
    </row>
    <row r="353" spans="1:10" ht="17.25" customHeight="1" thickTop="1">
      <c r="A353" s="278"/>
      <c r="B353" s="91"/>
      <c r="C353" s="64" t="s">
        <v>151</v>
      </c>
      <c r="D353" s="92"/>
      <c r="E353" s="92"/>
      <c r="F353" s="93"/>
      <c r="G353" s="94" t="e" cm="1">
        <f t="array" ref="G353">INDEX(Total!$K$8:$K$31,MATCH($C341&amp;$G341,Total!$E$8:$E$31&amp;Total!#REF!,0))</f>
        <v>#REF!</v>
      </c>
      <c r="H353" s="95"/>
      <c r="I353" s="280"/>
    </row>
    <row r="354" spans="1:10" ht="16.5" customHeight="1">
      <c r="A354" s="278"/>
      <c r="B354" s="91"/>
      <c r="C354" s="69" t="s">
        <v>152</v>
      </c>
      <c r="D354" s="96"/>
      <c r="E354" s="96"/>
      <c r="F354" s="97"/>
      <c r="G354" s="98" t="e" cm="1">
        <f t="array" ref="G354">INDEX(Total!$Q$8:$Q$31,MATCH($C341&amp;$G341,Total!$E$8:$E$31&amp;Total!#REF!,0))</f>
        <v>#REF!</v>
      </c>
      <c r="H354" s="99"/>
      <c r="I354" s="280"/>
    </row>
    <row r="355" spans="1:10" ht="16.5" customHeight="1">
      <c r="A355" s="278"/>
      <c r="B355" s="91"/>
      <c r="C355" s="69" t="s">
        <v>153</v>
      </c>
      <c r="D355" s="100"/>
      <c r="E355" s="100"/>
      <c r="F355" s="97"/>
      <c r="G355" s="98" t="e" cm="1">
        <f t="array" ref="G355">INDEX(Total!$N$8:$N$31,MATCH($C341&amp;$G341,Total!$E$8:$E$31&amp;Total!#REF!,0))</f>
        <v>#REF!</v>
      </c>
      <c r="H355" s="99"/>
      <c r="I355" s="280"/>
    </row>
    <row r="356" spans="1:10" ht="16.5" customHeight="1">
      <c r="A356" s="278"/>
      <c r="B356" s="91"/>
      <c r="C356" s="69" t="s">
        <v>154</v>
      </c>
      <c r="D356" s="101"/>
      <c r="E356" s="101"/>
      <c r="F356" s="97"/>
      <c r="G356" s="98" t="e" cm="1">
        <f t="array" ref="G356">INDEX(Total!$R$8:$R$31,MATCH($C341&amp;$G341,Total!$E$8:$E$31&amp;Total!#REF!,0))</f>
        <v>#REF!</v>
      </c>
      <c r="H356" s="99"/>
      <c r="I356" s="280"/>
    </row>
    <row r="357" spans="1:10" ht="16.5" customHeight="1">
      <c r="A357" s="278"/>
      <c r="B357" s="91"/>
      <c r="C357" s="69" t="s">
        <v>155</v>
      </c>
      <c r="D357" s="101"/>
      <c r="E357" s="101"/>
      <c r="F357" s="97"/>
      <c r="G357" s="98" t="e" cm="1">
        <f t="array" ref="G357">INDEX(Total!#REF!,MATCH($C341&amp;$G341,Total!$E$8:$E$31&amp;Total!#REF!,0))</f>
        <v>#REF!</v>
      </c>
      <c r="H357" s="99"/>
      <c r="I357" s="280"/>
    </row>
    <row r="358" spans="1:10" ht="16.5" customHeight="1">
      <c r="A358" s="278"/>
      <c r="B358" s="91"/>
      <c r="C358" s="69" t="s">
        <v>156</v>
      </c>
      <c r="D358" s="96" t="s">
        <v>157</v>
      </c>
      <c r="E358" s="96"/>
      <c r="F358" s="97"/>
      <c r="G358" s="98" t="e" cm="1">
        <f t="array" ref="G358">INDEX(Total!$S$8:$S$31,MATCH($C341&amp;$G341,Total!$E$8:$E$31&amp;Total!#REF!,0))</f>
        <v>#REF!</v>
      </c>
      <c r="H358" s="99"/>
      <c r="I358" s="280"/>
    </row>
    <row r="359" spans="1:10" ht="16.5" customHeight="1">
      <c r="A359" s="278"/>
      <c r="B359" s="91"/>
      <c r="C359" s="69" t="s">
        <v>158</v>
      </c>
      <c r="D359" s="101"/>
      <c r="E359" s="101"/>
      <c r="F359" s="97"/>
      <c r="G359" s="98" t="e" cm="1">
        <f t="array" ref="G359">INDEX(Total!#REF!,MATCH($C341&amp;$G341,Total!$E$8:$E$31&amp;Total!#REF!,0))</f>
        <v>#REF!</v>
      </c>
      <c r="H359" s="99"/>
      <c r="I359" s="280"/>
    </row>
    <row r="360" spans="1:10" ht="16.5" customHeight="1">
      <c r="A360" s="278"/>
      <c r="B360" s="91"/>
      <c r="C360" s="69" t="s">
        <v>159</v>
      </c>
      <c r="D360" s="101"/>
      <c r="E360" s="101"/>
      <c r="F360" s="97"/>
      <c r="G360" s="98" t="e" cm="1">
        <f t="array" ref="G360">INDEX(Total!$T$8:$T$31,MATCH($C341&amp;$G341,Total!$E$8:$E$31&amp;Total!#REF!,0))</f>
        <v>#REF!</v>
      </c>
      <c r="H360" s="99"/>
      <c r="I360" s="280"/>
    </row>
    <row r="361" spans="1:10" ht="17.25" customHeight="1" thickBot="1">
      <c r="A361" s="278"/>
      <c r="B361" s="91"/>
      <c r="C361" s="102" t="s">
        <v>160</v>
      </c>
      <c r="D361" s="103"/>
      <c r="E361" s="103"/>
      <c r="F361" s="104"/>
      <c r="G361" s="105" t="e" cm="1">
        <f t="array" ref="G361">-INDEX(Total!$U$8:$U$31,MATCH($C341&amp;$G341,Total!$E$8:$E$31&amp;Total!#REF!,0))</f>
        <v>#REF!</v>
      </c>
      <c r="H361" s="106"/>
      <c r="I361" s="280"/>
    </row>
    <row r="362" spans="1:10" ht="18" customHeight="1" thickTop="1" thickBot="1">
      <c r="A362" s="278"/>
      <c r="B362" s="107"/>
      <c r="C362" s="108"/>
      <c r="D362" s="109"/>
      <c r="E362" s="110" t="s">
        <v>113</v>
      </c>
      <c r="F362" s="269" t="e">
        <f>SUM($G353:$G361)</f>
        <v>#REF!</v>
      </c>
      <c r="G362" s="269"/>
      <c r="H362" s="112"/>
      <c r="I362" s="280"/>
      <c r="J362" s="113" t="e" cm="1">
        <f t="array" ref="J362">INDEX(Total!$W$8:$W$31,MATCH($C341&amp;$G341,Total!$E$8:$E$31&amp;Total!#REF!,0))</f>
        <v>#REF!</v>
      </c>
    </row>
    <row r="363" spans="1:10" ht="16.5" customHeight="1">
      <c r="A363" s="278"/>
      <c r="B363" s="56"/>
      <c r="C363" s="56"/>
      <c r="D363" s="56"/>
      <c r="E363" s="56"/>
      <c r="F363" s="270"/>
      <c r="G363" s="271"/>
      <c r="H363" s="59"/>
      <c r="I363" s="280"/>
    </row>
    <row r="364" spans="1:10" ht="16.5" customHeight="1">
      <c r="A364" s="278"/>
      <c r="B364" s="114" t="s">
        <v>161</v>
      </c>
      <c r="C364" s="56"/>
      <c r="D364" s="56"/>
      <c r="E364" s="56"/>
      <c r="F364" s="271"/>
      <c r="G364" s="271"/>
      <c r="H364" s="59"/>
      <c r="I364" s="280"/>
    </row>
    <row r="365" spans="1:10" ht="16.5" customHeight="1">
      <c r="A365" s="278"/>
      <c r="B365" s="114" t="s">
        <v>162</v>
      </c>
      <c r="C365" s="56"/>
      <c r="D365" s="272"/>
      <c r="E365" s="272"/>
      <c r="F365" s="271"/>
      <c r="G365" s="271"/>
      <c r="H365" s="59"/>
      <c r="I365" s="280"/>
    </row>
    <row r="366" spans="1:10" ht="16.5" customHeight="1">
      <c r="A366" s="278"/>
      <c r="B366" s="114" t="s">
        <v>163</v>
      </c>
      <c r="C366" s="56"/>
      <c r="D366" s="56"/>
      <c r="E366" s="56"/>
      <c r="F366" s="56"/>
      <c r="G366" s="56"/>
      <c r="H366" s="59"/>
      <c r="I366" s="280"/>
    </row>
    <row r="367" spans="1:10" ht="16.5" customHeight="1">
      <c r="A367" s="278"/>
      <c r="B367" s="115"/>
      <c r="C367" s="57"/>
      <c r="D367" s="116"/>
      <c r="E367" s="273" t="s">
        <v>164</v>
      </c>
      <c r="F367" s="273"/>
      <c r="G367" s="118"/>
      <c r="H367" s="119"/>
      <c r="I367" s="280"/>
    </row>
    <row r="368" spans="1:10" ht="16.5" customHeight="1">
      <c r="A368" s="278"/>
      <c r="B368" s="57"/>
      <c r="C368" s="57"/>
      <c r="D368" s="120"/>
      <c r="E368" s="120"/>
      <c r="F368" s="57"/>
      <c r="G368" s="57"/>
      <c r="H368" s="57"/>
      <c r="I368" s="280"/>
    </row>
    <row r="369" spans="1:9" ht="16.5" customHeight="1">
      <c r="A369" s="278"/>
      <c r="B369" s="57"/>
      <c r="C369" s="57"/>
      <c r="D369" s="120"/>
      <c r="E369" s="116"/>
      <c r="F369" s="117" t="s">
        <v>165</v>
      </c>
      <c r="G369" s="121"/>
      <c r="H369" s="122"/>
      <c r="I369" s="280"/>
    </row>
    <row r="370" spans="1:9" ht="16.5" customHeight="1"/>
  </sheetData>
  <protectedRanges>
    <protectedRange password="E851" sqref="D20:F28 D57:F65 D94:F102 D131:F139 D168:F176 D205:F213 D242:F250 D279:F287 D316:F324 D353:F361" name="範圍1_1_1_2_1_2"/>
  </protectedRanges>
  <mergeCells count="132">
    <mergeCell ref="F363:G365"/>
    <mergeCell ref="D365:E365"/>
    <mergeCell ref="E367:F367"/>
    <mergeCell ref="A334:I334"/>
    <mergeCell ref="A335:I335"/>
    <mergeCell ref="A336:I336"/>
    <mergeCell ref="A337:I337"/>
    <mergeCell ref="A338:I338"/>
    <mergeCell ref="A339:A369"/>
    <mergeCell ref="B339:H339"/>
    <mergeCell ref="I339:I369"/>
    <mergeCell ref="B340:G340"/>
    <mergeCell ref="F362:G362"/>
    <mergeCell ref="A300:I300"/>
    <mergeCell ref="A301:I301"/>
    <mergeCell ref="A302:A332"/>
    <mergeCell ref="B302:H302"/>
    <mergeCell ref="I302:I332"/>
    <mergeCell ref="B303:G303"/>
    <mergeCell ref="F325:G325"/>
    <mergeCell ref="F326:G328"/>
    <mergeCell ref="D328:E328"/>
    <mergeCell ref="E330:F330"/>
    <mergeCell ref="F289:G291"/>
    <mergeCell ref="D291:E291"/>
    <mergeCell ref="E293:F293"/>
    <mergeCell ref="A297:I297"/>
    <mergeCell ref="A298:I298"/>
    <mergeCell ref="A299:I299"/>
    <mergeCell ref="A260:I260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F288:G288"/>
    <mergeCell ref="A226:I226"/>
    <mergeCell ref="A227:I227"/>
    <mergeCell ref="A228:A258"/>
    <mergeCell ref="B228:H228"/>
    <mergeCell ref="I228:I258"/>
    <mergeCell ref="B229:G229"/>
    <mergeCell ref="F251:G251"/>
    <mergeCell ref="F252:G254"/>
    <mergeCell ref="D254:E254"/>
    <mergeCell ref="E256:F256"/>
    <mergeCell ref="F215:G217"/>
    <mergeCell ref="D217:E217"/>
    <mergeCell ref="E219:F219"/>
    <mergeCell ref="A223:I223"/>
    <mergeCell ref="A224:I224"/>
    <mergeCell ref="A225:I225"/>
    <mergeCell ref="A186:I186"/>
    <mergeCell ref="A187:I187"/>
    <mergeCell ref="A188:I188"/>
    <mergeCell ref="A189:I189"/>
    <mergeCell ref="A190:I190"/>
    <mergeCell ref="A191:A221"/>
    <mergeCell ref="B191:H191"/>
    <mergeCell ref="I191:I221"/>
    <mergeCell ref="B192:G192"/>
    <mergeCell ref="F214:G214"/>
    <mergeCell ref="A152:I152"/>
    <mergeCell ref="A153:I153"/>
    <mergeCell ref="A154:A184"/>
    <mergeCell ref="B154:H154"/>
    <mergeCell ref="I154:I184"/>
    <mergeCell ref="B155:G155"/>
    <mergeCell ref="F177:G177"/>
    <mergeCell ref="F178:G180"/>
    <mergeCell ref="D180:E180"/>
    <mergeCell ref="E182:F182"/>
    <mergeCell ref="F141:G143"/>
    <mergeCell ref="D143:E143"/>
    <mergeCell ref="E145:F145"/>
    <mergeCell ref="A149:I149"/>
    <mergeCell ref="A150:I150"/>
    <mergeCell ref="A151:I151"/>
    <mergeCell ref="A112:I112"/>
    <mergeCell ref="A113:I113"/>
    <mergeCell ref="A114:I114"/>
    <mergeCell ref="A115:I115"/>
    <mergeCell ref="A116:I116"/>
    <mergeCell ref="A117:A147"/>
    <mergeCell ref="B117:H117"/>
    <mergeCell ref="I117:I147"/>
    <mergeCell ref="B118:G118"/>
    <mergeCell ref="F140:G140"/>
    <mergeCell ref="A79:I79"/>
    <mergeCell ref="A80:A110"/>
    <mergeCell ref="B80:H80"/>
    <mergeCell ref="I80:I110"/>
    <mergeCell ref="B81:G81"/>
    <mergeCell ref="F103:G103"/>
    <mergeCell ref="F104:G106"/>
    <mergeCell ref="D106:E106"/>
    <mergeCell ref="E108:F108"/>
    <mergeCell ref="D69:E69"/>
    <mergeCell ref="E71:F71"/>
    <mergeCell ref="A75:I75"/>
    <mergeCell ref="A76:I76"/>
    <mergeCell ref="A77:I77"/>
    <mergeCell ref="A78:I78"/>
    <mergeCell ref="A39:I39"/>
    <mergeCell ref="A40:I40"/>
    <mergeCell ref="A41:I41"/>
    <mergeCell ref="A42:I42"/>
    <mergeCell ref="A43:A73"/>
    <mergeCell ref="B43:H43"/>
    <mergeCell ref="I43:I73"/>
    <mergeCell ref="B44:G44"/>
    <mergeCell ref="F66:G66"/>
    <mergeCell ref="F67:G69"/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</mergeCells>
  <phoneticPr fontId="4" type="noConversion"/>
  <conditionalFormatting sqref="F30:G32">
    <cfRule type="cellIs" dxfId="88" priority="10" operator="equal">
      <formula>0</formula>
    </cfRule>
  </conditionalFormatting>
  <conditionalFormatting sqref="F67:G69">
    <cfRule type="cellIs" dxfId="87" priority="9" operator="equal">
      <formula>0</formula>
    </cfRule>
  </conditionalFormatting>
  <conditionalFormatting sqref="F104:G106">
    <cfRule type="cellIs" dxfId="86" priority="8" operator="equal">
      <formula>0</formula>
    </cfRule>
  </conditionalFormatting>
  <conditionalFormatting sqref="F141:G143">
    <cfRule type="cellIs" dxfId="85" priority="7" operator="equal">
      <formula>0</formula>
    </cfRule>
  </conditionalFormatting>
  <conditionalFormatting sqref="F178:G180">
    <cfRule type="cellIs" dxfId="84" priority="6" operator="equal">
      <formula>0</formula>
    </cfRule>
  </conditionalFormatting>
  <conditionalFormatting sqref="F215:G217">
    <cfRule type="cellIs" dxfId="83" priority="5" operator="equal">
      <formula>0</formula>
    </cfRule>
  </conditionalFormatting>
  <conditionalFormatting sqref="F252:G254">
    <cfRule type="cellIs" dxfId="82" priority="4" operator="equal">
      <formula>0</formula>
    </cfRule>
  </conditionalFormatting>
  <conditionalFormatting sqref="F289:G291">
    <cfRule type="cellIs" dxfId="81" priority="3" operator="equal">
      <formula>0</formula>
    </cfRule>
  </conditionalFormatting>
  <conditionalFormatting sqref="F326:G328">
    <cfRule type="cellIs" dxfId="80" priority="2" operator="equal">
      <formula>0</formula>
    </cfRule>
  </conditionalFormatting>
  <conditionalFormatting sqref="F363:G365">
    <cfRule type="cellIs" dxfId="79" priority="1" operator="equal">
      <formula>0</formula>
    </cfRule>
  </conditionalFormatting>
  <pageMargins left="0.7" right="0.7" top="0.75" bottom="0.75" header="0.3" footer="0.3"/>
  <pageSetup paperSize="9" scale="76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16DE-129E-42A5-847F-7337CE53ACA0}">
  <dimension ref="A1:J370"/>
  <sheetViews>
    <sheetView view="pageBreakPreview" topLeftCell="A70" zoomScale="85" zoomScaleNormal="100" zoomScaleSheetLayoutView="85" workbookViewId="0">
      <selection activeCell="A77" sqref="A77:I77"/>
    </sheetView>
  </sheetViews>
  <sheetFormatPr defaultColWidth="9" defaultRowHeight="16.5"/>
  <cols>
    <col min="1" max="1" width="1.625" style="47" customWidth="1"/>
    <col min="2" max="2" width="20.5" style="47" customWidth="1"/>
    <col min="3" max="3" width="18" style="47" customWidth="1"/>
    <col min="4" max="4" width="12.875" style="47" customWidth="1"/>
    <col min="5" max="5" width="13.5" style="47" customWidth="1"/>
    <col min="6" max="6" width="11.875" style="47" customWidth="1"/>
    <col min="7" max="7" width="15.875" style="47" customWidth="1"/>
    <col min="8" max="8" width="1.875" style="47" customWidth="1"/>
    <col min="9" max="9" width="1.625" style="47" customWidth="1"/>
    <col min="10" max="10" width="12.375" style="47" bestFit="1" customWidth="1"/>
    <col min="11" max="16384" width="9" style="47"/>
  </cols>
  <sheetData>
    <row r="1" spans="1:9">
      <c r="A1" s="274"/>
      <c r="B1" s="274"/>
      <c r="C1" s="274"/>
      <c r="D1" s="274"/>
      <c r="E1" s="274"/>
      <c r="F1" s="274"/>
      <c r="G1" s="274"/>
      <c r="H1" s="274"/>
      <c r="I1" s="274"/>
    </row>
    <row r="2" spans="1:9" ht="27.75">
      <c r="A2" s="275" t="s">
        <v>166</v>
      </c>
      <c r="B2" s="275"/>
      <c r="C2" s="275"/>
      <c r="D2" s="275"/>
      <c r="E2" s="275"/>
      <c r="F2" s="275"/>
      <c r="G2" s="275"/>
      <c r="H2" s="275"/>
      <c r="I2" s="275"/>
    </row>
    <row r="3" spans="1:9" ht="27.75">
      <c r="A3" s="275" t="s">
        <v>167</v>
      </c>
      <c r="B3" s="275"/>
      <c r="C3" s="275"/>
      <c r="D3" s="275"/>
      <c r="E3" s="275"/>
      <c r="F3" s="275"/>
      <c r="G3" s="275"/>
      <c r="H3" s="275"/>
      <c r="I3" s="275"/>
    </row>
    <row r="4" spans="1:9">
      <c r="A4" s="276" t="s">
        <v>168</v>
      </c>
      <c r="B4" s="276"/>
      <c r="C4" s="276"/>
      <c r="D4" s="276"/>
      <c r="E4" s="276"/>
      <c r="F4" s="276"/>
      <c r="G4" s="276"/>
      <c r="H4" s="276"/>
      <c r="I4" s="276"/>
    </row>
    <row r="5" spans="1:9">
      <c r="A5" s="277"/>
      <c r="B5" s="277"/>
      <c r="C5" s="277"/>
      <c r="D5" s="277"/>
      <c r="E5" s="277"/>
      <c r="F5" s="277"/>
      <c r="G5" s="277"/>
      <c r="H5" s="277"/>
      <c r="I5" s="277"/>
    </row>
    <row r="6" spans="1:9" ht="21" thickBot="1">
      <c r="A6" s="278"/>
      <c r="B6" s="279" t="str">
        <f>Total!$A$2</f>
        <v>2026 Jun Century Field Promoter Salary Summary</v>
      </c>
      <c r="C6" s="279"/>
      <c r="D6" s="279"/>
      <c r="E6" s="279"/>
      <c r="F6" s="279"/>
      <c r="G6" s="279"/>
      <c r="H6" s="279"/>
      <c r="I6" s="280"/>
    </row>
    <row r="7" spans="1:9" ht="17.25" thickTop="1">
      <c r="A7" s="278"/>
      <c r="B7" s="281"/>
      <c r="C7" s="281"/>
      <c r="D7" s="281"/>
      <c r="E7" s="281"/>
      <c r="F7" s="281"/>
      <c r="G7" s="281"/>
      <c r="H7" s="51"/>
      <c r="I7" s="280"/>
    </row>
    <row r="8" spans="1:9" ht="16.5" customHeight="1">
      <c r="A8" s="278"/>
      <c r="B8" s="52" t="s">
        <v>169</v>
      </c>
      <c r="C8" s="53" t="str">
        <f>Total!E15</f>
        <v xml:space="preserve">Siu Wai Ling </v>
      </c>
      <c r="D8" s="53" t="str">
        <f>Total!D15</f>
        <v>Margaret</v>
      </c>
      <c r="E8" s="54"/>
      <c r="F8" s="55" t="s">
        <v>170</v>
      </c>
      <c r="G8" s="53" t="e">
        <f>Total!#REF!</f>
        <v>#REF!</v>
      </c>
      <c r="H8" s="53"/>
      <c r="I8" s="280"/>
    </row>
    <row r="9" spans="1:9" ht="17.25" thickBot="1">
      <c r="A9" s="278"/>
      <c r="B9" s="56"/>
      <c r="C9" s="56"/>
      <c r="D9" s="56"/>
      <c r="E9" s="57"/>
      <c r="F9" s="58"/>
      <c r="G9" s="59"/>
      <c r="H9" s="59"/>
      <c r="I9" s="280"/>
    </row>
    <row r="10" spans="1:9" ht="17.25" thickBot="1">
      <c r="A10" s="278"/>
      <c r="B10" s="282" t="s">
        <v>171</v>
      </c>
      <c r="C10" s="283"/>
      <c r="D10" s="62"/>
      <c r="E10" s="61" t="s">
        <v>172</v>
      </c>
      <c r="F10" s="63"/>
      <c r="G10" s="59"/>
      <c r="H10" s="59"/>
      <c r="I10" s="280"/>
    </row>
    <row r="11" spans="1:9" ht="17.25" thickTop="1">
      <c r="A11" s="278"/>
      <c r="B11" s="64" t="s">
        <v>141</v>
      </c>
      <c r="C11" s="65"/>
      <c r="D11" s="66"/>
      <c r="E11" s="67" t="s">
        <v>142</v>
      </c>
      <c r="F11" s="68"/>
      <c r="G11" s="59"/>
      <c r="H11" s="59"/>
      <c r="I11" s="280"/>
    </row>
    <row r="12" spans="1:9">
      <c r="A12" s="278"/>
      <c r="B12" s="69" t="s">
        <v>143</v>
      </c>
      <c r="C12" s="70"/>
      <c r="D12" s="71"/>
      <c r="E12" s="72" t="e">
        <f>Total!#REF!</f>
        <v>#REF!</v>
      </c>
      <c r="F12" s="73"/>
      <c r="G12" s="59"/>
      <c r="H12" s="59"/>
      <c r="I12" s="280"/>
    </row>
    <row r="13" spans="1:9" ht="16.5" customHeight="1">
      <c r="A13" s="278"/>
      <c r="B13" s="69" t="s">
        <v>173</v>
      </c>
      <c r="C13" s="74"/>
      <c r="D13" s="71"/>
      <c r="E13" s="128" t="str">
        <f>Total!G15</f>
        <v>5,6,7,12,13,14,19,20,21,25,29/Jun</v>
      </c>
      <c r="F13" s="73"/>
      <c r="G13" s="59"/>
      <c r="H13" s="59"/>
      <c r="I13" s="280"/>
    </row>
    <row r="14" spans="1:9" ht="16.5" customHeight="1">
      <c r="A14" s="278"/>
      <c r="B14" s="69" t="s">
        <v>145</v>
      </c>
      <c r="C14" s="74"/>
      <c r="D14" s="71"/>
      <c r="E14" s="72">
        <f>Total!H15</f>
        <v>11</v>
      </c>
      <c r="F14" s="73"/>
      <c r="G14" s="58"/>
      <c r="H14" s="58"/>
      <c r="I14" s="280"/>
    </row>
    <row r="15" spans="1:9" ht="16.5" customHeight="1">
      <c r="A15" s="278"/>
      <c r="B15" s="69" t="s">
        <v>146</v>
      </c>
      <c r="C15" s="70"/>
      <c r="D15" s="77"/>
      <c r="E15" s="124">
        <f>Total!I15</f>
        <v>87.999999999999943</v>
      </c>
      <c r="F15" s="78"/>
      <c r="G15" s="58"/>
      <c r="H15" s="58"/>
      <c r="I15" s="280"/>
    </row>
    <row r="16" spans="1:9" ht="16.5" customHeight="1">
      <c r="A16" s="278"/>
      <c r="B16" s="69" t="s">
        <v>147</v>
      </c>
      <c r="C16" s="70"/>
      <c r="D16" s="77"/>
      <c r="E16" s="124">
        <f>Total!J15</f>
        <v>56.25</v>
      </c>
      <c r="F16" s="78"/>
      <c r="G16" s="58"/>
      <c r="H16" s="58"/>
      <c r="I16" s="280"/>
    </row>
    <row r="17" spans="1:10" ht="17.25" thickBot="1">
      <c r="A17" s="278"/>
      <c r="B17" s="79" t="s">
        <v>148</v>
      </c>
      <c r="C17" s="80"/>
      <c r="D17" s="81"/>
      <c r="E17" s="82">
        <f ca="1">Total!L15</f>
        <v>159644</v>
      </c>
      <c r="F17" s="83"/>
      <c r="G17" s="84"/>
      <c r="H17" s="84"/>
      <c r="I17" s="280"/>
    </row>
    <row r="18" spans="1:10" ht="17.25" thickBot="1">
      <c r="A18" s="278"/>
      <c r="B18" s="85"/>
      <c r="C18" s="85"/>
      <c r="D18" s="85"/>
      <c r="E18" s="85"/>
      <c r="F18" s="85"/>
      <c r="G18" s="85"/>
      <c r="H18" s="85"/>
      <c r="I18" s="280"/>
    </row>
    <row r="19" spans="1:10" ht="17.25" thickBot="1">
      <c r="A19" s="278"/>
      <c r="B19" s="86"/>
      <c r="C19" s="87" t="s">
        <v>174</v>
      </c>
      <c r="D19" s="88"/>
      <c r="E19" s="88"/>
      <c r="F19" s="268" t="s">
        <v>175</v>
      </c>
      <c r="G19" s="268"/>
      <c r="H19" s="90"/>
      <c r="I19" s="280"/>
    </row>
    <row r="20" spans="1:10" ht="17.25" thickTop="1">
      <c r="A20" s="278"/>
      <c r="B20" s="91"/>
      <c r="C20" s="64" t="s">
        <v>151</v>
      </c>
      <c r="D20" s="92"/>
      <c r="E20" s="92"/>
      <c r="F20" s="93"/>
      <c r="G20" s="125">
        <f>Total!K15</f>
        <v>4949.9999999999964</v>
      </c>
      <c r="H20" s="95"/>
      <c r="I20" s="280"/>
    </row>
    <row r="21" spans="1:10" ht="16.5" customHeight="1">
      <c r="A21" s="278"/>
      <c r="B21" s="91"/>
      <c r="C21" s="69" t="s">
        <v>176</v>
      </c>
      <c r="D21" s="96"/>
      <c r="E21" s="96"/>
      <c r="F21" s="97"/>
      <c r="G21" s="126">
        <f>Total!Q15</f>
        <v>0</v>
      </c>
      <c r="H21" s="99"/>
      <c r="I21" s="280"/>
    </row>
    <row r="22" spans="1:10" ht="16.5" customHeight="1">
      <c r="A22" s="278"/>
      <c r="B22" s="91"/>
      <c r="C22" s="69" t="s">
        <v>153</v>
      </c>
      <c r="D22" s="100"/>
      <c r="E22" s="100"/>
      <c r="F22" s="97"/>
      <c r="G22" s="126">
        <f ca="1">Total!N15</f>
        <v>4789.32</v>
      </c>
      <c r="H22" s="99"/>
      <c r="I22" s="280"/>
    </row>
    <row r="23" spans="1:10" ht="16.5" customHeight="1">
      <c r="A23" s="278"/>
      <c r="B23" s="91"/>
      <c r="C23" s="69" t="s">
        <v>177</v>
      </c>
      <c r="D23" s="101"/>
      <c r="E23" s="101"/>
      <c r="F23" s="97"/>
      <c r="G23" s="126">
        <f>Total!R15</f>
        <v>0</v>
      </c>
      <c r="H23" s="99"/>
      <c r="I23" s="280"/>
    </row>
    <row r="24" spans="1:10" ht="16.5" customHeight="1">
      <c r="A24" s="278"/>
      <c r="B24" s="91"/>
      <c r="C24" s="69" t="s">
        <v>178</v>
      </c>
      <c r="D24" s="101"/>
      <c r="E24" s="101"/>
      <c r="F24" s="97"/>
      <c r="G24" s="126" t="e">
        <f>Total!#REF!</f>
        <v>#REF!</v>
      </c>
      <c r="H24" s="99"/>
      <c r="I24" s="280"/>
    </row>
    <row r="25" spans="1:10" ht="16.5" customHeight="1">
      <c r="A25" s="278"/>
      <c r="B25" s="91"/>
      <c r="C25" s="69" t="s">
        <v>156</v>
      </c>
      <c r="D25" s="96" t="s">
        <v>157</v>
      </c>
      <c r="E25" s="96"/>
      <c r="F25" s="97"/>
      <c r="G25" s="126">
        <f>Total!S15</f>
        <v>0</v>
      </c>
      <c r="H25" s="99"/>
      <c r="I25" s="280"/>
    </row>
    <row r="26" spans="1:10" ht="16.5" customHeight="1">
      <c r="A26" s="278"/>
      <c r="B26" s="91"/>
      <c r="C26" s="69" t="s">
        <v>179</v>
      </c>
      <c r="D26" s="101"/>
      <c r="E26" s="101"/>
      <c r="F26" s="97"/>
      <c r="G26" s="126" t="e">
        <f>Total!#REF!</f>
        <v>#REF!</v>
      </c>
      <c r="H26" s="99"/>
      <c r="I26" s="280"/>
    </row>
    <row r="27" spans="1:10" ht="16.5" customHeight="1">
      <c r="A27" s="278"/>
      <c r="B27" s="91"/>
      <c r="C27" s="69" t="s">
        <v>180</v>
      </c>
      <c r="D27" s="101"/>
      <c r="E27" s="101"/>
      <c r="F27" s="97"/>
      <c r="G27" s="126">
        <f>Total!T15</f>
        <v>0</v>
      </c>
      <c r="H27" s="99"/>
      <c r="I27" s="280"/>
    </row>
    <row r="28" spans="1:10" ht="17.25" thickBot="1">
      <c r="A28" s="278"/>
      <c r="B28" s="91"/>
      <c r="C28" s="102" t="s">
        <v>181</v>
      </c>
      <c r="D28" s="103"/>
      <c r="E28" s="103"/>
      <c r="F28" s="104"/>
      <c r="G28" s="127">
        <f>Total!U15</f>
        <v>0</v>
      </c>
      <c r="H28" s="106"/>
      <c r="I28" s="280"/>
    </row>
    <row r="29" spans="1:10" ht="18" thickTop="1" thickBot="1">
      <c r="A29" s="278"/>
      <c r="B29" s="107"/>
      <c r="C29" s="108"/>
      <c r="D29" s="109"/>
      <c r="E29" s="110" t="s">
        <v>132</v>
      </c>
      <c r="F29" s="269" t="e">
        <f ca="1">SUM(G20:G27)-G28</f>
        <v>#REF!</v>
      </c>
      <c r="G29" s="269"/>
      <c r="H29" s="112"/>
      <c r="I29" s="280"/>
      <c r="J29" s="113">
        <f ca="1">Total!V15</f>
        <v>9739.320000000007</v>
      </c>
    </row>
    <row r="30" spans="1:10" ht="16.5" customHeight="1">
      <c r="A30" s="278"/>
      <c r="B30" s="56"/>
      <c r="C30" s="56"/>
      <c r="D30" s="56"/>
      <c r="E30" s="56"/>
      <c r="F30" s="270"/>
      <c r="G30" s="271"/>
      <c r="H30" s="59"/>
      <c r="I30" s="280"/>
    </row>
    <row r="31" spans="1:10">
      <c r="A31" s="278"/>
      <c r="B31" s="114" t="s">
        <v>161</v>
      </c>
      <c r="C31" s="56"/>
      <c r="D31" s="56"/>
      <c r="E31" s="56"/>
      <c r="F31" s="271"/>
      <c r="G31" s="271"/>
      <c r="H31" s="59"/>
      <c r="I31" s="280"/>
    </row>
    <row r="32" spans="1:10" ht="16.5" customHeight="1">
      <c r="A32" s="278"/>
      <c r="B32" s="114" t="s">
        <v>162</v>
      </c>
      <c r="C32" s="56"/>
      <c r="D32" s="272"/>
      <c r="E32" s="272"/>
      <c r="F32" s="271"/>
      <c r="G32" s="271"/>
      <c r="H32" s="59"/>
      <c r="I32" s="280"/>
    </row>
    <row r="33" spans="1:9" ht="16.5" customHeight="1">
      <c r="A33" s="278"/>
      <c r="B33" s="114" t="s">
        <v>163</v>
      </c>
      <c r="C33" s="56"/>
      <c r="D33" s="56"/>
      <c r="E33" s="56"/>
      <c r="F33" s="56"/>
      <c r="G33" s="56"/>
      <c r="H33" s="59"/>
      <c r="I33" s="280"/>
    </row>
    <row r="34" spans="1:9" ht="16.5" customHeight="1">
      <c r="A34" s="278"/>
      <c r="B34" s="115"/>
      <c r="C34" s="57"/>
      <c r="D34" s="116"/>
      <c r="E34" s="273" t="s">
        <v>182</v>
      </c>
      <c r="F34" s="273"/>
      <c r="G34" s="118"/>
      <c r="H34" s="119"/>
      <c r="I34" s="280"/>
    </row>
    <row r="35" spans="1:9" ht="16.5" customHeight="1">
      <c r="A35" s="278"/>
      <c r="B35" s="57"/>
      <c r="C35" s="57"/>
      <c r="D35" s="120"/>
      <c r="E35" s="120"/>
      <c r="F35" s="57"/>
      <c r="G35" s="57"/>
      <c r="H35" s="57"/>
      <c r="I35" s="280"/>
    </row>
    <row r="36" spans="1:9" ht="16.5" customHeight="1">
      <c r="A36" s="278"/>
      <c r="B36" s="57"/>
      <c r="C36" s="57"/>
      <c r="D36" s="120"/>
      <c r="E36" s="116"/>
      <c r="F36" s="117" t="s">
        <v>183</v>
      </c>
      <c r="G36" s="121"/>
      <c r="H36" s="122"/>
      <c r="I36" s="280"/>
    </row>
    <row r="37" spans="1:9" ht="16.5" customHeight="1"/>
    <row r="38" spans="1:9">
      <c r="A38" s="274"/>
      <c r="B38" s="274"/>
      <c r="C38" s="274"/>
      <c r="D38" s="274"/>
      <c r="E38" s="274"/>
      <c r="F38" s="274"/>
      <c r="G38" s="274"/>
      <c r="H38" s="274"/>
      <c r="I38" s="274"/>
    </row>
    <row r="39" spans="1:9" ht="27.75">
      <c r="A39" s="275" t="s">
        <v>166</v>
      </c>
      <c r="B39" s="275"/>
      <c r="C39" s="275"/>
      <c r="D39" s="275"/>
      <c r="E39" s="275"/>
      <c r="F39" s="275"/>
      <c r="G39" s="275"/>
      <c r="H39" s="275"/>
      <c r="I39" s="275"/>
    </row>
    <row r="40" spans="1:9" ht="27.75">
      <c r="A40" s="275" t="s">
        <v>167</v>
      </c>
      <c r="B40" s="275"/>
      <c r="C40" s="275"/>
      <c r="D40" s="275"/>
      <c r="E40" s="275"/>
      <c r="F40" s="275"/>
      <c r="G40" s="275"/>
      <c r="H40" s="275"/>
      <c r="I40" s="275"/>
    </row>
    <row r="41" spans="1:9">
      <c r="A41" s="276" t="s">
        <v>168</v>
      </c>
      <c r="B41" s="276"/>
      <c r="C41" s="276"/>
      <c r="D41" s="276"/>
      <c r="E41" s="276"/>
      <c r="F41" s="276"/>
      <c r="G41" s="276"/>
      <c r="H41" s="276"/>
      <c r="I41" s="276"/>
    </row>
    <row r="42" spans="1:9">
      <c r="A42" s="277"/>
      <c r="B42" s="277"/>
      <c r="C42" s="277"/>
      <c r="D42" s="277"/>
      <c r="E42" s="277"/>
      <c r="F42" s="277"/>
      <c r="G42" s="277"/>
      <c r="H42" s="277"/>
      <c r="I42" s="277"/>
    </row>
    <row r="43" spans="1:9" ht="21" thickBot="1">
      <c r="A43" s="278"/>
      <c r="B43" s="279" t="str">
        <f>Total!$A$2</f>
        <v>2026 Jun Century Field Promoter Salary Summary</v>
      </c>
      <c r="C43" s="279"/>
      <c r="D43" s="279"/>
      <c r="E43" s="279"/>
      <c r="F43" s="279"/>
      <c r="G43" s="279"/>
      <c r="H43" s="279"/>
      <c r="I43" s="280"/>
    </row>
    <row r="44" spans="1:9" ht="17.25" thickTop="1">
      <c r="A44" s="278"/>
      <c r="B44" s="281"/>
      <c r="C44" s="281"/>
      <c r="D44" s="281"/>
      <c r="E44" s="281"/>
      <c r="F44" s="281"/>
      <c r="G44" s="281"/>
      <c r="H44" s="51"/>
      <c r="I44" s="280"/>
    </row>
    <row r="45" spans="1:9" ht="16.5" customHeight="1">
      <c r="A45" s="278"/>
      <c r="B45" s="52" t="s">
        <v>169</v>
      </c>
      <c r="C45" s="53" t="str">
        <f>Total!E16</f>
        <v xml:space="preserve">Siu Wai Ling </v>
      </c>
      <c r="D45" s="53" t="str">
        <f>Total!D16</f>
        <v>Margaret</v>
      </c>
      <c r="E45" s="54"/>
      <c r="F45" s="55" t="s">
        <v>170</v>
      </c>
      <c r="G45" s="53" t="e">
        <f>Total!#REF!</f>
        <v>#REF!</v>
      </c>
      <c r="H45" s="53"/>
      <c r="I45" s="280"/>
    </row>
    <row r="46" spans="1:9" ht="17.25" thickBot="1">
      <c r="A46" s="278"/>
      <c r="B46" s="56"/>
      <c r="C46" s="56"/>
      <c r="D46" s="56"/>
      <c r="E46" s="57"/>
      <c r="F46" s="58"/>
      <c r="G46" s="59"/>
      <c r="H46" s="59"/>
      <c r="I46" s="280"/>
    </row>
    <row r="47" spans="1:9" ht="17.25" thickBot="1">
      <c r="A47" s="278"/>
      <c r="B47" s="282" t="s">
        <v>171</v>
      </c>
      <c r="C47" s="283"/>
      <c r="D47" s="62"/>
      <c r="E47" s="61" t="s">
        <v>172</v>
      </c>
      <c r="F47" s="63"/>
      <c r="G47" s="59"/>
      <c r="H47" s="59"/>
      <c r="I47" s="280"/>
    </row>
    <row r="48" spans="1:9" ht="17.25" thickTop="1">
      <c r="A48" s="278"/>
      <c r="B48" s="64" t="s">
        <v>141</v>
      </c>
      <c r="C48" s="65"/>
      <c r="D48" s="66"/>
      <c r="E48" s="67" t="s">
        <v>142</v>
      </c>
      <c r="F48" s="68"/>
      <c r="G48" s="59"/>
      <c r="H48" s="59"/>
      <c r="I48" s="280"/>
    </row>
    <row r="49" spans="1:9">
      <c r="A49" s="278"/>
      <c r="B49" s="69" t="s">
        <v>143</v>
      </c>
      <c r="C49" s="70"/>
      <c r="D49" s="71"/>
      <c r="E49" s="128" t="str">
        <f>Total!G16</f>
        <v>1,2,8,9,15,22,23/Jun</v>
      </c>
      <c r="F49" s="73"/>
      <c r="G49" s="59"/>
      <c r="H49" s="59"/>
      <c r="I49" s="280"/>
    </row>
    <row r="50" spans="1:9" ht="16.5" customHeight="1">
      <c r="A50" s="278"/>
      <c r="B50" s="69" t="s">
        <v>173</v>
      </c>
      <c r="C50" s="74"/>
      <c r="D50" s="71"/>
      <c r="E50" s="75" t="e">
        <f>Total!#REF!</f>
        <v>#REF!</v>
      </c>
      <c r="F50" s="73"/>
      <c r="G50" s="59"/>
      <c r="H50" s="59"/>
      <c r="I50" s="280"/>
    </row>
    <row r="51" spans="1:9" ht="16.5" customHeight="1">
      <c r="A51" s="278"/>
      <c r="B51" s="69" t="s">
        <v>145</v>
      </c>
      <c r="C51" s="74"/>
      <c r="D51" s="71"/>
      <c r="E51" s="72">
        <f>Total!H16</f>
        <v>7</v>
      </c>
      <c r="F51" s="73"/>
      <c r="G51" s="58"/>
      <c r="H51" s="58"/>
      <c r="I51" s="280"/>
    </row>
    <row r="52" spans="1:9" ht="16.5" customHeight="1">
      <c r="A52" s="278"/>
      <c r="B52" s="69" t="s">
        <v>146</v>
      </c>
      <c r="C52" s="70"/>
      <c r="D52" s="77"/>
      <c r="E52" s="124">
        <f>Total!I16</f>
        <v>56</v>
      </c>
      <c r="F52" s="78"/>
      <c r="G52" s="58"/>
      <c r="H52" s="58"/>
      <c r="I52" s="280"/>
    </row>
    <row r="53" spans="1:9" ht="16.5" customHeight="1">
      <c r="A53" s="278"/>
      <c r="B53" s="69" t="s">
        <v>147</v>
      </c>
      <c r="C53" s="70"/>
      <c r="D53" s="77"/>
      <c r="E53" s="124">
        <f>Total!J16</f>
        <v>56.25</v>
      </c>
      <c r="F53" s="78"/>
      <c r="G53" s="58"/>
      <c r="H53" s="58"/>
      <c r="I53" s="280"/>
    </row>
    <row r="54" spans="1:9" ht="17.25" thickBot="1">
      <c r="A54" s="278"/>
      <c r="B54" s="79" t="s">
        <v>148</v>
      </c>
      <c r="C54" s="80"/>
      <c r="D54" s="81"/>
      <c r="E54" s="82">
        <f ca="1">Total!L16</f>
        <v>55390</v>
      </c>
      <c r="F54" s="83"/>
      <c r="G54" s="84"/>
      <c r="H54" s="84"/>
      <c r="I54" s="280"/>
    </row>
    <row r="55" spans="1:9" ht="17.25" thickBot="1">
      <c r="A55" s="278"/>
      <c r="B55" s="85"/>
      <c r="C55" s="85"/>
      <c r="D55" s="85"/>
      <c r="E55" s="85"/>
      <c r="F55" s="85"/>
      <c r="G55" s="85"/>
      <c r="H55" s="85"/>
      <c r="I55" s="280"/>
    </row>
    <row r="56" spans="1:9" ht="17.25" thickBot="1">
      <c r="A56" s="278"/>
      <c r="B56" s="86"/>
      <c r="C56" s="87" t="s">
        <v>174</v>
      </c>
      <c r="D56" s="88"/>
      <c r="E56" s="88"/>
      <c r="F56" s="268" t="s">
        <v>175</v>
      </c>
      <c r="G56" s="268"/>
      <c r="H56" s="90"/>
      <c r="I56" s="280"/>
    </row>
    <row r="57" spans="1:9" ht="17.25" thickTop="1">
      <c r="A57" s="278"/>
      <c r="B57" s="91"/>
      <c r="C57" s="64" t="s">
        <v>151</v>
      </c>
      <c r="D57" s="92"/>
      <c r="E57" s="92"/>
      <c r="F57" s="93"/>
      <c r="G57" s="125">
        <f>Total!K16</f>
        <v>3150</v>
      </c>
      <c r="H57" s="95"/>
      <c r="I57" s="280"/>
    </row>
    <row r="58" spans="1:9" ht="16.5" customHeight="1">
      <c r="A58" s="278"/>
      <c r="B58" s="91"/>
      <c r="C58" s="69" t="s">
        <v>176</v>
      </c>
      <c r="D58" s="96"/>
      <c r="E58" s="96"/>
      <c r="F58" s="97"/>
      <c r="G58" s="126">
        <f>Total!Q16</f>
        <v>0</v>
      </c>
      <c r="H58" s="99"/>
      <c r="I58" s="280"/>
    </row>
    <row r="59" spans="1:9" ht="16.5" customHeight="1">
      <c r="A59" s="278"/>
      <c r="B59" s="91"/>
      <c r="C59" s="69" t="s">
        <v>153</v>
      </c>
      <c r="D59" s="100"/>
      <c r="E59" s="100"/>
      <c r="F59" s="97"/>
      <c r="G59" s="126">
        <f ca="1">Total!N16</f>
        <v>1661.7</v>
      </c>
      <c r="H59" s="99"/>
      <c r="I59" s="280"/>
    </row>
    <row r="60" spans="1:9" ht="16.5" customHeight="1">
      <c r="A60" s="278"/>
      <c r="B60" s="91"/>
      <c r="C60" s="69" t="s">
        <v>177</v>
      </c>
      <c r="D60" s="101"/>
      <c r="E60" s="101"/>
      <c r="F60" s="97"/>
      <c r="G60" s="126">
        <f>Total!R16</f>
        <v>0</v>
      </c>
      <c r="H60" s="99"/>
      <c r="I60" s="280"/>
    </row>
    <row r="61" spans="1:9" ht="16.5" customHeight="1">
      <c r="A61" s="278"/>
      <c r="B61" s="91"/>
      <c r="C61" s="69" t="s">
        <v>178</v>
      </c>
      <c r="D61" s="101"/>
      <c r="E61" s="101"/>
      <c r="F61" s="97"/>
      <c r="G61" s="126" t="e">
        <f>Total!#REF!</f>
        <v>#REF!</v>
      </c>
      <c r="H61" s="99"/>
      <c r="I61" s="280"/>
    </row>
    <row r="62" spans="1:9" ht="16.5" customHeight="1">
      <c r="A62" s="278"/>
      <c r="B62" s="91"/>
      <c r="C62" s="69" t="s">
        <v>156</v>
      </c>
      <c r="D62" s="96" t="s">
        <v>157</v>
      </c>
      <c r="E62" s="96"/>
      <c r="F62" s="97"/>
      <c r="G62" s="126">
        <f>Total!S16</f>
        <v>0</v>
      </c>
      <c r="H62" s="99"/>
      <c r="I62" s="280"/>
    </row>
    <row r="63" spans="1:9" ht="16.5" customHeight="1">
      <c r="A63" s="278"/>
      <c r="B63" s="91"/>
      <c r="C63" s="69" t="s">
        <v>179</v>
      </c>
      <c r="D63" s="101"/>
      <c r="E63" s="101"/>
      <c r="F63" s="97"/>
      <c r="G63" s="126" t="e">
        <f>Total!#REF!</f>
        <v>#REF!</v>
      </c>
      <c r="H63" s="99"/>
      <c r="I63" s="280"/>
    </row>
    <row r="64" spans="1:9" ht="16.5" customHeight="1">
      <c r="A64" s="278"/>
      <c r="B64" s="91"/>
      <c r="C64" s="69" t="s">
        <v>180</v>
      </c>
      <c r="D64" s="101"/>
      <c r="E64" s="101"/>
      <c r="F64" s="97"/>
      <c r="G64" s="126">
        <f>Total!T16</f>
        <v>0</v>
      </c>
      <c r="H64" s="99"/>
      <c r="I64" s="280"/>
    </row>
    <row r="65" spans="1:10" ht="17.25" thickBot="1">
      <c r="A65" s="278"/>
      <c r="B65" s="91"/>
      <c r="C65" s="102" t="s">
        <v>181</v>
      </c>
      <c r="D65" s="103"/>
      <c r="E65" s="103"/>
      <c r="F65" s="104"/>
      <c r="G65" s="127">
        <f>Total!U16</f>
        <v>0</v>
      </c>
      <c r="H65" s="106"/>
      <c r="I65" s="280"/>
    </row>
    <row r="66" spans="1:10" ht="18" thickTop="1" thickBot="1">
      <c r="A66" s="278"/>
      <c r="B66" s="107"/>
      <c r="C66" s="108"/>
      <c r="D66" s="109"/>
      <c r="E66" s="110" t="s">
        <v>132</v>
      </c>
      <c r="F66" s="269" t="e">
        <f ca="1">SUM(G57:G64)-G65</f>
        <v>#REF!</v>
      </c>
      <c r="G66" s="269"/>
      <c r="H66" s="112"/>
      <c r="I66" s="280"/>
      <c r="J66" s="113">
        <f ca="1">Total!V16</f>
        <v>4811.6999999999971</v>
      </c>
    </row>
    <row r="67" spans="1:10" ht="16.5" customHeight="1">
      <c r="A67" s="278"/>
      <c r="B67" s="56"/>
      <c r="C67" s="56"/>
      <c r="D67" s="56"/>
      <c r="E67" s="56"/>
      <c r="F67" s="270"/>
      <c r="G67" s="271"/>
      <c r="H67" s="59"/>
      <c r="I67" s="280"/>
    </row>
    <row r="68" spans="1:10">
      <c r="A68" s="278"/>
      <c r="B68" s="114" t="s">
        <v>161</v>
      </c>
      <c r="C68" s="56"/>
      <c r="D68" s="56"/>
      <c r="E68" s="56"/>
      <c r="F68" s="271"/>
      <c r="G68" s="271"/>
      <c r="H68" s="59"/>
      <c r="I68" s="280"/>
    </row>
    <row r="69" spans="1:10" ht="16.5" customHeight="1">
      <c r="A69" s="278"/>
      <c r="B69" s="114" t="s">
        <v>162</v>
      </c>
      <c r="C69" s="56"/>
      <c r="D69" s="272"/>
      <c r="E69" s="272"/>
      <c r="F69" s="271"/>
      <c r="G69" s="271"/>
      <c r="H69" s="59"/>
      <c r="I69" s="280"/>
    </row>
    <row r="70" spans="1:10" ht="16.5" customHeight="1">
      <c r="A70" s="278"/>
      <c r="B70" s="114" t="s">
        <v>163</v>
      </c>
      <c r="C70" s="56"/>
      <c r="D70" s="56"/>
      <c r="E70" s="56"/>
      <c r="F70" s="56"/>
      <c r="G70" s="56"/>
      <c r="H70" s="59"/>
      <c r="I70" s="280"/>
    </row>
    <row r="71" spans="1:10" ht="16.5" customHeight="1">
      <c r="A71" s="278"/>
      <c r="B71" s="115"/>
      <c r="C71" s="57"/>
      <c r="D71" s="116"/>
      <c r="E71" s="273" t="s">
        <v>182</v>
      </c>
      <c r="F71" s="273"/>
      <c r="G71" s="118"/>
      <c r="H71" s="119"/>
      <c r="I71" s="280"/>
    </row>
    <row r="72" spans="1:10" ht="16.5" customHeight="1">
      <c r="A72" s="278"/>
      <c r="B72" s="57"/>
      <c r="C72" s="57"/>
      <c r="D72" s="120"/>
      <c r="E72" s="120"/>
      <c r="F72" s="57"/>
      <c r="G72" s="57"/>
      <c r="H72" s="57"/>
      <c r="I72" s="280"/>
    </row>
    <row r="73" spans="1:10" ht="16.5" customHeight="1">
      <c r="A73" s="278"/>
      <c r="B73" s="57"/>
      <c r="C73" s="57"/>
      <c r="D73" s="120"/>
      <c r="E73" s="116"/>
      <c r="F73" s="117" t="s">
        <v>183</v>
      </c>
      <c r="G73" s="121"/>
      <c r="H73" s="122"/>
      <c r="I73" s="280"/>
    </row>
    <row r="74" spans="1:10" ht="16.5" customHeight="1"/>
    <row r="75" spans="1:10">
      <c r="A75" s="274"/>
      <c r="B75" s="274"/>
      <c r="C75" s="274"/>
      <c r="D75" s="274"/>
      <c r="E75" s="274"/>
      <c r="F75" s="274"/>
      <c r="G75" s="274"/>
      <c r="H75" s="274"/>
      <c r="I75" s="274"/>
    </row>
    <row r="76" spans="1:10" ht="27.75">
      <c r="A76" s="275" t="s">
        <v>166</v>
      </c>
      <c r="B76" s="275"/>
      <c r="C76" s="275"/>
      <c r="D76" s="275"/>
      <c r="E76" s="275"/>
      <c r="F76" s="275"/>
      <c r="G76" s="275"/>
      <c r="H76" s="275"/>
      <c r="I76" s="275"/>
    </row>
    <row r="77" spans="1:10" ht="27.75">
      <c r="A77" s="275" t="s">
        <v>167</v>
      </c>
      <c r="B77" s="275"/>
      <c r="C77" s="275"/>
      <c r="D77" s="275"/>
      <c r="E77" s="275"/>
      <c r="F77" s="275"/>
      <c r="G77" s="275"/>
      <c r="H77" s="275"/>
      <c r="I77" s="275"/>
    </row>
    <row r="78" spans="1:10">
      <c r="A78" s="276" t="s">
        <v>168</v>
      </c>
      <c r="B78" s="276"/>
      <c r="C78" s="276"/>
      <c r="D78" s="276"/>
      <c r="E78" s="276"/>
      <c r="F78" s="276"/>
      <c r="G78" s="276"/>
      <c r="H78" s="276"/>
      <c r="I78" s="276"/>
    </row>
    <row r="79" spans="1:10">
      <c r="A79" s="277"/>
      <c r="B79" s="277"/>
      <c r="C79" s="277"/>
      <c r="D79" s="277"/>
      <c r="E79" s="277"/>
      <c r="F79" s="277"/>
      <c r="G79" s="277"/>
      <c r="H79" s="277"/>
      <c r="I79" s="277"/>
    </row>
    <row r="80" spans="1:10" ht="21" thickBot="1">
      <c r="A80" s="278"/>
      <c r="B80" s="279" t="str">
        <f>Total!$A$2</f>
        <v>2026 Jun Century Field Promoter Salary Summary</v>
      </c>
      <c r="C80" s="279"/>
      <c r="D80" s="279"/>
      <c r="E80" s="279"/>
      <c r="F80" s="279"/>
      <c r="G80" s="279"/>
      <c r="H80" s="279"/>
      <c r="I80" s="280"/>
    </row>
    <row r="81" spans="1:9" ht="17.25" thickTop="1">
      <c r="A81" s="278"/>
      <c r="B81" s="281"/>
      <c r="C81" s="281"/>
      <c r="D81" s="281"/>
      <c r="E81" s="281"/>
      <c r="F81" s="281"/>
      <c r="G81" s="281"/>
      <c r="H81" s="51"/>
      <c r="I81" s="280"/>
    </row>
    <row r="82" spans="1:9" ht="16.5" customHeight="1">
      <c r="A82" s="278"/>
      <c r="B82" s="52" t="s">
        <v>169</v>
      </c>
      <c r="C82" s="53">
        <f>Total!E29</f>
        <v>0</v>
      </c>
      <c r="D82" s="53">
        <f>Total!D29</f>
        <v>0</v>
      </c>
      <c r="E82" s="54"/>
      <c r="F82" s="55" t="s">
        <v>170</v>
      </c>
      <c r="G82" s="53" t="e">
        <f>Total!#REF!</f>
        <v>#REF!</v>
      </c>
      <c r="H82" s="53"/>
      <c r="I82" s="280"/>
    </row>
    <row r="83" spans="1:9" ht="17.25" thickBot="1">
      <c r="A83" s="278"/>
      <c r="B83" s="56"/>
      <c r="C83" s="56"/>
      <c r="D83" s="56"/>
      <c r="E83" s="57"/>
      <c r="F83" s="58"/>
      <c r="G83" s="59"/>
      <c r="H83" s="59"/>
      <c r="I83" s="280"/>
    </row>
    <row r="84" spans="1:9" ht="17.25" thickBot="1">
      <c r="A84" s="278"/>
      <c r="B84" s="282" t="s">
        <v>171</v>
      </c>
      <c r="C84" s="283"/>
      <c r="D84" s="62"/>
      <c r="E84" s="61" t="s">
        <v>172</v>
      </c>
      <c r="F84" s="63"/>
      <c r="G84" s="59"/>
      <c r="H84" s="59"/>
      <c r="I84" s="280"/>
    </row>
    <row r="85" spans="1:9" ht="17.25" thickTop="1">
      <c r="A85" s="278"/>
      <c r="B85" s="64" t="s">
        <v>141</v>
      </c>
      <c r="C85" s="65"/>
      <c r="D85" s="66"/>
      <c r="E85" s="67" t="s">
        <v>142</v>
      </c>
      <c r="F85" s="68"/>
      <c r="G85" s="59"/>
      <c r="H85" s="59"/>
      <c r="I85" s="280"/>
    </row>
    <row r="86" spans="1:9">
      <c r="A86" s="278"/>
      <c r="B86" s="69" t="s">
        <v>143</v>
      </c>
      <c r="C86" s="70"/>
      <c r="D86" s="71"/>
      <c r="E86" s="72">
        <f>Total!F17</f>
        <v>21191</v>
      </c>
      <c r="F86" s="73"/>
      <c r="G86" s="59"/>
      <c r="H86" s="59"/>
      <c r="I86" s="280"/>
    </row>
    <row r="87" spans="1:9" ht="16.5" customHeight="1">
      <c r="A87" s="278"/>
      <c r="B87" s="69" t="s">
        <v>173</v>
      </c>
      <c r="C87" s="74"/>
      <c r="D87" s="71"/>
      <c r="E87" s="123" t="e">
        <f>Total!#REF!</f>
        <v>#REF!</v>
      </c>
      <c r="F87" s="73"/>
      <c r="G87" s="59"/>
      <c r="H87" s="59"/>
      <c r="I87" s="280"/>
    </row>
    <row r="88" spans="1:9" ht="16.5" customHeight="1">
      <c r="A88" s="278"/>
      <c r="B88" s="69" t="s">
        <v>145</v>
      </c>
      <c r="C88" s="74"/>
      <c r="D88" s="71"/>
      <c r="E88" s="72">
        <f>Total!H29</f>
        <v>0</v>
      </c>
      <c r="F88" s="73"/>
      <c r="G88" s="58"/>
      <c r="H88" s="58"/>
      <c r="I88" s="280"/>
    </row>
    <row r="89" spans="1:9" ht="16.5" customHeight="1">
      <c r="A89" s="278"/>
      <c r="B89" s="69" t="s">
        <v>146</v>
      </c>
      <c r="C89" s="70"/>
      <c r="D89" s="77"/>
      <c r="E89" s="124">
        <f>Total!I29</f>
        <v>0</v>
      </c>
      <c r="F89" s="78"/>
      <c r="G89" s="58"/>
      <c r="H89" s="58"/>
      <c r="I89" s="280"/>
    </row>
    <row r="90" spans="1:9" ht="16.5" customHeight="1">
      <c r="A90" s="278"/>
      <c r="B90" s="69" t="s">
        <v>147</v>
      </c>
      <c r="C90" s="70"/>
      <c r="D90" s="77"/>
      <c r="E90" s="124">
        <f>Total!J29</f>
        <v>0</v>
      </c>
      <c r="F90" s="78"/>
      <c r="G90" s="58"/>
      <c r="H90" s="58"/>
      <c r="I90" s="280"/>
    </row>
    <row r="91" spans="1:9" ht="17.25" thickBot="1">
      <c r="A91" s="278"/>
      <c r="B91" s="79" t="s">
        <v>148</v>
      </c>
      <c r="C91" s="80"/>
      <c r="D91" s="81"/>
      <c r="E91" s="82">
        <f>Total!L29</f>
        <v>0</v>
      </c>
      <c r="F91" s="83"/>
      <c r="G91" s="84"/>
      <c r="H91" s="84"/>
      <c r="I91" s="280"/>
    </row>
    <row r="92" spans="1:9" ht="17.25" thickBot="1">
      <c r="A92" s="278"/>
      <c r="B92" s="85"/>
      <c r="C92" s="85"/>
      <c r="D92" s="85"/>
      <c r="E92" s="85"/>
      <c r="F92" s="85"/>
      <c r="G92" s="85"/>
      <c r="H92" s="85"/>
      <c r="I92" s="280"/>
    </row>
    <row r="93" spans="1:9" ht="17.25" thickBot="1">
      <c r="A93" s="278"/>
      <c r="B93" s="86"/>
      <c r="C93" s="87" t="s">
        <v>174</v>
      </c>
      <c r="D93" s="88"/>
      <c r="E93" s="88"/>
      <c r="F93" s="268" t="s">
        <v>175</v>
      </c>
      <c r="G93" s="268"/>
      <c r="H93" s="90"/>
      <c r="I93" s="280"/>
    </row>
    <row r="94" spans="1:9" ht="17.25" thickTop="1">
      <c r="A94" s="278"/>
      <c r="B94" s="91"/>
      <c r="C94" s="64" t="s">
        <v>151</v>
      </c>
      <c r="D94" s="92"/>
      <c r="E94" s="92"/>
      <c r="F94" s="93"/>
      <c r="G94" s="125">
        <f>Total!K29</f>
        <v>0</v>
      </c>
      <c r="H94" s="95"/>
      <c r="I94" s="280"/>
    </row>
    <row r="95" spans="1:9" ht="16.5" customHeight="1">
      <c r="A95" s="278"/>
      <c r="B95" s="91"/>
      <c r="C95" s="69" t="s">
        <v>176</v>
      </c>
      <c r="D95" s="96"/>
      <c r="E95" s="96"/>
      <c r="F95" s="97"/>
      <c r="G95" s="126">
        <f>Total!Q29</f>
        <v>0</v>
      </c>
      <c r="H95" s="99"/>
      <c r="I95" s="280"/>
    </row>
    <row r="96" spans="1:9" ht="16.5" customHeight="1">
      <c r="A96" s="278"/>
      <c r="B96" s="91"/>
      <c r="C96" s="69" t="s">
        <v>153</v>
      </c>
      <c r="D96" s="100"/>
      <c r="E96" s="100"/>
      <c r="F96" s="97"/>
      <c r="G96" s="126">
        <f>Total!N29</f>
        <v>0</v>
      </c>
      <c r="H96" s="99"/>
      <c r="I96" s="280"/>
    </row>
    <row r="97" spans="1:10" ht="16.5" customHeight="1">
      <c r="A97" s="278"/>
      <c r="B97" s="91"/>
      <c r="C97" s="69" t="s">
        <v>177</v>
      </c>
      <c r="D97" s="101"/>
      <c r="E97" s="101"/>
      <c r="F97" s="97"/>
      <c r="G97" s="126">
        <f>Total!R29</f>
        <v>0</v>
      </c>
      <c r="H97" s="99"/>
      <c r="I97" s="280"/>
    </row>
    <row r="98" spans="1:10" ht="16.5" customHeight="1">
      <c r="A98" s="278"/>
      <c r="B98" s="91"/>
      <c r="C98" s="69" t="s">
        <v>178</v>
      </c>
      <c r="D98" s="101"/>
      <c r="E98" s="101"/>
      <c r="F98" s="97"/>
      <c r="G98" s="126" t="e">
        <f>Total!#REF!</f>
        <v>#REF!</v>
      </c>
      <c r="H98" s="99"/>
      <c r="I98" s="280"/>
    </row>
    <row r="99" spans="1:10" ht="16.5" customHeight="1">
      <c r="A99" s="278"/>
      <c r="B99" s="91"/>
      <c r="C99" s="69" t="s">
        <v>156</v>
      </c>
      <c r="D99" s="96" t="s">
        <v>157</v>
      </c>
      <c r="E99" s="96"/>
      <c r="F99" s="97"/>
      <c r="G99" s="126">
        <f>Total!S29</f>
        <v>0</v>
      </c>
      <c r="H99" s="99"/>
      <c r="I99" s="280"/>
    </row>
    <row r="100" spans="1:10" ht="16.5" customHeight="1">
      <c r="A100" s="278"/>
      <c r="B100" s="91"/>
      <c r="C100" s="69" t="s">
        <v>179</v>
      </c>
      <c r="D100" s="101"/>
      <c r="E100" s="101"/>
      <c r="F100" s="97"/>
      <c r="G100" s="126" t="e">
        <f>Total!#REF!</f>
        <v>#REF!</v>
      </c>
      <c r="H100" s="99"/>
      <c r="I100" s="280"/>
    </row>
    <row r="101" spans="1:10" ht="16.5" customHeight="1">
      <c r="A101" s="278"/>
      <c r="B101" s="91"/>
      <c r="C101" s="69" t="s">
        <v>180</v>
      </c>
      <c r="D101" s="101"/>
      <c r="E101" s="101"/>
      <c r="F101" s="97"/>
      <c r="G101" s="126">
        <f>Total!T29</f>
        <v>0</v>
      </c>
      <c r="H101" s="99"/>
      <c r="I101" s="280"/>
    </row>
    <row r="102" spans="1:10" ht="17.25" thickBot="1">
      <c r="A102" s="278"/>
      <c r="B102" s="91"/>
      <c r="C102" s="102" t="s">
        <v>181</v>
      </c>
      <c r="D102" s="103"/>
      <c r="E102" s="103"/>
      <c r="F102" s="104"/>
      <c r="G102" s="127">
        <f>Total!U29</f>
        <v>0</v>
      </c>
      <c r="H102" s="106"/>
      <c r="I102" s="280"/>
    </row>
    <row r="103" spans="1:10" ht="18" thickTop="1" thickBot="1">
      <c r="A103" s="278"/>
      <c r="B103" s="107"/>
      <c r="C103" s="108"/>
      <c r="D103" s="109"/>
      <c r="E103" s="110" t="s">
        <v>132</v>
      </c>
      <c r="F103" s="269" t="e">
        <f>SUM(G94:G101)-G102</f>
        <v>#REF!</v>
      </c>
      <c r="G103" s="269"/>
      <c r="H103" s="112"/>
      <c r="I103" s="280"/>
      <c r="J103" s="113">
        <f>Total!V29</f>
        <v>0</v>
      </c>
    </row>
    <row r="104" spans="1:10" ht="16.5" customHeight="1">
      <c r="A104" s="278"/>
      <c r="B104" s="56"/>
      <c r="C104" s="56"/>
      <c r="D104" s="56"/>
      <c r="E104" s="56"/>
      <c r="F104" s="270"/>
      <c r="G104" s="271"/>
      <c r="H104" s="59"/>
      <c r="I104" s="280"/>
    </row>
    <row r="105" spans="1:10">
      <c r="A105" s="278"/>
      <c r="B105" s="114" t="s">
        <v>161</v>
      </c>
      <c r="C105" s="56"/>
      <c r="D105" s="56"/>
      <c r="E105" s="56"/>
      <c r="F105" s="271"/>
      <c r="G105" s="271"/>
      <c r="H105" s="59"/>
      <c r="I105" s="280"/>
    </row>
    <row r="106" spans="1:10" ht="16.5" customHeight="1">
      <c r="A106" s="278"/>
      <c r="B106" s="114" t="s">
        <v>162</v>
      </c>
      <c r="C106" s="56"/>
      <c r="D106" s="272"/>
      <c r="E106" s="272"/>
      <c r="F106" s="271"/>
      <c r="G106" s="271"/>
      <c r="H106" s="59"/>
      <c r="I106" s="280"/>
    </row>
    <row r="107" spans="1:10" ht="16.5" customHeight="1">
      <c r="A107" s="278"/>
      <c r="B107" s="114" t="s">
        <v>163</v>
      </c>
      <c r="C107" s="56"/>
      <c r="D107" s="56"/>
      <c r="E107" s="56"/>
      <c r="F107" s="56"/>
      <c r="G107" s="56"/>
      <c r="H107" s="59"/>
      <c r="I107" s="280"/>
    </row>
    <row r="108" spans="1:10" ht="16.5" customHeight="1">
      <c r="A108" s="278"/>
      <c r="B108" s="115"/>
      <c r="C108" s="57"/>
      <c r="D108" s="116"/>
      <c r="E108" s="273" t="s">
        <v>182</v>
      </c>
      <c r="F108" s="273"/>
      <c r="G108" s="118"/>
      <c r="H108" s="119"/>
      <c r="I108" s="280"/>
    </row>
    <row r="109" spans="1:10" ht="16.5" customHeight="1">
      <c r="A109" s="278"/>
      <c r="B109" s="57"/>
      <c r="C109" s="57"/>
      <c r="D109" s="120"/>
      <c r="E109" s="120"/>
      <c r="F109" s="57"/>
      <c r="G109" s="57"/>
      <c r="H109" s="57"/>
      <c r="I109" s="280"/>
    </row>
    <row r="110" spans="1:10" ht="16.5" customHeight="1">
      <c r="A110" s="278"/>
      <c r="B110" s="57"/>
      <c r="C110" s="57"/>
      <c r="D110" s="120"/>
      <c r="E110" s="116"/>
      <c r="F110" s="117" t="s">
        <v>183</v>
      </c>
      <c r="G110" s="121"/>
      <c r="H110" s="122"/>
      <c r="I110" s="280"/>
    </row>
    <row r="111" spans="1:10" ht="16.5" customHeight="1"/>
    <row r="112" spans="1:10">
      <c r="A112" s="274"/>
      <c r="B112" s="274"/>
      <c r="C112" s="274"/>
      <c r="D112" s="274"/>
      <c r="E112" s="274"/>
      <c r="F112" s="274"/>
      <c r="G112" s="274"/>
      <c r="H112" s="274"/>
      <c r="I112" s="274"/>
    </row>
    <row r="113" spans="1:9" ht="27.75">
      <c r="A113" s="275" t="s">
        <v>166</v>
      </c>
      <c r="B113" s="275"/>
      <c r="C113" s="275"/>
      <c r="D113" s="275"/>
      <c r="E113" s="275"/>
      <c r="F113" s="275"/>
      <c r="G113" s="275"/>
      <c r="H113" s="275"/>
      <c r="I113" s="275"/>
    </row>
    <row r="114" spans="1:9" ht="27.75">
      <c r="A114" s="275" t="s">
        <v>167</v>
      </c>
      <c r="B114" s="275"/>
      <c r="C114" s="275"/>
      <c r="D114" s="275"/>
      <c r="E114" s="275"/>
      <c r="F114" s="275"/>
      <c r="G114" s="275"/>
      <c r="H114" s="275"/>
      <c r="I114" s="275"/>
    </row>
    <row r="115" spans="1:9">
      <c r="A115" s="276" t="s">
        <v>168</v>
      </c>
      <c r="B115" s="276"/>
      <c r="C115" s="276"/>
      <c r="D115" s="276"/>
      <c r="E115" s="276"/>
      <c r="F115" s="276"/>
      <c r="G115" s="276"/>
      <c r="H115" s="276"/>
      <c r="I115" s="276"/>
    </row>
    <row r="116" spans="1:9">
      <c r="A116" s="277"/>
      <c r="B116" s="277"/>
      <c r="C116" s="277"/>
      <c r="D116" s="277"/>
      <c r="E116" s="277"/>
      <c r="F116" s="277"/>
      <c r="G116" s="277"/>
      <c r="H116" s="277"/>
      <c r="I116" s="277"/>
    </row>
    <row r="117" spans="1:9" ht="21" thickBot="1">
      <c r="A117" s="278"/>
      <c r="B117" s="279" t="str">
        <f>Total!$A$2</f>
        <v>2026 Jun Century Field Promoter Salary Summary</v>
      </c>
      <c r="C117" s="279"/>
      <c r="D117" s="279"/>
      <c r="E117" s="279"/>
      <c r="F117" s="279"/>
      <c r="G117" s="279"/>
      <c r="H117" s="279"/>
      <c r="I117" s="280"/>
    </row>
    <row r="118" spans="1:9" ht="17.25" thickTop="1">
      <c r="A118" s="278"/>
      <c r="B118" s="281"/>
      <c r="C118" s="281"/>
      <c r="D118" s="281"/>
      <c r="E118" s="281"/>
      <c r="F118" s="281"/>
      <c r="G118" s="281"/>
      <c r="H118" s="51"/>
      <c r="I118" s="280"/>
    </row>
    <row r="119" spans="1:9" ht="16.5" customHeight="1">
      <c r="A119" s="278"/>
      <c r="B119" s="52" t="s">
        <v>169</v>
      </c>
      <c r="C119" s="53">
        <f>Total!E30</f>
        <v>0</v>
      </c>
      <c r="D119" s="53">
        <f>Total!D30</f>
        <v>0</v>
      </c>
      <c r="E119" s="54"/>
      <c r="F119" s="55" t="s">
        <v>170</v>
      </c>
      <c r="G119" s="53" t="e">
        <f>Total!#REF!</f>
        <v>#REF!</v>
      </c>
      <c r="H119" s="53"/>
      <c r="I119" s="280"/>
    </row>
    <row r="120" spans="1:9" ht="17.25" thickBot="1">
      <c r="A120" s="278"/>
      <c r="B120" s="56"/>
      <c r="C120" s="56"/>
      <c r="D120" s="56"/>
      <c r="E120" s="57"/>
      <c r="F120" s="58"/>
      <c r="G120" s="59"/>
      <c r="H120" s="59"/>
      <c r="I120" s="280"/>
    </row>
    <row r="121" spans="1:9" ht="17.25" thickBot="1">
      <c r="A121" s="278"/>
      <c r="B121" s="282" t="s">
        <v>171</v>
      </c>
      <c r="C121" s="283"/>
      <c r="D121" s="62"/>
      <c r="E121" s="61" t="s">
        <v>172</v>
      </c>
      <c r="F121" s="63"/>
      <c r="G121" s="59"/>
      <c r="H121" s="59"/>
      <c r="I121" s="280"/>
    </row>
    <row r="122" spans="1:9" ht="17.25" thickTop="1">
      <c r="A122" s="278"/>
      <c r="B122" s="64" t="s">
        <v>141</v>
      </c>
      <c r="C122" s="65"/>
      <c r="D122" s="66"/>
      <c r="E122" s="67" t="s">
        <v>142</v>
      </c>
      <c r="F122" s="68"/>
      <c r="G122" s="59"/>
      <c r="H122" s="59"/>
      <c r="I122" s="280"/>
    </row>
    <row r="123" spans="1:9">
      <c r="A123" s="278"/>
      <c r="B123" s="69" t="s">
        <v>143</v>
      </c>
      <c r="C123" s="70"/>
      <c r="D123" s="71"/>
      <c r="E123" s="72">
        <f>Total!F29</f>
        <v>0</v>
      </c>
      <c r="F123" s="73"/>
      <c r="G123" s="59"/>
      <c r="H123" s="59"/>
      <c r="I123" s="280"/>
    </row>
    <row r="124" spans="1:9" ht="16.5" customHeight="1">
      <c r="A124" s="278"/>
      <c r="B124" s="69" t="s">
        <v>173</v>
      </c>
      <c r="C124" s="74"/>
      <c r="D124" s="71"/>
      <c r="E124" s="123">
        <f>Total!G30</f>
        <v>0</v>
      </c>
      <c r="F124" s="73"/>
      <c r="G124" s="59"/>
      <c r="H124" s="59"/>
      <c r="I124" s="280"/>
    </row>
    <row r="125" spans="1:9" ht="16.5" customHeight="1">
      <c r="A125" s="278"/>
      <c r="B125" s="69" t="s">
        <v>145</v>
      </c>
      <c r="C125" s="74"/>
      <c r="D125" s="71"/>
      <c r="E125" s="72">
        <f>Total!H30</f>
        <v>0</v>
      </c>
      <c r="F125" s="73"/>
      <c r="G125" s="58"/>
      <c r="H125" s="58"/>
      <c r="I125" s="280"/>
    </row>
    <row r="126" spans="1:9" ht="16.5" customHeight="1">
      <c r="A126" s="278"/>
      <c r="B126" s="69" t="s">
        <v>146</v>
      </c>
      <c r="C126" s="70"/>
      <c r="D126" s="77"/>
      <c r="E126" s="124">
        <f>Total!I30</f>
        <v>0</v>
      </c>
      <c r="F126" s="78"/>
      <c r="G126" s="58"/>
      <c r="H126" s="58"/>
      <c r="I126" s="280"/>
    </row>
    <row r="127" spans="1:9" ht="16.5" customHeight="1">
      <c r="A127" s="278"/>
      <c r="B127" s="69" t="s">
        <v>147</v>
      </c>
      <c r="C127" s="70"/>
      <c r="D127" s="77"/>
      <c r="E127" s="124">
        <f>Total!J30</f>
        <v>0</v>
      </c>
      <c r="F127" s="78"/>
      <c r="G127" s="58"/>
      <c r="H127" s="58"/>
      <c r="I127" s="280"/>
    </row>
    <row r="128" spans="1:9" ht="17.25" thickBot="1">
      <c r="A128" s="278"/>
      <c r="B128" s="79" t="s">
        <v>148</v>
      </c>
      <c r="C128" s="80"/>
      <c r="D128" s="81"/>
      <c r="E128" s="82">
        <f>Total!L30</f>
        <v>0</v>
      </c>
      <c r="F128" s="83"/>
      <c r="G128" s="84"/>
      <c r="H128" s="84"/>
      <c r="I128" s="280"/>
    </row>
    <row r="129" spans="1:10" ht="17.25" thickBot="1">
      <c r="A129" s="278"/>
      <c r="B129" s="85"/>
      <c r="C129" s="85"/>
      <c r="D129" s="85"/>
      <c r="E129" s="85"/>
      <c r="F129" s="85"/>
      <c r="G129" s="85"/>
      <c r="H129" s="85"/>
      <c r="I129" s="280"/>
    </row>
    <row r="130" spans="1:10" ht="17.25" thickBot="1">
      <c r="A130" s="278"/>
      <c r="B130" s="86"/>
      <c r="C130" s="87" t="s">
        <v>174</v>
      </c>
      <c r="D130" s="88"/>
      <c r="E130" s="88"/>
      <c r="F130" s="268" t="s">
        <v>175</v>
      </c>
      <c r="G130" s="268"/>
      <c r="H130" s="90"/>
      <c r="I130" s="280"/>
    </row>
    <row r="131" spans="1:10" ht="17.25" thickTop="1">
      <c r="A131" s="278"/>
      <c r="B131" s="91"/>
      <c r="C131" s="64" t="s">
        <v>151</v>
      </c>
      <c r="D131" s="92"/>
      <c r="E131" s="92"/>
      <c r="F131" s="93"/>
      <c r="G131" s="125">
        <f>Total!K30</f>
        <v>0</v>
      </c>
      <c r="H131" s="95"/>
      <c r="I131" s="280"/>
    </row>
    <row r="132" spans="1:10" ht="16.5" customHeight="1">
      <c r="A132" s="278"/>
      <c r="B132" s="91"/>
      <c r="C132" s="69" t="s">
        <v>176</v>
      </c>
      <c r="D132" s="96"/>
      <c r="E132" s="96"/>
      <c r="F132" s="97"/>
      <c r="G132" s="126">
        <f>Total!Q30</f>
        <v>0</v>
      </c>
      <c r="H132" s="99"/>
      <c r="I132" s="280"/>
    </row>
    <row r="133" spans="1:10" ht="16.5" customHeight="1">
      <c r="A133" s="278"/>
      <c r="B133" s="91"/>
      <c r="C133" s="69" t="s">
        <v>153</v>
      </c>
      <c r="D133" s="100"/>
      <c r="E133" s="100"/>
      <c r="F133" s="97"/>
      <c r="G133" s="126">
        <f>Total!N30</f>
        <v>0</v>
      </c>
      <c r="H133" s="99"/>
      <c r="I133" s="280"/>
    </row>
    <row r="134" spans="1:10" ht="16.5" customHeight="1">
      <c r="A134" s="278"/>
      <c r="B134" s="91"/>
      <c r="C134" s="69" t="s">
        <v>177</v>
      </c>
      <c r="D134" s="101"/>
      <c r="E134" s="101"/>
      <c r="F134" s="97"/>
      <c r="G134" s="126">
        <f>Total!R30</f>
        <v>0</v>
      </c>
      <c r="H134" s="99"/>
      <c r="I134" s="280"/>
    </row>
    <row r="135" spans="1:10" ht="16.5" customHeight="1">
      <c r="A135" s="278"/>
      <c r="B135" s="91"/>
      <c r="C135" s="69" t="s">
        <v>178</v>
      </c>
      <c r="D135" s="101"/>
      <c r="E135" s="101"/>
      <c r="F135" s="97"/>
      <c r="G135" s="126">
        <f>Total!R30</f>
        <v>0</v>
      </c>
      <c r="H135" s="99"/>
      <c r="I135" s="280"/>
    </row>
    <row r="136" spans="1:10" ht="16.5" customHeight="1">
      <c r="A136" s="278"/>
      <c r="B136" s="91"/>
      <c r="C136" s="69" t="s">
        <v>156</v>
      </c>
      <c r="D136" s="96" t="s">
        <v>157</v>
      </c>
      <c r="E136" s="96"/>
      <c r="F136" s="97"/>
      <c r="G136" s="126">
        <f>Total!S30</f>
        <v>0</v>
      </c>
      <c r="H136" s="99"/>
      <c r="I136" s="280"/>
    </row>
    <row r="137" spans="1:10" ht="16.5" customHeight="1">
      <c r="A137" s="278"/>
      <c r="B137" s="91"/>
      <c r="C137" s="69" t="s">
        <v>179</v>
      </c>
      <c r="D137" s="101"/>
      <c r="E137" s="101"/>
      <c r="F137" s="97"/>
      <c r="G137" s="126" t="e">
        <f>Total!#REF!</f>
        <v>#REF!</v>
      </c>
      <c r="H137" s="99"/>
      <c r="I137" s="280"/>
    </row>
    <row r="138" spans="1:10" ht="16.5" customHeight="1">
      <c r="A138" s="278"/>
      <c r="B138" s="91"/>
      <c r="C138" s="69" t="s">
        <v>180</v>
      </c>
      <c r="D138" s="101"/>
      <c r="E138" s="101"/>
      <c r="F138" s="97"/>
      <c r="G138" s="126">
        <f>Total!T30</f>
        <v>0</v>
      </c>
      <c r="H138" s="99"/>
      <c r="I138" s="280"/>
    </row>
    <row r="139" spans="1:10" ht="17.25" thickBot="1">
      <c r="A139" s="278"/>
      <c r="B139" s="91"/>
      <c r="C139" s="102" t="s">
        <v>181</v>
      </c>
      <c r="D139" s="103"/>
      <c r="E139" s="103"/>
      <c r="F139" s="104"/>
      <c r="G139" s="127">
        <f>Total!U30</f>
        <v>0</v>
      </c>
      <c r="H139" s="106"/>
      <c r="I139" s="280"/>
    </row>
    <row r="140" spans="1:10" ht="18" thickTop="1" thickBot="1">
      <c r="A140" s="278"/>
      <c r="B140" s="107"/>
      <c r="C140" s="108"/>
      <c r="D140" s="109"/>
      <c r="E140" s="110" t="s">
        <v>132</v>
      </c>
      <c r="F140" s="269" t="e">
        <f>SUM(G131:G138)-G139</f>
        <v>#REF!</v>
      </c>
      <c r="G140" s="269"/>
      <c r="H140" s="112"/>
      <c r="I140" s="280"/>
      <c r="J140" s="113">
        <f>Total!V30</f>
        <v>0</v>
      </c>
    </row>
    <row r="141" spans="1:10" ht="16.5" customHeight="1">
      <c r="A141" s="278"/>
      <c r="B141" s="56"/>
      <c r="C141" s="56"/>
      <c r="D141" s="56"/>
      <c r="E141" s="56"/>
      <c r="F141" s="270"/>
      <c r="G141" s="271"/>
      <c r="H141" s="59"/>
      <c r="I141" s="280"/>
    </row>
    <row r="142" spans="1:10">
      <c r="A142" s="278"/>
      <c r="B142" s="114" t="s">
        <v>161</v>
      </c>
      <c r="C142" s="56"/>
      <c r="D142" s="56"/>
      <c r="E142" s="56"/>
      <c r="F142" s="271"/>
      <c r="G142" s="271"/>
      <c r="H142" s="59"/>
      <c r="I142" s="280"/>
    </row>
    <row r="143" spans="1:10" ht="16.5" customHeight="1">
      <c r="A143" s="278"/>
      <c r="B143" s="114" t="s">
        <v>162</v>
      </c>
      <c r="C143" s="56"/>
      <c r="D143" s="272"/>
      <c r="E143" s="272"/>
      <c r="F143" s="271"/>
      <c r="G143" s="271"/>
      <c r="H143" s="59"/>
      <c r="I143" s="280"/>
    </row>
    <row r="144" spans="1:10" ht="16.5" customHeight="1">
      <c r="A144" s="278"/>
      <c r="B144" s="114" t="s">
        <v>163</v>
      </c>
      <c r="C144" s="56"/>
      <c r="D144" s="56"/>
      <c r="E144" s="56"/>
      <c r="F144" s="56"/>
      <c r="G144" s="56"/>
      <c r="H144" s="59"/>
      <c r="I144" s="280"/>
    </row>
    <row r="145" spans="1:9" ht="16.5" customHeight="1">
      <c r="A145" s="278"/>
      <c r="B145" s="115"/>
      <c r="C145" s="57"/>
      <c r="D145" s="116"/>
      <c r="E145" s="273" t="s">
        <v>182</v>
      </c>
      <c r="F145" s="273"/>
      <c r="G145" s="118"/>
      <c r="H145" s="119"/>
      <c r="I145" s="280"/>
    </row>
    <row r="146" spans="1:9" ht="16.5" customHeight="1">
      <c r="A146" s="278"/>
      <c r="B146" s="57"/>
      <c r="C146" s="57"/>
      <c r="D146" s="120"/>
      <c r="E146" s="120"/>
      <c r="F146" s="57"/>
      <c r="G146" s="57"/>
      <c r="H146" s="57"/>
      <c r="I146" s="280"/>
    </row>
    <row r="147" spans="1:9" ht="16.5" customHeight="1">
      <c r="A147" s="278"/>
      <c r="B147" s="57"/>
      <c r="C147" s="57"/>
      <c r="D147" s="120"/>
      <c r="E147" s="116"/>
      <c r="F147" s="117" t="s">
        <v>183</v>
      </c>
      <c r="G147" s="121"/>
      <c r="H147" s="122"/>
      <c r="I147" s="280"/>
    </row>
    <row r="148" spans="1:9" ht="16.5" customHeight="1"/>
    <row r="149" spans="1:9">
      <c r="A149" s="274"/>
      <c r="B149" s="274"/>
      <c r="C149" s="274"/>
      <c r="D149" s="274"/>
      <c r="E149" s="274"/>
      <c r="F149" s="274"/>
      <c r="G149" s="274"/>
      <c r="H149" s="274"/>
      <c r="I149" s="274"/>
    </row>
    <row r="150" spans="1:9" ht="27.75">
      <c r="A150" s="275" t="s">
        <v>166</v>
      </c>
      <c r="B150" s="275"/>
      <c r="C150" s="275"/>
      <c r="D150" s="275"/>
      <c r="E150" s="275"/>
      <c r="F150" s="275"/>
      <c r="G150" s="275"/>
      <c r="H150" s="275"/>
      <c r="I150" s="275"/>
    </row>
    <row r="151" spans="1:9" ht="27.75">
      <c r="A151" s="275" t="s">
        <v>167</v>
      </c>
      <c r="B151" s="275"/>
      <c r="C151" s="275"/>
      <c r="D151" s="275"/>
      <c r="E151" s="275"/>
      <c r="F151" s="275"/>
      <c r="G151" s="275"/>
      <c r="H151" s="275"/>
      <c r="I151" s="275"/>
    </row>
    <row r="152" spans="1:9">
      <c r="A152" s="276" t="s">
        <v>168</v>
      </c>
      <c r="B152" s="276"/>
      <c r="C152" s="276"/>
      <c r="D152" s="276"/>
      <c r="E152" s="276"/>
      <c r="F152" s="276"/>
      <c r="G152" s="276"/>
      <c r="H152" s="276"/>
      <c r="I152" s="276"/>
    </row>
    <row r="153" spans="1:9">
      <c r="A153" s="277"/>
      <c r="B153" s="277"/>
      <c r="C153" s="277"/>
      <c r="D153" s="277"/>
      <c r="E153" s="277"/>
      <c r="F153" s="277"/>
      <c r="G153" s="277"/>
      <c r="H153" s="277"/>
      <c r="I153" s="277"/>
    </row>
    <row r="154" spans="1:9" ht="21" thickBot="1">
      <c r="A154" s="278"/>
      <c r="B154" s="279" t="str">
        <f>Total!$A$2</f>
        <v>2026 Jun Century Field Promoter Salary Summary</v>
      </c>
      <c r="C154" s="279"/>
      <c r="D154" s="279"/>
      <c r="E154" s="279"/>
      <c r="F154" s="279"/>
      <c r="G154" s="279"/>
      <c r="H154" s="279"/>
      <c r="I154" s="280"/>
    </row>
    <row r="155" spans="1:9" ht="17.25" thickTop="1">
      <c r="A155" s="278"/>
      <c r="B155" s="281"/>
      <c r="C155" s="281"/>
      <c r="D155" s="281"/>
      <c r="E155" s="281"/>
      <c r="F155" s="281"/>
      <c r="G155" s="281"/>
      <c r="H155" s="51"/>
      <c r="I155" s="280"/>
    </row>
    <row r="156" spans="1:9" ht="16.5" customHeight="1">
      <c r="A156" s="278"/>
      <c r="B156" s="52" t="s">
        <v>169</v>
      </c>
      <c r="C156" s="53">
        <f>Total!E31</f>
        <v>0</v>
      </c>
      <c r="D156" s="53">
        <f>Total!D31</f>
        <v>0</v>
      </c>
      <c r="E156" s="54"/>
      <c r="F156" s="55" t="s">
        <v>170</v>
      </c>
      <c r="G156" s="53" t="e">
        <f>Total!#REF!</f>
        <v>#REF!</v>
      </c>
      <c r="H156" s="53"/>
      <c r="I156" s="280"/>
    </row>
    <row r="157" spans="1:9" ht="17.25" thickBot="1">
      <c r="A157" s="278"/>
      <c r="B157" s="56"/>
      <c r="C157" s="56"/>
      <c r="D157" s="56"/>
      <c r="E157" s="57"/>
      <c r="F157" s="58"/>
      <c r="G157" s="59"/>
      <c r="H157" s="59"/>
      <c r="I157" s="280"/>
    </row>
    <row r="158" spans="1:9" ht="17.25" thickBot="1">
      <c r="A158" s="278"/>
      <c r="B158" s="282" t="s">
        <v>171</v>
      </c>
      <c r="C158" s="283"/>
      <c r="D158" s="62"/>
      <c r="E158" s="61" t="s">
        <v>172</v>
      </c>
      <c r="F158" s="63"/>
      <c r="G158" s="59"/>
      <c r="H158" s="59"/>
      <c r="I158" s="280"/>
    </row>
    <row r="159" spans="1:9" ht="17.25" thickTop="1">
      <c r="A159" s="278"/>
      <c r="B159" s="64" t="s">
        <v>141</v>
      </c>
      <c r="C159" s="65"/>
      <c r="D159" s="66"/>
      <c r="E159" s="67" t="s">
        <v>142</v>
      </c>
      <c r="F159" s="68"/>
      <c r="G159" s="59"/>
      <c r="H159" s="59"/>
      <c r="I159" s="280"/>
    </row>
    <row r="160" spans="1:9">
      <c r="A160" s="278"/>
      <c r="B160" s="69" t="s">
        <v>143</v>
      </c>
      <c r="C160" s="70"/>
      <c r="D160" s="71"/>
      <c r="E160" s="72">
        <f>Total!F30</f>
        <v>0</v>
      </c>
      <c r="F160" s="73"/>
      <c r="G160" s="59"/>
      <c r="H160" s="59"/>
      <c r="I160" s="280"/>
    </row>
    <row r="161" spans="1:9" ht="16.5" customHeight="1">
      <c r="A161" s="278"/>
      <c r="B161" s="69" t="s">
        <v>173</v>
      </c>
      <c r="C161" s="74"/>
      <c r="D161" s="71"/>
      <c r="E161" s="123">
        <f>Total!G31</f>
        <v>0</v>
      </c>
      <c r="F161" s="73"/>
      <c r="G161" s="59"/>
      <c r="H161" s="59"/>
      <c r="I161" s="280"/>
    </row>
    <row r="162" spans="1:9" ht="16.5" customHeight="1">
      <c r="A162" s="278"/>
      <c r="B162" s="69" t="s">
        <v>145</v>
      </c>
      <c r="C162" s="74"/>
      <c r="D162" s="71"/>
      <c r="E162" s="72">
        <f>Total!H31</f>
        <v>0</v>
      </c>
      <c r="F162" s="73"/>
      <c r="G162" s="58"/>
      <c r="H162" s="58"/>
      <c r="I162" s="280"/>
    </row>
    <row r="163" spans="1:9" ht="16.5" customHeight="1">
      <c r="A163" s="278"/>
      <c r="B163" s="69" t="s">
        <v>146</v>
      </c>
      <c r="C163" s="70"/>
      <c r="D163" s="77"/>
      <c r="E163" s="124">
        <f>Total!I31</f>
        <v>0</v>
      </c>
      <c r="F163" s="78"/>
      <c r="G163" s="58"/>
      <c r="H163" s="58"/>
      <c r="I163" s="280"/>
    </row>
    <row r="164" spans="1:9" ht="16.5" customHeight="1">
      <c r="A164" s="278"/>
      <c r="B164" s="69" t="s">
        <v>147</v>
      </c>
      <c r="C164" s="70"/>
      <c r="D164" s="77"/>
      <c r="E164" s="124">
        <f>Total!J31</f>
        <v>0</v>
      </c>
      <c r="F164" s="78"/>
      <c r="G164" s="58"/>
      <c r="H164" s="58"/>
      <c r="I164" s="280"/>
    </row>
    <row r="165" spans="1:9" ht="17.25" thickBot="1">
      <c r="A165" s="278"/>
      <c r="B165" s="79" t="s">
        <v>148</v>
      </c>
      <c r="C165" s="80"/>
      <c r="D165" s="81"/>
      <c r="E165" s="82">
        <f>Total!L31</f>
        <v>0</v>
      </c>
      <c r="F165" s="83"/>
      <c r="G165" s="84"/>
      <c r="H165" s="84"/>
      <c r="I165" s="280"/>
    </row>
    <row r="166" spans="1:9" ht="17.25" thickBot="1">
      <c r="A166" s="278"/>
      <c r="B166" s="85"/>
      <c r="C166" s="85"/>
      <c r="D166" s="85"/>
      <c r="E166" s="85"/>
      <c r="F166" s="85"/>
      <c r="G166" s="85"/>
      <c r="H166" s="85"/>
      <c r="I166" s="280"/>
    </row>
    <row r="167" spans="1:9" ht="17.25" thickBot="1">
      <c r="A167" s="278"/>
      <c r="B167" s="86"/>
      <c r="C167" s="87" t="s">
        <v>174</v>
      </c>
      <c r="D167" s="88"/>
      <c r="E167" s="88"/>
      <c r="F167" s="268" t="s">
        <v>175</v>
      </c>
      <c r="G167" s="268"/>
      <c r="H167" s="90"/>
      <c r="I167" s="280"/>
    </row>
    <row r="168" spans="1:9" ht="17.25" thickTop="1">
      <c r="A168" s="278"/>
      <c r="B168" s="91"/>
      <c r="C168" s="64" t="s">
        <v>151</v>
      </c>
      <c r="D168" s="92"/>
      <c r="E168" s="92"/>
      <c r="F168" s="93"/>
      <c r="G168" s="125">
        <f>Total!K31</f>
        <v>0</v>
      </c>
      <c r="H168" s="95"/>
      <c r="I168" s="280"/>
    </row>
    <row r="169" spans="1:9" ht="16.5" customHeight="1">
      <c r="A169" s="278"/>
      <c r="B169" s="91"/>
      <c r="C169" s="69" t="s">
        <v>176</v>
      </c>
      <c r="D169" s="96"/>
      <c r="E169" s="96"/>
      <c r="F169" s="97"/>
      <c r="G169" s="126">
        <f>Total!Q31</f>
        <v>0</v>
      </c>
      <c r="H169" s="99"/>
      <c r="I169" s="280"/>
    </row>
    <row r="170" spans="1:9" ht="16.5" customHeight="1">
      <c r="A170" s="278"/>
      <c r="B170" s="91"/>
      <c r="C170" s="69" t="s">
        <v>153</v>
      </c>
      <c r="D170" s="100"/>
      <c r="E170" s="100"/>
      <c r="F170" s="97"/>
      <c r="G170" s="126">
        <f>Total!N31</f>
        <v>0</v>
      </c>
      <c r="H170" s="99"/>
      <c r="I170" s="280"/>
    </row>
    <row r="171" spans="1:9" ht="16.5" customHeight="1">
      <c r="A171" s="278"/>
      <c r="B171" s="91"/>
      <c r="C171" s="69" t="s">
        <v>177</v>
      </c>
      <c r="D171" s="101"/>
      <c r="E171" s="101"/>
      <c r="F171" s="97"/>
      <c r="G171" s="126">
        <f>Total!R31</f>
        <v>0</v>
      </c>
      <c r="H171" s="99"/>
      <c r="I171" s="280"/>
    </row>
    <row r="172" spans="1:9" ht="16.5" customHeight="1">
      <c r="A172" s="278"/>
      <c r="B172" s="91"/>
      <c r="C172" s="69" t="s">
        <v>178</v>
      </c>
      <c r="D172" s="101"/>
      <c r="E172" s="101"/>
      <c r="F172" s="97"/>
      <c r="G172" s="126" t="e">
        <f>Total!#REF!</f>
        <v>#REF!</v>
      </c>
      <c r="H172" s="99"/>
      <c r="I172" s="280"/>
    </row>
    <row r="173" spans="1:9" ht="16.5" customHeight="1">
      <c r="A173" s="278"/>
      <c r="B173" s="91"/>
      <c r="C173" s="69" t="s">
        <v>156</v>
      </c>
      <c r="D173" s="96" t="s">
        <v>157</v>
      </c>
      <c r="E173" s="96"/>
      <c r="F173" s="97"/>
      <c r="G173" s="126">
        <f>Total!S31</f>
        <v>0</v>
      </c>
      <c r="H173" s="99"/>
      <c r="I173" s="280"/>
    </row>
    <row r="174" spans="1:9" ht="16.5" customHeight="1">
      <c r="A174" s="278"/>
      <c r="B174" s="91"/>
      <c r="C174" s="69" t="s">
        <v>179</v>
      </c>
      <c r="D174" s="101"/>
      <c r="E174" s="101"/>
      <c r="F174" s="97"/>
      <c r="G174" s="126" t="e">
        <f>Total!#REF!</f>
        <v>#REF!</v>
      </c>
      <c r="H174" s="99"/>
      <c r="I174" s="280"/>
    </row>
    <row r="175" spans="1:9" ht="16.5" customHeight="1">
      <c r="A175" s="278"/>
      <c r="B175" s="91"/>
      <c r="C175" s="69" t="s">
        <v>180</v>
      </c>
      <c r="D175" s="101"/>
      <c r="E175" s="101"/>
      <c r="F175" s="97"/>
      <c r="G175" s="126">
        <f>Total!T31</f>
        <v>0</v>
      </c>
      <c r="H175" s="99"/>
      <c r="I175" s="280"/>
    </row>
    <row r="176" spans="1:9" ht="17.25" thickBot="1">
      <c r="A176" s="278"/>
      <c r="B176" s="91"/>
      <c r="C176" s="102" t="s">
        <v>181</v>
      </c>
      <c r="D176" s="103"/>
      <c r="E176" s="103"/>
      <c r="F176" s="104"/>
      <c r="G176" s="127">
        <f>Total!U31</f>
        <v>0</v>
      </c>
      <c r="H176" s="106"/>
      <c r="I176" s="280"/>
    </row>
    <row r="177" spans="1:10" ht="18" thickTop="1" thickBot="1">
      <c r="A177" s="278"/>
      <c r="B177" s="107"/>
      <c r="C177" s="108"/>
      <c r="D177" s="109"/>
      <c r="E177" s="110" t="s">
        <v>132</v>
      </c>
      <c r="F177" s="269" t="e">
        <f>SUM(G168:G175)-G176</f>
        <v>#REF!</v>
      </c>
      <c r="G177" s="269"/>
      <c r="H177" s="112"/>
      <c r="I177" s="280"/>
      <c r="J177" s="113">
        <f>Total!V31</f>
        <v>0</v>
      </c>
    </row>
    <row r="178" spans="1:10" ht="16.5" customHeight="1">
      <c r="A178" s="278"/>
      <c r="B178" s="56"/>
      <c r="C178" s="56"/>
      <c r="D178" s="56"/>
      <c r="E178" s="56"/>
      <c r="F178" s="270"/>
      <c r="G178" s="271"/>
      <c r="H178" s="59"/>
      <c r="I178" s="280"/>
    </row>
    <row r="179" spans="1:10">
      <c r="A179" s="278"/>
      <c r="B179" s="114" t="s">
        <v>161</v>
      </c>
      <c r="C179" s="56"/>
      <c r="D179" s="56"/>
      <c r="E179" s="56"/>
      <c r="F179" s="271"/>
      <c r="G179" s="271"/>
      <c r="H179" s="59"/>
      <c r="I179" s="280"/>
    </row>
    <row r="180" spans="1:10" ht="16.5" customHeight="1">
      <c r="A180" s="278"/>
      <c r="B180" s="114" t="s">
        <v>162</v>
      </c>
      <c r="C180" s="56"/>
      <c r="D180" s="272"/>
      <c r="E180" s="272"/>
      <c r="F180" s="271"/>
      <c r="G180" s="271"/>
      <c r="H180" s="59"/>
      <c r="I180" s="280"/>
    </row>
    <row r="181" spans="1:10" ht="16.5" customHeight="1">
      <c r="A181" s="278"/>
      <c r="B181" s="114" t="s">
        <v>163</v>
      </c>
      <c r="C181" s="56"/>
      <c r="D181" s="56"/>
      <c r="E181" s="56"/>
      <c r="F181" s="56"/>
      <c r="G181" s="56"/>
      <c r="H181" s="59"/>
      <c r="I181" s="280"/>
    </row>
    <row r="182" spans="1:10" ht="16.5" customHeight="1">
      <c r="A182" s="278"/>
      <c r="B182" s="115"/>
      <c r="C182" s="57"/>
      <c r="D182" s="116"/>
      <c r="E182" s="273" t="s">
        <v>182</v>
      </c>
      <c r="F182" s="273"/>
      <c r="G182" s="118"/>
      <c r="H182" s="119"/>
      <c r="I182" s="280"/>
    </row>
    <row r="183" spans="1:10" ht="16.5" customHeight="1">
      <c r="A183" s="278"/>
      <c r="B183" s="57"/>
      <c r="C183" s="57"/>
      <c r="D183" s="120"/>
      <c r="E183" s="120"/>
      <c r="F183" s="57"/>
      <c r="G183" s="57"/>
      <c r="H183" s="57"/>
      <c r="I183" s="280"/>
    </row>
    <row r="184" spans="1:10" ht="16.5" customHeight="1">
      <c r="A184" s="278"/>
      <c r="B184" s="57"/>
      <c r="C184" s="57"/>
      <c r="D184" s="120"/>
      <c r="E184" s="116"/>
      <c r="F184" s="117" t="s">
        <v>183</v>
      </c>
      <c r="G184" s="121"/>
      <c r="H184" s="122"/>
      <c r="I184" s="280"/>
    </row>
    <row r="185" spans="1:10" ht="16.5" customHeight="1"/>
    <row r="186" spans="1:10">
      <c r="A186" s="274"/>
      <c r="B186" s="274"/>
      <c r="C186" s="274"/>
      <c r="D186" s="274"/>
      <c r="E186" s="274"/>
      <c r="F186" s="274"/>
      <c r="G186" s="274"/>
      <c r="H186" s="274"/>
      <c r="I186" s="274"/>
    </row>
    <row r="187" spans="1:10" ht="27.75">
      <c r="A187" s="275" t="s">
        <v>166</v>
      </c>
      <c r="B187" s="275"/>
      <c r="C187" s="275"/>
      <c r="D187" s="275"/>
      <c r="E187" s="275"/>
      <c r="F187" s="275"/>
      <c r="G187" s="275"/>
      <c r="H187" s="275"/>
      <c r="I187" s="275"/>
    </row>
    <row r="188" spans="1:10" ht="27.75">
      <c r="A188" s="275" t="s">
        <v>167</v>
      </c>
      <c r="B188" s="275"/>
      <c r="C188" s="275"/>
      <c r="D188" s="275"/>
      <c r="E188" s="275"/>
      <c r="F188" s="275"/>
      <c r="G188" s="275"/>
      <c r="H188" s="275"/>
      <c r="I188" s="275"/>
    </row>
    <row r="189" spans="1:10">
      <c r="A189" s="276" t="s">
        <v>168</v>
      </c>
      <c r="B189" s="276"/>
      <c r="C189" s="276"/>
      <c r="D189" s="276"/>
      <c r="E189" s="276"/>
      <c r="F189" s="276"/>
      <c r="G189" s="276"/>
      <c r="H189" s="276"/>
      <c r="I189" s="276"/>
    </row>
    <row r="190" spans="1:10">
      <c r="A190" s="277"/>
      <c r="B190" s="277"/>
      <c r="C190" s="277"/>
      <c r="D190" s="277"/>
      <c r="E190" s="277"/>
      <c r="F190" s="277"/>
      <c r="G190" s="277"/>
      <c r="H190" s="277"/>
      <c r="I190" s="277"/>
    </row>
    <row r="191" spans="1:10" ht="21" thickBot="1">
      <c r="A191" s="278"/>
      <c r="B191" s="279" t="str">
        <f>Total!$A$2</f>
        <v>2026 Jun Century Field Promoter Salary Summary</v>
      </c>
      <c r="C191" s="279"/>
      <c r="D191" s="279"/>
      <c r="E191" s="279"/>
      <c r="F191" s="279"/>
      <c r="G191" s="279"/>
      <c r="H191" s="279"/>
      <c r="I191" s="280"/>
    </row>
    <row r="192" spans="1:10" ht="17.25" thickTop="1">
      <c r="A192" s="278"/>
      <c r="B192" s="281"/>
      <c r="C192" s="281"/>
      <c r="D192" s="281"/>
      <c r="E192" s="281"/>
      <c r="F192" s="281"/>
      <c r="G192" s="281"/>
      <c r="H192" s="51"/>
      <c r="I192" s="280"/>
    </row>
    <row r="193" spans="1:9" ht="16.5" customHeight="1">
      <c r="A193" s="278"/>
      <c r="B193" s="52" t="s">
        <v>169</v>
      </c>
      <c r="C193" s="53" t="e">
        <f>Total!#REF!</f>
        <v>#REF!</v>
      </c>
      <c r="D193" s="53" t="e">
        <f>Total!#REF!</f>
        <v>#REF!</v>
      </c>
      <c r="E193" s="54"/>
      <c r="F193" s="55" t="s">
        <v>170</v>
      </c>
      <c r="G193" s="53" t="e">
        <f>Total!#REF!</f>
        <v>#REF!</v>
      </c>
      <c r="H193" s="53"/>
      <c r="I193" s="280"/>
    </row>
    <row r="194" spans="1:9" ht="17.25" thickBot="1">
      <c r="A194" s="278"/>
      <c r="B194" s="56"/>
      <c r="C194" s="56"/>
      <c r="D194" s="56"/>
      <c r="E194" s="57"/>
      <c r="F194" s="58"/>
      <c r="G194" s="59"/>
      <c r="H194" s="59"/>
      <c r="I194" s="280"/>
    </row>
    <row r="195" spans="1:9" ht="17.25" thickBot="1">
      <c r="A195" s="278"/>
      <c r="B195" s="282" t="s">
        <v>171</v>
      </c>
      <c r="C195" s="283"/>
      <c r="D195" s="62"/>
      <c r="E195" s="61" t="s">
        <v>172</v>
      </c>
      <c r="F195" s="63"/>
      <c r="G195" s="59"/>
      <c r="H195" s="59"/>
      <c r="I195" s="280"/>
    </row>
    <row r="196" spans="1:9" ht="17.25" thickTop="1">
      <c r="A196" s="278"/>
      <c r="B196" s="64" t="s">
        <v>141</v>
      </c>
      <c r="C196" s="65"/>
      <c r="D196" s="66"/>
      <c r="E196" s="67" t="s">
        <v>142</v>
      </c>
      <c r="F196" s="68"/>
      <c r="G196" s="59"/>
      <c r="H196" s="59"/>
      <c r="I196" s="280"/>
    </row>
    <row r="197" spans="1:9">
      <c r="A197" s="278"/>
      <c r="B197" s="69" t="s">
        <v>143</v>
      </c>
      <c r="C197" s="70"/>
      <c r="D197" s="71"/>
      <c r="E197" s="72" t="e">
        <f>Total!#REF!</f>
        <v>#REF!</v>
      </c>
      <c r="F197" s="73"/>
      <c r="G197" s="59"/>
      <c r="H197" s="59"/>
      <c r="I197" s="280"/>
    </row>
    <row r="198" spans="1:9" ht="16.5" customHeight="1">
      <c r="A198" s="278"/>
      <c r="B198" s="69" t="s">
        <v>173</v>
      </c>
      <c r="C198" s="74"/>
      <c r="D198" s="71"/>
      <c r="E198" s="75" t="e">
        <f>Total!#REF!</f>
        <v>#REF!</v>
      </c>
      <c r="F198" s="73"/>
      <c r="G198" s="59"/>
      <c r="H198" s="59"/>
      <c r="I198" s="280"/>
    </row>
    <row r="199" spans="1:9" ht="16.5" customHeight="1">
      <c r="A199" s="278"/>
      <c r="B199" s="69" t="s">
        <v>145</v>
      </c>
      <c r="C199" s="74"/>
      <c r="D199" s="71"/>
      <c r="E199" s="72" t="e">
        <f>Total!#REF!</f>
        <v>#REF!</v>
      </c>
      <c r="F199" s="73"/>
      <c r="G199" s="58"/>
      <c r="H199" s="58"/>
      <c r="I199" s="280"/>
    </row>
    <row r="200" spans="1:9" ht="16.5" customHeight="1">
      <c r="A200" s="278"/>
      <c r="B200" s="69" t="s">
        <v>146</v>
      </c>
      <c r="C200" s="70"/>
      <c r="D200" s="77"/>
      <c r="E200" s="124" t="e">
        <f>Total!#REF!</f>
        <v>#REF!</v>
      </c>
      <c r="F200" s="78"/>
      <c r="G200" s="58"/>
      <c r="H200" s="58"/>
      <c r="I200" s="280"/>
    </row>
    <row r="201" spans="1:9" ht="16.5" customHeight="1">
      <c r="A201" s="278"/>
      <c r="B201" s="69" t="s">
        <v>147</v>
      </c>
      <c r="C201" s="70"/>
      <c r="D201" s="77"/>
      <c r="E201" s="124" t="e">
        <f>Total!#REF!</f>
        <v>#REF!</v>
      </c>
      <c r="F201" s="78"/>
      <c r="G201" s="58"/>
      <c r="H201" s="58"/>
      <c r="I201" s="280"/>
    </row>
    <row r="202" spans="1:9" ht="17.25" thickBot="1">
      <c r="A202" s="278"/>
      <c r="B202" s="79" t="s">
        <v>148</v>
      </c>
      <c r="C202" s="80"/>
      <c r="D202" s="81"/>
      <c r="E202" s="82" t="e">
        <f>Total!#REF!</f>
        <v>#REF!</v>
      </c>
      <c r="F202" s="83"/>
      <c r="G202" s="84"/>
      <c r="H202" s="84"/>
      <c r="I202" s="280"/>
    </row>
    <row r="203" spans="1:9" ht="17.25" thickBot="1">
      <c r="A203" s="278"/>
      <c r="B203" s="85"/>
      <c r="C203" s="85"/>
      <c r="D203" s="85"/>
      <c r="E203" s="85"/>
      <c r="F203" s="85"/>
      <c r="G203" s="85"/>
      <c r="H203" s="85"/>
      <c r="I203" s="280"/>
    </row>
    <row r="204" spans="1:9" ht="17.25" thickBot="1">
      <c r="A204" s="278"/>
      <c r="B204" s="86"/>
      <c r="C204" s="87" t="s">
        <v>174</v>
      </c>
      <c r="D204" s="88"/>
      <c r="E204" s="88"/>
      <c r="F204" s="268" t="s">
        <v>175</v>
      </c>
      <c r="G204" s="268"/>
      <c r="H204" s="90"/>
      <c r="I204" s="280"/>
    </row>
    <row r="205" spans="1:9" ht="17.25" thickTop="1">
      <c r="A205" s="278"/>
      <c r="B205" s="91"/>
      <c r="C205" s="64" t="s">
        <v>151</v>
      </c>
      <c r="D205" s="92"/>
      <c r="E205" s="92"/>
      <c r="F205" s="93"/>
      <c r="G205" s="125" t="e">
        <f>Total!#REF!</f>
        <v>#REF!</v>
      </c>
      <c r="H205" s="95"/>
      <c r="I205" s="280"/>
    </row>
    <row r="206" spans="1:9" ht="16.5" customHeight="1">
      <c r="A206" s="278"/>
      <c r="B206" s="91"/>
      <c r="C206" s="69" t="s">
        <v>176</v>
      </c>
      <c r="D206" s="96"/>
      <c r="E206" s="96"/>
      <c r="F206" s="97"/>
      <c r="G206" s="126" t="e">
        <f>Total!#REF!</f>
        <v>#REF!</v>
      </c>
      <c r="H206" s="99"/>
      <c r="I206" s="280"/>
    </row>
    <row r="207" spans="1:9" ht="16.5" customHeight="1">
      <c r="A207" s="278"/>
      <c r="B207" s="91"/>
      <c r="C207" s="69" t="s">
        <v>153</v>
      </c>
      <c r="D207" s="100"/>
      <c r="E207" s="100"/>
      <c r="F207" s="97"/>
      <c r="G207" s="126" t="e">
        <f>Total!#REF!</f>
        <v>#REF!</v>
      </c>
      <c r="H207" s="99"/>
      <c r="I207" s="280"/>
    </row>
    <row r="208" spans="1:9" ht="16.5" customHeight="1">
      <c r="A208" s="278"/>
      <c r="B208" s="91"/>
      <c r="C208" s="69" t="s">
        <v>177</v>
      </c>
      <c r="D208" s="101"/>
      <c r="E208" s="101"/>
      <c r="F208" s="97"/>
      <c r="G208" s="126" t="e">
        <f>Total!#REF!</f>
        <v>#REF!</v>
      </c>
      <c r="H208" s="99"/>
      <c r="I208" s="280"/>
    </row>
    <row r="209" spans="1:10" ht="16.5" customHeight="1">
      <c r="A209" s="278"/>
      <c r="B209" s="91"/>
      <c r="C209" s="69" t="s">
        <v>178</v>
      </c>
      <c r="D209" s="101"/>
      <c r="E209" s="101"/>
      <c r="F209" s="97"/>
      <c r="G209" s="126" t="e">
        <f>Total!#REF!</f>
        <v>#REF!</v>
      </c>
      <c r="H209" s="99"/>
      <c r="I209" s="280"/>
    </row>
    <row r="210" spans="1:10" ht="16.5" customHeight="1">
      <c r="A210" s="278"/>
      <c r="B210" s="91"/>
      <c r="C210" s="69" t="s">
        <v>156</v>
      </c>
      <c r="D210" s="96" t="s">
        <v>157</v>
      </c>
      <c r="E210" s="96"/>
      <c r="F210" s="97"/>
      <c r="G210" s="126" t="e">
        <f>Total!#REF!</f>
        <v>#REF!</v>
      </c>
      <c r="H210" s="99"/>
      <c r="I210" s="280"/>
    </row>
    <row r="211" spans="1:10" ht="16.5" customHeight="1">
      <c r="A211" s="278"/>
      <c r="B211" s="91"/>
      <c r="C211" s="69" t="s">
        <v>179</v>
      </c>
      <c r="D211" s="101"/>
      <c r="E211" s="101"/>
      <c r="F211" s="97"/>
      <c r="G211" s="126" t="e">
        <f>Total!#REF!</f>
        <v>#REF!</v>
      </c>
      <c r="H211" s="99"/>
      <c r="I211" s="280"/>
    </row>
    <row r="212" spans="1:10" ht="16.5" customHeight="1">
      <c r="A212" s="278"/>
      <c r="B212" s="91"/>
      <c r="C212" s="69" t="s">
        <v>180</v>
      </c>
      <c r="D212" s="101"/>
      <c r="E212" s="101"/>
      <c r="F212" s="97"/>
      <c r="G212" s="126" t="e">
        <f>Total!#REF!</f>
        <v>#REF!</v>
      </c>
      <c r="H212" s="99"/>
      <c r="I212" s="280"/>
    </row>
    <row r="213" spans="1:10" ht="17.25" thickBot="1">
      <c r="A213" s="278"/>
      <c r="B213" s="91"/>
      <c r="C213" s="102" t="s">
        <v>181</v>
      </c>
      <c r="D213" s="103"/>
      <c r="E213" s="103"/>
      <c r="F213" s="104"/>
      <c r="G213" s="127" t="e">
        <f>Total!#REF!</f>
        <v>#REF!</v>
      </c>
      <c r="H213" s="106"/>
      <c r="I213" s="280"/>
    </row>
    <row r="214" spans="1:10" ht="18" thickTop="1" thickBot="1">
      <c r="A214" s="278"/>
      <c r="B214" s="107"/>
      <c r="C214" s="108"/>
      <c r="D214" s="109"/>
      <c r="E214" s="110" t="s">
        <v>132</v>
      </c>
      <c r="F214" s="269" t="e">
        <f>G207</f>
        <v>#REF!</v>
      </c>
      <c r="G214" s="269"/>
      <c r="H214" s="112"/>
      <c r="I214" s="280"/>
      <c r="J214" s="113" t="e">
        <f>Total!#REF!</f>
        <v>#REF!</v>
      </c>
    </row>
    <row r="215" spans="1:10" ht="16.5" customHeight="1">
      <c r="A215" s="278"/>
      <c r="B215" s="56"/>
      <c r="C215" s="56"/>
      <c r="D215" s="56"/>
      <c r="E215" s="56"/>
      <c r="F215" s="270"/>
      <c r="G215" s="271"/>
      <c r="H215" s="59"/>
      <c r="I215" s="280"/>
    </row>
    <row r="216" spans="1:10">
      <c r="A216" s="278"/>
      <c r="B216" s="114" t="s">
        <v>161</v>
      </c>
      <c r="C216" s="56"/>
      <c r="D216" s="56"/>
      <c r="E216" s="56"/>
      <c r="F216" s="271"/>
      <c r="G216" s="271"/>
      <c r="H216" s="59"/>
      <c r="I216" s="280"/>
    </row>
    <row r="217" spans="1:10" ht="16.5" customHeight="1">
      <c r="A217" s="278"/>
      <c r="B217" s="114" t="s">
        <v>162</v>
      </c>
      <c r="C217" s="56"/>
      <c r="D217" s="272"/>
      <c r="E217" s="272"/>
      <c r="F217" s="271"/>
      <c r="G217" s="271"/>
      <c r="H217" s="59"/>
      <c r="I217" s="280"/>
    </row>
    <row r="218" spans="1:10" ht="16.5" customHeight="1">
      <c r="A218" s="278"/>
      <c r="B218" s="114" t="s">
        <v>163</v>
      </c>
      <c r="C218" s="56"/>
      <c r="D218" s="56"/>
      <c r="E218" s="56"/>
      <c r="F218" s="56"/>
      <c r="G218" s="56"/>
      <c r="H218" s="59"/>
      <c r="I218" s="280"/>
    </row>
    <row r="219" spans="1:10" ht="16.5" customHeight="1">
      <c r="A219" s="278"/>
      <c r="B219" s="115"/>
      <c r="C219" s="57"/>
      <c r="D219" s="116"/>
      <c r="E219" s="273" t="s">
        <v>182</v>
      </c>
      <c r="F219" s="273"/>
      <c r="G219" s="118"/>
      <c r="H219" s="119"/>
      <c r="I219" s="280"/>
    </row>
    <row r="220" spans="1:10" ht="16.5" customHeight="1">
      <c r="A220" s="278"/>
      <c r="B220" s="57"/>
      <c r="C220" s="57"/>
      <c r="D220" s="120"/>
      <c r="E220" s="120"/>
      <c r="F220" s="57"/>
      <c r="G220" s="57"/>
      <c r="H220" s="57"/>
      <c r="I220" s="280"/>
    </row>
    <row r="221" spans="1:10" ht="16.5" customHeight="1">
      <c r="A221" s="278"/>
      <c r="B221" s="57"/>
      <c r="C221" s="57"/>
      <c r="D221" s="120"/>
      <c r="E221" s="116"/>
      <c r="F221" s="117" t="s">
        <v>183</v>
      </c>
      <c r="G221" s="121"/>
      <c r="H221" s="122"/>
      <c r="I221" s="280"/>
    </row>
    <row r="222" spans="1:10" ht="16.5" customHeight="1"/>
    <row r="223" spans="1:10">
      <c r="A223" s="274"/>
      <c r="B223" s="274"/>
      <c r="C223" s="274"/>
      <c r="D223" s="274"/>
      <c r="E223" s="274"/>
      <c r="F223" s="274"/>
      <c r="G223" s="274"/>
      <c r="H223" s="274"/>
      <c r="I223" s="274"/>
    </row>
    <row r="224" spans="1:10" ht="27.75">
      <c r="A224" s="275" t="s">
        <v>166</v>
      </c>
      <c r="B224" s="275"/>
      <c r="C224" s="275"/>
      <c r="D224" s="275"/>
      <c r="E224" s="275"/>
      <c r="F224" s="275"/>
      <c r="G224" s="275"/>
      <c r="H224" s="275"/>
      <c r="I224" s="275"/>
    </row>
    <row r="225" spans="1:9" ht="27.75">
      <c r="A225" s="275" t="s">
        <v>167</v>
      </c>
      <c r="B225" s="275"/>
      <c r="C225" s="275"/>
      <c r="D225" s="275"/>
      <c r="E225" s="275"/>
      <c r="F225" s="275"/>
      <c r="G225" s="275"/>
      <c r="H225" s="275"/>
      <c r="I225" s="275"/>
    </row>
    <row r="226" spans="1:9">
      <c r="A226" s="276" t="s">
        <v>168</v>
      </c>
      <c r="B226" s="276"/>
      <c r="C226" s="276"/>
      <c r="D226" s="276"/>
      <c r="E226" s="276"/>
      <c r="F226" s="276"/>
      <c r="G226" s="276"/>
      <c r="H226" s="276"/>
      <c r="I226" s="276"/>
    </row>
    <row r="227" spans="1:9">
      <c r="A227" s="277"/>
      <c r="B227" s="277"/>
      <c r="C227" s="277"/>
      <c r="D227" s="277"/>
      <c r="E227" s="277"/>
      <c r="F227" s="277"/>
      <c r="G227" s="277"/>
      <c r="H227" s="277"/>
      <c r="I227" s="277"/>
    </row>
    <row r="228" spans="1:9" ht="21" thickBot="1">
      <c r="A228" s="278"/>
      <c r="B228" s="279" t="str">
        <f>Total!$A$2</f>
        <v>2026 Jun Century Field Promoter Salary Summary</v>
      </c>
      <c r="C228" s="279"/>
      <c r="D228" s="279"/>
      <c r="E228" s="279"/>
      <c r="F228" s="279"/>
      <c r="G228" s="279"/>
      <c r="H228" s="279"/>
      <c r="I228" s="280"/>
    </row>
    <row r="229" spans="1:9" ht="17.25" thickTop="1">
      <c r="A229" s="278"/>
      <c r="B229" s="281"/>
      <c r="C229" s="281"/>
      <c r="D229" s="281"/>
      <c r="E229" s="281"/>
      <c r="F229" s="281"/>
      <c r="G229" s="281"/>
      <c r="H229" s="51"/>
      <c r="I229" s="280"/>
    </row>
    <row r="230" spans="1:9" ht="16.5" customHeight="1">
      <c r="A230" s="278"/>
      <c r="B230" s="52" t="s">
        <v>169</v>
      </c>
      <c r="C230" s="53" t="e">
        <f>Total!#REF!</f>
        <v>#REF!</v>
      </c>
      <c r="D230" s="53" t="e">
        <f>Total!#REF!</f>
        <v>#REF!</v>
      </c>
      <c r="E230" s="54"/>
      <c r="F230" s="55" t="s">
        <v>170</v>
      </c>
      <c r="G230" s="53" t="e">
        <f>Total!#REF!</f>
        <v>#REF!</v>
      </c>
      <c r="H230" s="53"/>
      <c r="I230" s="280"/>
    </row>
    <row r="231" spans="1:9" ht="17.25" thickBot="1">
      <c r="A231" s="278"/>
      <c r="B231" s="56"/>
      <c r="C231" s="56"/>
      <c r="D231" s="56"/>
      <c r="E231" s="57"/>
      <c r="F231" s="58"/>
      <c r="G231" s="59"/>
      <c r="H231" s="59"/>
      <c r="I231" s="280"/>
    </row>
    <row r="232" spans="1:9" ht="17.25" thickBot="1">
      <c r="A232" s="278"/>
      <c r="B232" s="282" t="s">
        <v>171</v>
      </c>
      <c r="C232" s="283"/>
      <c r="D232" s="62"/>
      <c r="E232" s="61" t="s">
        <v>172</v>
      </c>
      <c r="F232" s="63"/>
      <c r="G232" s="59"/>
      <c r="H232" s="59"/>
      <c r="I232" s="280"/>
    </row>
    <row r="233" spans="1:9" ht="17.25" thickTop="1">
      <c r="A233" s="278"/>
      <c r="B233" s="64" t="s">
        <v>141</v>
      </c>
      <c r="C233" s="65"/>
      <c r="D233" s="66"/>
      <c r="E233" s="67" t="s">
        <v>142</v>
      </c>
      <c r="F233" s="68"/>
      <c r="G233" s="59"/>
      <c r="H233" s="59"/>
      <c r="I233" s="280"/>
    </row>
    <row r="234" spans="1:9">
      <c r="A234" s="278"/>
      <c r="B234" s="69" t="s">
        <v>143</v>
      </c>
      <c r="C234" s="70"/>
      <c r="D234" s="71"/>
      <c r="E234" s="72" t="e">
        <f>Total!#REF!</f>
        <v>#REF!</v>
      </c>
      <c r="F234" s="73"/>
      <c r="G234" s="59"/>
      <c r="H234" s="59"/>
      <c r="I234" s="280"/>
    </row>
    <row r="235" spans="1:9" ht="16.5" customHeight="1">
      <c r="A235" s="278"/>
      <c r="B235" s="69" t="s">
        <v>173</v>
      </c>
      <c r="C235" s="74"/>
      <c r="D235" s="71"/>
      <c r="E235" s="123" t="e">
        <f>Total!#REF!</f>
        <v>#REF!</v>
      </c>
      <c r="F235" s="73"/>
      <c r="G235" s="59"/>
      <c r="H235" s="59"/>
      <c r="I235" s="280"/>
    </row>
    <row r="236" spans="1:9" ht="16.5" customHeight="1">
      <c r="A236" s="278"/>
      <c r="B236" s="69" t="s">
        <v>145</v>
      </c>
      <c r="C236" s="74"/>
      <c r="D236" s="71"/>
      <c r="E236" s="72" t="e">
        <f>Total!#REF!</f>
        <v>#REF!</v>
      </c>
      <c r="F236" s="73"/>
      <c r="G236" s="58"/>
      <c r="H236" s="58"/>
      <c r="I236" s="280"/>
    </row>
    <row r="237" spans="1:9" ht="16.5" customHeight="1">
      <c r="A237" s="278"/>
      <c r="B237" s="69" t="s">
        <v>146</v>
      </c>
      <c r="C237" s="70"/>
      <c r="D237" s="77"/>
      <c r="E237" s="124" t="e">
        <f>Total!#REF!</f>
        <v>#REF!</v>
      </c>
      <c r="F237" s="78"/>
      <c r="G237" s="58"/>
      <c r="H237" s="58"/>
      <c r="I237" s="280"/>
    </row>
    <row r="238" spans="1:9" ht="16.5" customHeight="1">
      <c r="A238" s="278"/>
      <c r="B238" s="69" t="s">
        <v>147</v>
      </c>
      <c r="C238" s="70"/>
      <c r="D238" s="77"/>
      <c r="E238" s="124" t="e">
        <f>Total!#REF!</f>
        <v>#REF!</v>
      </c>
      <c r="F238" s="78"/>
      <c r="G238" s="58"/>
      <c r="H238" s="58"/>
      <c r="I238" s="280"/>
    </row>
    <row r="239" spans="1:9" ht="17.25" thickBot="1">
      <c r="A239" s="278"/>
      <c r="B239" s="79" t="s">
        <v>148</v>
      </c>
      <c r="C239" s="80"/>
      <c r="D239" s="81"/>
      <c r="E239" s="82" t="e">
        <f>Total!#REF!</f>
        <v>#REF!</v>
      </c>
      <c r="F239" s="83"/>
      <c r="G239" s="84"/>
      <c r="H239" s="84"/>
      <c r="I239" s="280"/>
    </row>
    <row r="240" spans="1:9" ht="17.25" thickBot="1">
      <c r="A240" s="278"/>
      <c r="B240" s="85"/>
      <c r="C240" s="85"/>
      <c r="D240" s="85"/>
      <c r="E240" s="85"/>
      <c r="F240" s="85"/>
      <c r="G240" s="85"/>
      <c r="H240" s="85"/>
      <c r="I240" s="280"/>
    </row>
    <row r="241" spans="1:10" ht="17.25" thickBot="1">
      <c r="A241" s="278"/>
      <c r="B241" s="86"/>
      <c r="C241" s="87" t="s">
        <v>174</v>
      </c>
      <c r="D241" s="88"/>
      <c r="E241" s="88"/>
      <c r="F241" s="268" t="s">
        <v>175</v>
      </c>
      <c r="G241" s="268"/>
      <c r="H241" s="90"/>
      <c r="I241" s="280"/>
    </row>
    <row r="242" spans="1:10" ht="17.25" thickTop="1">
      <c r="A242" s="278"/>
      <c r="B242" s="91"/>
      <c r="C242" s="64" t="s">
        <v>151</v>
      </c>
      <c r="D242" s="92"/>
      <c r="E242" s="92"/>
      <c r="F242" s="93"/>
      <c r="G242" s="125" t="e">
        <f>Total!#REF!</f>
        <v>#REF!</v>
      </c>
      <c r="H242" s="95"/>
      <c r="I242" s="280"/>
    </row>
    <row r="243" spans="1:10" ht="16.5" customHeight="1">
      <c r="A243" s="278"/>
      <c r="B243" s="91"/>
      <c r="C243" s="69" t="s">
        <v>176</v>
      </c>
      <c r="D243" s="96"/>
      <c r="E243" s="96"/>
      <c r="F243" s="97"/>
      <c r="G243" s="126" t="e">
        <f>Total!#REF!</f>
        <v>#REF!</v>
      </c>
      <c r="H243" s="99"/>
      <c r="I243" s="280"/>
    </row>
    <row r="244" spans="1:10" ht="16.5" customHeight="1">
      <c r="A244" s="278"/>
      <c r="B244" s="91"/>
      <c r="C244" s="69" t="s">
        <v>153</v>
      </c>
      <c r="D244" s="100"/>
      <c r="E244" s="100"/>
      <c r="F244" s="97"/>
      <c r="G244" s="126" t="e">
        <f>Total!#REF!</f>
        <v>#REF!</v>
      </c>
      <c r="H244" s="99"/>
      <c r="I244" s="280"/>
    </row>
    <row r="245" spans="1:10" ht="16.5" customHeight="1">
      <c r="A245" s="278"/>
      <c r="B245" s="91"/>
      <c r="C245" s="69" t="s">
        <v>177</v>
      </c>
      <c r="D245" s="101"/>
      <c r="E245" s="101"/>
      <c r="F245" s="97"/>
      <c r="G245" s="126" t="e">
        <f>Total!#REF!</f>
        <v>#REF!</v>
      </c>
      <c r="H245" s="99"/>
      <c r="I245" s="280"/>
    </row>
    <row r="246" spans="1:10" ht="16.5" customHeight="1">
      <c r="A246" s="278"/>
      <c r="B246" s="91"/>
      <c r="C246" s="69" t="s">
        <v>178</v>
      </c>
      <c r="D246" s="101"/>
      <c r="E246" s="101"/>
      <c r="F246" s="97"/>
      <c r="G246" s="126" t="e">
        <f>Total!#REF!</f>
        <v>#REF!</v>
      </c>
      <c r="H246" s="99"/>
      <c r="I246" s="280"/>
    </row>
    <row r="247" spans="1:10" ht="16.5" customHeight="1">
      <c r="A247" s="278"/>
      <c r="B247" s="91"/>
      <c r="C247" s="69" t="s">
        <v>156</v>
      </c>
      <c r="D247" s="96" t="s">
        <v>157</v>
      </c>
      <c r="E247" s="96"/>
      <c r="F247" s="97"/>
      <c r="G247" s="126" t="e">
        <f>Total!#REF!</f>
        <v>#REF!</v>
      </c>
      <c r="H247" s="99"/>
      <c r="I247" s="280"/>
    </row>
    <row r="248" spans="1:10" ht="16.5" customHeight="1">
      <c r="A248" s="278"/>
      <c r="B248" s="91"/>
      <c r="C248" s="69" t="s">
        <v>179</v>
      </c>
      <c r="D248" s="101"/>
      <c r="E248" s="101"/>
      <c r="F248" s="97"/>
      <c r="G248" s="126" t="e">
        <f>Total!#REF!</f>
        <v>#REF!</v>
      </c>
      <c r="H248" s="99"/>
      <c r="I248" s="280"/>
    </row>
    <row r="249" spans="1:10" ht="16.5" customHeight="1">
      <c r="A249" s="278"/>
      <c r="B249" s="91"/>
      <c r="C249" s="69" t="s">
        <v>180</v>
      </c>
      <c r="D249" s="101"/>
      <c r="E249" s="101"/>
      <c r="F249" s="97"/>
      <c r="G249" s="126" t="e">
        <f>Total!#REF!</f>
        <v>#REF!</v>
      </c>
      <c r="H249" s="99"/>
      <c r="I249" s="280"/>
    </row>
    <row r="250" spans="1:10" ht="17.25" thickBot="1">
      <c r="A250" s="278"/>
      <c r="B250" s="91"/>
      <c r="C250" s="102" t="s">
        <v>181</v>
      </c>
      <c r="D250" s="103"/>
      <c r="E250" s="103"/>
      <c r="F250" s="104"/>
      <c r="G250" s="127" t="e">
        <f>Total!#REF!</f>
        <v>#REF!</v>
      </c>
      <c r="H250" s="106"/>
      <c r="I250" s="280"/>
    </row>
    <row r="251" spans="1:10" ht="18" thickTop="1" thickBot="1">
      <c r="A251" s="278"/>
      <c r="B251" s="107"/>
      <c r="C251" s="108"/>
      <c r="D251" s="109"/>
      <c r="E251" s="110" t="s">
        <v>132</v>
      </c>
      <c r="F251" s="269" t="e">
        <f>SUM(G242:G249)-G250</f>
        <v>#REF!</v>
      </c>
      <c r="G251" s="269"/>
      <c r="H251" s="112"/>
      <c r="I251" s="280"/>
      <c r="J251" s="113" t="e">
        <f>Total!#REF!</f>
        <v>#REF!</v>
      </c>
    </row>
    <row r="252" spans="1:10" ht="16.5" customHeight="1">
      <c r="A252" s="278"/>
      <c r="B252" s="56"/>
      <c r="C252" s="56"/>
      <c r="D252" s="56"/>
      <c r="E252" s="56"/>
      <c r="F252" s="270"/>
      <c r="G252" s="271"/>
      <c r="H252" s="59"/>
      <c r="I252" s="280"/>
    </row>
    <row r="253" spans="1:10">
      <c r="A253" s="278"/>
      <c r="B253" s="114" t="s">
        <v>161</v>
      </c>
      <c r="C253" s="56"/>
      <c r="D253" s="56"/>
      <c r="E253" s="56"/>
      <c r="F253" s="271"/>
      <c r="G253" s="271"/>
      <c r="H253" s="59"/>
      <c r="I253" s="280"/>
    </row>
    <row r="254" spans="1:10" ht="16.5" customHeight="1">
      <c r="A254" s="278"/>
      <c r="B254" s="114" t="s">
        <v>162</v>
      </c>
      <c r="C254" s="56"/>
      <c r="D254" s="272"/>
      <c r="E254" s="272"/>
      <c r="F254" s="271"/>
      <c r="G254" s="271"/>
      <c r="H254" s="59"/>
      <c r="I254" s="280"/>
    </row>
    <row r="255" spans="1:10" ht="16.5" customHeight="1">
      <c r="A255" s="278"/>
      <c r="B255" s="114" t="s">
        <v>163</v>
      </c>
      <c r="C255" s="56"/>
      <c r="D255" s="56"/>
      <c r="E255" s="56"/>
      <c r="F255" s="56"/>
      <c r="G255" s="56"/>
      <c r="H255" s="59"/>
      <c r="I255" s="280"/>
    </row>
    <row r="256" spans="1:10" ht="16.5" customHeight="1">
      <c r="A256" s="278"/>
      <c r="B256" s="115"/>
      <c r="C256" s="57"/>
      <c r="D256" s="116"/>
      <c r="E256" s="273" t="s">
        <v>182</v>
      </c>
      <c r="F256" s="273"/>
      <c r="G256" s="118"/>
      <c r="H256" s="119"/>
      <c r="I256" s="280"/>
    </row>
    <row r="257" spans="1:9" ht="16.5" customHeight="1">
      <c r="A257" s="278"/>
      <c r="B257" s="57"/>
      <c r="C257" s="57"/>
      <c r="D257" s="120"/>
      <c r="E257" s="120"/>
      <c r="F257" s="57"/>
      <c r="G257" s="57"/>
      <c r="H257" s="57"/>
      <c r="I257" s="280"/>
    </row>
    <row r="258" spans="1:9" ht="16.5" customHeight="1">
      <c r="A258" s="278"/>
      <c r="B258" s="57"/>
      <c r="C258" s="57"/>
      <c r="D258" s="120"/>
      <c r="E258" s="116"/>
      <c r="F258" s="117" t="s">
        <v>183</v>
      </c>
      <c r="G258" s="121"/>
      <c r="H258" s="122"/>
      <c r="I258" s="280"/>
    </row>
    <row r="259" spans="1:9" ht="16.5" customHeight="1"/>
    <row r="260" spans="1:9">
      <c r="A260" s="274"/>
      <c r="B260" s="274"/>
      <c r="C260" s="274"/>
      <c r="D260" s="274"/>
      <c r="E260" s="274"/>
      <c r="F260" s="274"/>
      <c r="G260" s="274"/>
      <c r="H260" s="274"/>
      <c r="I260" s="274"/>
    </row>
    <row r="261" spans="1:9" ht="27.75">
      <c r="A261" s="275" t="s">
        <v>166</v>
      </c>
      <c r="B261" s="275"/>
      <c r="C261" s="275"/>
      <c r="D261" s="275"/>
      <c r="E261" s="275"/>
      <c r="F261" s="275"/>
      <c r="G261" s="275"/>
      <c r="H261" s="275"/>
      <c r="I261" s="275"/>
    </row>
    <row r="262" spans="1:9" ht="27.75">
      <c r="A262" s="275" t="s">
        <v>167</v>
      </c>
      <c r="B262" s="275"/>
      <c r="C262" s="275"/>
      <c r="D262" s="275"/>
      <c r="E262" s="275"/>
      <c r="F262" s="275"/>
      <c r="G262" s="275"/>
      <c r="H262" s="275"/>
      <c r="I262" s="275"/>
    </row>
    <row r="263" spans="1:9">
      <c r="A263" s="276" t="s">
        <v>168</v>
      </c>
      <c r="B263" s="276"/>
      <c r="C263" s="276"/>
      <c r="D263" s="276"/>
      <c r="E263" s="276"/>
      <c r="F263" s="276"/>
      <c r="G263" s="276"/>
      <c r="H263" s="276"/>
      <c r="I263" s="276"/>
    </row>
    <row r="264" spans="1:9">
      <c r="A264" s="277"/>
      <c r="B264" s="277"/>
      <c r="C264" s="277"/>
      <c r="D264" s="277"/>
      <c r="E264" s="277"/>
      <c r="F264" s="277"/>
      <c r="G264" s="277"/>
      <c r="H264" s="277"/>
      <c r="I264" s="277"/>
    </row>
    <row r="265" spans="1:9" ht="21" thickBot="1">
      <c r="A265" s="278"/>
      <c r="B265" s="279" t="str">
        <f>Total!$A$2</f>
        <v>2026 Jun Century Field Promoter Salary Summary</v>
      </c>
      <c r="C265" s="279"/>
      <c r="D265" s="279"/>
      <c r="E265" s="279"/>
      <c r="F265" s="279"/>
      <c r="G265" s="279"/>
      <c r="H265" s="279"/>
      <c r="I265" s="280"/>
    </row>
    <row r="266" spans="1:9" ht="17.25" thickTop="1">
      <c r="A266" s="278"/>
      <c r="B266" s="281"/>
      <c r="C266" s="281"/>
      <c r="D266" s="281"/>
      <c r="E266" s="281"/>
      <c r="F266" s="281"/>
      <c r="G266" s="281"/>
      <c r="H266" s="51"/>
      <c r="I266" s="280"/>
    </row>
    <row r="267" spans="1:9" ht="16.5" customHeight="1">
      <c r="A267" s="278"/>
      <c r="B267" s="52" t="s">
        <v>169</v>
      </c>
      <c r="C267" s="53" t="e">
        <f>Total!#REF!</f>
        <v>#REF!</v>
      </c>
      <c r="D267" s="53" t="e">
        <f>Total!#REF!</f>
        <v>#REF!</v>
      </c>
      <c r="E267" s="54"/>
      <c r="F267" s="55" t="s">
        <v>170</v>
      </c>
      <c r="G267" s="53" t="e">
        <f>Total!#REF!</f>
        <v>#REF!</v>
      </c>
      <c r="H267" s="53"/>
      <c r="I267" s="280"/>
    </row>
    <row r="268" spans="1:9" ht="17.25" thickBot="1">
      <c r="A268" s="278"/>
      <c r="B268" s="56"/>
      <c r="C268" s="56"/>
      <c r="D268" s="56"/>
      <c r="E268" s="57"/>
      <c r="F268" s="58"/>
      <c r="G268" s="59"/>
      <c r="H268" s="59"/>
      <c r="I268" s="280"/>
    </row>
    <row r="269" spans="1:9" ht="17.25" thickBot="1">
      <c r="A269" s="278"/>
      <c r="B269" s="282" t="s">
        <v>171</v>
      </c>
      <c r="C269" s="283"/>
      <c r="D269" s="62"/>
      <c r="E269" s="61" t="s">
        <v>172</v>
      </c>
      <c r="F269" s="63"/>
      <c r="G269" s="59"/>
      <c r="H269" s="59"/>
      <c r="I269" s="280"/>
    </row>
    <row r="270" spans="1:9" ht="17.25" thickTop="1">
      <c r="A270" s="278"/>
      <c r="B270" s="64" t="s">
        <v>141</v>
      </c>
      <c r="C270" s="65"/>
      <c r="D270" s="66"/>
      <c r="E270" s="67" t="s">
        <v>142</v>
      </c>
      <c r="F270" s="68"/>
      <c r="G270" s="59"/>
      <c r="H270" s="59"/>
      <c r="I270" s="280"/>
    </row>
    <row r="271" spans="1:9">
      <c r="A271" s="278"/>
      <c r="B271" s="69" t="s">
        <v>143</v>
      </c>
      <c r="C271" s="70"/>
      <c r="D271" s="71"/>
      <c r="E271" s="72" t="e">
        <f>Total!#REF!</f>
        <v>#REF!</v>
      </c>
      <c r="F271" s="73"/>
      <c r="G271" s="59"/>
      <c r="H271" s="59"/>
      <c r="I271" s="280"/>
    </row>
    <row r="272" spans="1:9" ht="16.5" customHeight="1">
      <c r="A272" s="278"/>
      <c r="B272" s="69" t="s">
        <v>173</v>
      </c>
      <c r="C272" s="74"/>
      <c r="D272" s="71"/>
      <c r="E272" s="128" t="e">
        <f>Total!#REF!</f>
        <v>#REF!</v>
      </c>
      <c r="F272" s="73"/>
      <c r="G272" s="59"/>
      <c r="H272" s="59"/>
      <c r="I272" s="280"/>
    </row>
    <row r="273" spans="1:10" ht="16.5" customHeight="1">
      <c r="A273" s="278"/>
      <c r="B273" s="69" t="s">
        <v>145</v>
      </c>
      <c r="C273" s="74"/>
      <c r="D273" s="71"/>
      <c r="E273" s="72" t="e">
        <f>Total!#REF!</f>
        <v>#REF!</v>
      </c>
      <c r="F273" s="73"/>
      <c r="G273" s="58"/>
      <c r="H273" s="58"/>
      <c r="I273" s="280"/>
    </row>
    <row r="274" spans="1:10" ht="16.5" customHeight="1">
      <c r="A274" s="278"/>
      <c r="B274" s="69" t="s">
        <v>146</v>
      </c>
      <c r="C274" s="70"/>
      <c r="D274" s="77"/>
      <c r="E274" s="124" t="e">
        <f>Total!#REF!</f>
        <v>#REF!</v>
      </c>
      <c r="F274" s="78"/>
      <c r="G274" s="58"/>
      <c r="H274" s="58"/>
      <c r="I274" s="280"/>
    </row>
    <row r="275" spans="1:10" ht="16.5" customHeight="1">
      <c r="A275" s="278"/>
      <c r="B275" s="69" t="s">
        <v>147</v>
      </c>
      <c r="C275" s="70"/>
      <c r="D275" s="77"/>
      <c r="E275" s="124" t="e">
        <f>Total!#REF!</f>
        <v>#REF!</v>
      </c>
      <c r="F275" s="78"/>
      <c r="G275" s="58"/>
      <c r="H275" s="58"/>
      <c r="I275" s="280"/>
    </row>
    <row r="276" spans="1:10" ht="17.25" thickBot="1">
      <c r="A276" s="278"/>
      <c r="B276" s="79" t="s">
        <v>148</v>
      </c>
      <c r="C276" s="80"/>
      <c r="D276" s="81"/>
      <c r="E276" s="82" t="e">
        <f>Total!#REF!</f>
        <v>#REF!</v>
      </c>
      <c r="F276" s="83"/>
      <c r="G276" s="84"/>
      <c r="H276" s="84"/>
      <c r="I276" s="280"/>
    </row>
    <row r="277" spans="1:10" ht="17.25" thickBot="1">
      <c r="A277" s="278"/>
      <c r="B277" s="85"/>
      <c r="C277" s="85"/>
      <c r="D277" s="85"/>
      <c r="E277" s="85"/>
      <c r="F277" s="85"/>
      <c r="G277" s="85"/>
      <c r="H277" s="85"/>
      <c r="I277" s="280"/>
    </row>
    <row r="278" spans="1:10" ht="17.25" thickBot="1">
      <c r="A278" s="278"/>
      <c r="B278" s="86"/>
      <c r="C278" s="87" t="s">
        <v>174</v>
      </c>
      <c r="D278" s="88"/>
      <c r="E278" s="88"/>
      <c r="F278" s="268" t="s">
        <v>175</v>
      </c>
      <c r="G278" s="268"/>
      <c r="H278" s="90"/>
      <c r="I278" s="280"/>
    </row>
    <row r="279" spans="1:10" ht="17.25" thickTop="1">
      <c r="A279" s="278"/>
      <c r="B279" s="91"/>
      <c r="C279" s="64" t="s">
        <v>151</v>
      </c>
      <c r="D279" s="92"/>
      <c r="E279" s="92"/>
      <c r="F279" s="93"/>
      <c r="G279" s="125" t="e">
        <f>Total!#REF!</f>
        <v>#REF!</v>
      </c>
      <c r="H279" s="95"/>
      <c r="I279" s="280"/>
    </row>
    <row r="280" spans="1:10" ht="16.5" customHeight="1">
      <c r="A280" s="278"/>
      <c r="B280" s="91"/>
      <c r="C280" s="69" t="s">
        <v>176</v>
      </c>
      <c r="D280" s="96"/>
      <c r="E280" s="96"/>
      <c r="F280" s="97"/>
      <c r="G280" s="126" t="e">
        <f>Total!#REF!</f>
        <v>#REF!</v>
      </c>
      <c r="H280" s="99"/>
      <c r="I280" s="280"/>
    </row>
    <row r="281" spans="1:10" ht="16.5" customHeight="1">
      <c r="A281" s="278"/>
      <c r="B281" s="91"/>
      <c r="C281" s="69" t="s">
        <v>153</v>
      </c>
      <c r="D281" s="100"/>
      <c r="E281" s="100"/>
      <c r="F281" s="97"/>
      <c r="G281" s="126" t="e">
        <f>Total!#REF!</f>
        <v>#REF!</v>
      </c>
      <c r="H281" s="99"/>
      <c r="I281" s="280"/>
    </row>
    <row r="282" spans="1:10" ht="16.5" customHeight="1">
      <c r="A282" s="278"/>
      <c r="B282" s="91"/>
      <c r="C282" s="69" t="s">
        <v>177</v>
      </c>
      <c r="D282" s="101"/>
      <c r="E282" s="101"/>
      <c r="F282" s="97"/>
      <c r="G282" s="126" t="e">
        <f>Total!#REF!</f>
        <v>#REF!</v>
      </c>
      <c r="H282" s="99"/>
      <c r="I282" s="280"/>
    </row>
    <row r="283" spans="1:10" ht="16.5" customHeight="1">
      <c r="A283" s="278"/>
      <c r="B283" s="91"/>
      <c r="C283" s="69" t="s">
        <v>178</v>
      </c>
      <c r="D283" s="101"/>
      <c r="E283" s="101"/>
      <c r="F283" s="97"/>
      <c r="G283" s="126" t="e">
        <f>Total!#REF!</f>
        <v>#REF!</v>
      </c>
      <c r="H283" s="99"/>
      <c r="I283" s="280"/>
    </row>
    <row r="284" spans="1:10" ht="16.5" customHeight="1">
      <c r="A284" s="278"/>
      <c r="B284" s="91"/>
      <c r="C284" s="69" t="s">
        <v>156</v>
      </c>
      <c r="D284" s="96" t="s">
        <v>157</v>
      </c>
      <c r="E284" s="96"/>
      <c r="F284" s="97"/>
      <c r="G284" s="126" t="e">
        <f>Total!#REF!</f>
        <v>#REF!</v>
      </c>
      <c r="H284" s="99"/>
      <c r="I284" s="280"/>
    </row>
    <row r="285" spans="1:10" ht="16.5" customHeight="1">
      <c r="A285" s="278"/>
      <c r="B285" s="91"/>
      <c r="C285" s="69" t="s">
        <v>179</v>
      </c>
      <c r="D285" s="101"/>
      <c r="E285" s="101"/>
      <c r="F285" s="97"/>
      <c r="G285" s="126" t="e">
        <f>Total!#REF!</f>
        <v>#REF!</v>
      </c>
      <c r="H285" s="99"/>
      <c r="I285" s="280"/>
    </row>
    <row r="286" spans="1:10" ht="16.5" customHeight="1">
      <c r="A286" s="278"/>
      <c r="B286" s="91"/>
      <c r="C286" s="69" t="s">
        <v>180</v>
      </c>
      <c r="D286" s="101"/>
      <c r="E286" s="101"/>
      <c r="F286" s="97"/>
      <c r="G286" s="126" t="e">
        <f>Total!#REF!</f>
        <v>#REF!</v>
      </c>
      <c r="H286" s="99"/>
      <c r="I286" s="280"/>
    </row>
    <row r="287" spans="1:10" ht="17.25" thickBot="1">
      <c r="A287" s="278"/>
      <c r="B287" s="91"/>
      <c r="C287" s="102" t="s">
        <v>181</v>
      </c>
      <c r="D287" s="103"/>
      <c r="E287" s="103"/>
      <c r="F287" s="104"/>
      <c r="G287" s="127" t="e">
        <f>Total!#REF!</f>
        <v>#REF!</v>
      </c>
      <c r="H287" s="106"/>
      <c r="I287" s="280"/>
    </row>
    <row r="288" spans="1:10" ht="18" thickTop="1" thickBot="1">
      <c r="A288" s="278"/>
      <c r="B288" s="107"/>
      <c r="C288" s="108"/>
      <c r="D288" s="109"/>
      <c r="E288" s="110" t="s">
        <v>132</v>
      </c>
      <c r="F288" s="269" t="e">
        <f>SUM(G279:G286)-G287</f>
        <v>#REF!</v>
      </c>
      <c r="G288" s="269"/>
      <c r="H288" s="112"/>
      <c r="I288" s="280"/>
      <c r="J288" s="113" t="e">
        <f>Total!#REF!</f>
        <v>#REF!</v>
      </c>
    </row>
    <row r="289" spans="1:9" ht="16.5" customHeight="1">
      <c r="A289" s="278"/>
      <c r="B289" s="56"/>
      <c r="C289" s="56"/>
      <c r="D289" s="56"/>
      <c r="E289" s="56"/>
      <c r="F289" s="270"/>
      <c r="G289" s="271"/>
      <c r="H289" s="59"/>
      <c r="I289" s="280"/>
    </row>
    <row r="290" spans="1:9">
      <c r="A290" s="278"/>
      <c r="B290" s="114" t="s">
        <v>161</v>
      </c>
      <c r="C290" s="56"/>
      <c r="D290" s="56"/>
      <c r="E290" s="56"/>
      <c r="F290" s="271"/>
      <c r="G290" s="271"/>
      <c r="H290" s="59"/>
      <c r="I290" s="280"/>
    </row>
    <row r="291" spans="1:9" ht="16.5" customHeight="1">
      <c r="A291" s="278"/>
      <c r="B291" s="114" t="s">
        <v>162</v>
      </c>
      <c r="C291" s="56"/>
      <c r="D291" s="272"/>
      <c r="E291" s="272"/>
      <c r="F291" s="271"/>
      <c r="G291" s="271"/>
      <c r="H291" s="59"/>
      <c r="I291" s="280"/>
    </row>
    <row r="292" spans="1:9" ht="16.5" customHeight="1">
      <c r="A292" s="278"/>
      <c r="B292" s="114" t="s">
        <v>163</v>
      </c>
      <c r="C292" s="56"/>
      <c r="D292" s="56"/>
      <c r="E292" s="56"/>
      <c r="F292" s="56"/>
      <c r="G292" s="56"/>
      <c r="H292" s="59"/>
      <c r="I292" s="280"/>
    </row>
    <row r="293" spans="1:9" ht="16.5" customHeight="1">
      <c r="A293" s="278"/>
      <c r="B293" s="115"/>
      <c r="C293" s="57"/>
      <c r="D293" s="116"/>
      <c r="E293" s="273" t="s">
        <v>182</v>
      </c>
      <c r="F293" s="273"/>
      <c r="G293" s="118"/>
      <c r="H293" s="119"/>
      <c r="I293" s="280"/>
    </row>
    <row r="294" spans="1:9" ht="16.5" customHeight="1">
      <c r="A294" s="278"/>
      <c r="B294" s="57"/>
      <c r="C294" s="57"/>
      <c r="D294" s="120"/>
      <c r="E294" s="120"/>
      <c r="F294" s="57"/>
      <c r="G294" s="57"/>
      <c r="H294" s="57"/>
      <c r="I294" s="280"/>
    </row>
    <row r="295" spans="1:9" ht="16.5" customHeight="1">
      <c r="A295" s="278"/>
      <c r="B295" s="57"/>
      <c r="C295" s="57"/>
      <c r="D295" s="120"/>
      <c r="E295" s="116"/>
      <c r="F295" s="117" t="s">
        <v>183</v>
      </c>
      <c r="G295" s="121"/>
      <c r="H295" s="122"/>
      <c r="I295" s="280"/>
    </row>
    <row r="296" spans="1:9" ht="16.5" customHeight="1"/>
    <row r="297" spans="1:9">
      <c r="A297" s="274"/>
      <c r="B297" s="274"/>
      <c r="C297" s="274"/>
      <c r="D297" s="274"/>
      <c r="E297" s="274"/>
      <c r="F297" s="274"/>
      <c r="G297" s="274"/>
      <c r="H297" s="274"/>
      <c r="I297" s="274"/>
    </row>
    <row r="298" spans="1:9" ht="27.75">
      <c r="A298" s="275" t="s">
        <v>166</v>
      </c>
      <c r="B298" s="275"/>
      <c r="C298" s="275"/>
      <c r="D298" s="275"/>
      <c r="E298" s="275"/>
      <c r="F298" s="275"/>
      <c r="G298" s="275"/>
      <c r="H298" s="275"/>
      <c r="I298" s="275"/>
    </row>
    <row r="299" spans="1:9" ht="27.75">
      <c r="A299" s="275" t="s">
        <v>167</v>
      </c>
      <c r="B299" s="275"/>
      <c r="C299" s="275"/>
      <c r="D299" s="275"/>
      <c r="E299" s="275"/>
      <c r="F299" s="275"/>
      <c r="G299" s="275"/>
      <c r="H299" s="275"/>
      <c r="I299" s="275"/>
    </row>
    <row r="300" spans="1:9">
      <c r="A300" s="276" t="s">
        <v>168</v>
      </c>
      <c r="B300" s="276"/>
      <c r="C300" s="276"/>
      <c r="D300" s="276"/>
      <c r="E300" s="276"/>
      <c r="F300" s="276"/>
      <c r="G300" s="276"/>
      <c r="H300" s="276"/>
      <c r="I300" s="276"/>
    </row>
    <row r="301" spans="1:9">
      <c r="A301" s="277"/>
      <c r="B301" s="277"/>
      <c r="C301" s="277"/>
      <c r="D301" s="277"/>
      <c r="E301" s="277"/>
      <c r="F301" s="277"/>
      <c r="G301" s="277"/>
      <c r="H301" s="277"/>
      <c r="I301" s="277"/>
    </row>
    <row r="302" spans="1:9" ht="21" thickBot="1">
      <c r="A302" s="278"/>
      <c r="B302" s="279" t="str">
        <f>Total!$A$2</f>
        <v>2026 Jun Century Field Promoter Salary Summary</v>
      </c>
      <c r="C302" s="279"/>
      <c r="D302" s="279"/>
      <c r="E302" s="279"/>
      <c r="F302" s="279"/>
      <c r="G302" s="279"/>
      <c r="H302" s="279"/>
      <c r="I302" s="280"/>
    </row>
    <row r="303" spans="1:9" ht="17.25" customHeight="1" thickTop="1">
      <c r="A303" s="278"/>
      <c r="B303" s="281"/>
      <c r="C303" s="281"/>
      <c r="D303" s="281"/>
      <c r="E303" s="281"/>
      <c r="F303" s="281"/>
      <c r="G303" s="281"/>
      <c r="H303" s="51"/>
      <c r="I303" s="280"/>
    </row>
    <row r="304" spans="1:9" ht="16.5" customHeight="1">
      <c r="A304" s="278"/>
      <c r="B304" s="52" t="s">
        <v>169</v>
      </c>
      <c r="C304" s="53" t="e">
        <f>Total!#REF!</f>
        <v>#REF!</v>
      </c>
      <c r="D304" s="53" t="e">
        <f>Total!#REF!</f>
        <v>#REF!</v>
      </c>
      <c r="E304" s="54"/>
      <c r="F304" s="55" t="s">
        <v>170</v>
      </c>
      <c r="G304" s="53" t="e">
        <f>Total!#REF!</f>
        <v>#REF!</v>
      </c>
      <c r="H304" s="53"/>
      <c r="I304" s="280"/>
    </row>
    <row r="305" spans="1:9" ht="17.25" customHeight="1" thickBot="1">
      <c r="A305" s="278"/>
      <c r="B305" s="56"/>
      <c r="C305" s="56"/>
      <c r="D305" s="56"/>
      <c r="E305" s="57"/>
      <c r="F305" s="58"/>
      <c r="G305" s="59"/>
      <c r="H305" s="59"/>
      <c r="I305" s="280"/>
    </row>
    <row r="306" spans="1:9" ht="17.25" thickBot="1">
      <c r="A306" s="278"/>
      <c r="B306" s="282" t="s">
        <v>171</v>
      </c>
      <c r="C306" s="283"/>
      <c r="D306" s="62"/>
      <c r="E306" s="61" t="s">
        <v>172</v>
      </c>
      <c r="F306" s="63"/>
      <c r="G306" s="59"/>
      <c r="H306" s="59"/>
      <c r="I306" s="280"/>
    </row>
    <row r="307" spans="1:9" ht="17.25" thickTop="1">
      <c r="A307" s="278"/>
      <c r="B307" s="64" t="s">
        <v>141</v>
      </c>
      <c r="C307" s="65"/>
      <c r="D307" s="66"/>
      <c r="E307" s="67" t="s">
        <v>142</v>
      </c>
      <c r="F307" s="68"/>
      <c r="G307" s="59"/>
      <c r="H307" s="59"/>
      <c r="I307" s="280"/>
    </row>
    <row r="308" spans="1:9">
      <c r="A308" s="278"/>
      <c r="B308" s="69" t="s">
        <v>143</v>
      </c>
      <c r="C308" s="70"/>
      <c r="D308" s="71"/>
      <c r="E308" s="72" t="e">
        <f>Total!#REF!</f>
        <v>#REF!</v>
      </c>
      <c r="F308" s="73"/>
      <c r="G308" s="59"/>
      <c r="H308" s="59"/>
      <c r="I308" s="280"/>
    </row>
    <row r="309" spans="1:9" ht="16.5" customHeight="1">
      <c r="A309" s="278"/>
      <c r="B309" s="69" t="s">
        <v>173</v>
      </c>
      <c r="C309" s="74"/>
      <c r="D309" s="71"/>
      <c r="E309" s="128" t="str">
        <f>Total!G17</f>
        <v>27,28/Jun</v>
      </c>
      <c r="F309" s="73"/>
      <c r="G309" s="59"/>
      <c r="H309" s="59"/>
      <c r="I309" s="280"/>
    </row>
    <row r="310" spans="1:9" ht="16.5" customHeight="1">
      <c r="A310" s="278"/>
      <c r="B310" s="69" t="s">
        <v>145</v>
      </c>
      <c r="C310" s="74"/>
      <c r="D310" s="71"/>
      <c r="E310" s="72" t="e">
        <f>Total!#REF!</f>
        <v>#REF!</v>
      </c>
      <c r="F310" s="73"/>
      <c r="G310" s="58"/>
      <c r="H310" s="58"/>
      <c r="I310" s="280"/>
    </row>
    <row r="311" spans="1:9" ht="16.5" customHeight="1">
      <c r="A311" s="278"/>
      <c r="B311" s="69" t="s">
        <v>146</v>
      </c>
      <c r="C311" s="70"/>
      <c r="D311" s="77"/>
      <c r="E311" s="124" t="e">
        <f>Total!#REF!</f>
        <v>#REF!</v>
      </c>
      <c r="F311" s="78"/>
      <c r="G311" s="58"/>
      <c r="H311" s="58"/>
      <c r="I311" s="280"/>
    </row>
    <row r="312" spans="1:9" ht="16.5" customHeight="1">
      <c r="A312" s="278"/>
      <c r="B312" s="69" t="s">
        <v>147</v>
      </c>
      <c r="C312" s="70"/>
      <c r="D312" s="77"/>
      <c r="E312" s="124" t="e">
        <f>Total!#REF!</f>
        <v>#REF!</v>
      </c>
      <c r="F312" s="78"/>
      <c r="G312" s="58"/>
      <c r="H312" s="58"/>
      <c r="I312" s="280"/>
    </row>
    <row r="313" spans="1:9" ht="17.25" thickBot="1">
      <c r="A313" s="278"/>
      <c r="B313" s="79" t="s">
        <v>148</v>
      </c>
      <c r="C313" s="80"/>
      <c r="D313" s="81"/>
      <c r="E313" s="82" t="e">
        <f>Total!#REF!</f>
        <v>#REF!</v>
      </c>
      <c r="F313" s="83"/>
      <c r="G313" s="84"/>
      <c r="H313" s="84"/>
      <c r="I313" s="280"/>
    </row>
    <row r="314" spans="1:9" ht="17.25" thickBot="1">
      <c r="A314" s="278"/>
      <c r="B314" s="85"/>
      <c r="C314" s="85"/>
      <c r="D314" s="85"/>
      <c r="E314" s="85"/>
      <c r="F314" s="85"/>
      <c r="G314" s="85"/>
      <c r="H314" s="85"/>
      <c r="I314" s="280"/>
    </row>
    <row r="315" spans="1:9" ht="17.25" thickBot="1">
      <c r="A315" s="278"/>
      <c r="B315" s="86"/>
      <c r="C315" s="87" t="s">
        <v>174</v>
      </c>
      <c r="D315" s="88"/>
      <c r="E315" s="88"/>
      <c r="F315" s="268" t="s">
        <v>175</v>
      </c>
      <c r="G315" s="268"/>
      <c r="H315" s="90"/>
      <c r="I315" s="280"/>
    </row>
    <row r="316" spans="1:9" ht="17.25" thickTop="1">
      <c r="A316" s="278"/>
      <c r="B316" s="91"/>
      <c r="C316" s="64" t="s">
        <v>151</v>
      </c>
      <c r="D316" s="92"/>
      <c r="E316" s="92"/>
      <c r="F316" s="93"/>
      <c r="G316" s="125" t="e">
        <f>Total!#REF!</f>
        <v>#REF!</v>
      </c>
      <c r="H316" s="95"/>
      <c r="I316" s="280"/>
    </row>
    <row r="317" spans="1:9" ht="16.5" customHeight="1">
      <c r="A317" s="278"/>
      <c r="B317" s="91"/>
      <c r="C317" s="69" t="s">
        <v>176</v>
      </c>
      <c r="D317" s="96"/>
      <c r="E317" s="96"/>
      <c r="F317" s="97"/>
      <c r="G317" s="126" t="e">
        <f>Total!#REF!</f>
        <v>#REF!</v>
      </c>
      <c r="H317" s="99"/>
      <c r="I317" s="280"/>
    </row>
    <row r="318" spans="1:9" ht="16.5" customHeight="1">
      <c r="A318" s="278"/>
      <c r="B318" s="91"/>
      <c r="C318" s="69" t="s">
        <v>153</v>
      </c>
      <c r="D318" s="100"/>
      <c r="E318" s="100"/>
      <c r="F318" s="97"/>
      <c r="G318" s="126" t="e">
        <f>Total!#REF!</f>
        <v>#REF!</v>
      </c>
      <c r="H318" s="99"/>
      <c r="I318" s="280"/>
    </row>
    <row r="319" spans="1:9" ht="16.5" customHeight="1">
      <c r="A319" s="278"/>
      <c r="B319" s="91"/>
      <c r="C319" s="69" t="s">
        <v>177</v>
      </c>
      <c r="D319" s="101"/>
      <c r="E319" s="101"/>
      <c r="F319" s="97"/>
      <c r="G319" s="126" t="e">
        <f>Total!#REF!</f>
        <v>#REF!</v>
      </c>
      <c r="H319" s="99"/>
      <c r="I319" s="280"/>
    </row>
    <row r="320" spans="1:9" ht="16.5" customHeight="1">
      <c r="A320" s="278"/>
      <c r="B320" s="91"/>
      <c r="C320" s="69" t="s">
        <v>178</v>
      </c>
      <c r="D320" s="101"/>
      <c r="E320" s="101"/>
      <c r="F320" s="97"/>
      <c r="G320" s="126" t="e">
        <f>Total!#REF!</f>
        <v>#REF!</v>
      </c>
      <c r="H320" s="99"/>
      <c r="I320" s="280"/>
    </row>
    <row r="321" spans="1:10" ht="16.5" customHeight="1">
      <c r="A321" s="278"/>
      <c r="B321" s="91"/>
      <c r="C321" s="69" t="s">
        <v>156</v>
      </c>
      <c r="D321" s="96" t="s">
        <v>157</v>
      </c>
      <c r="E321" s="96"/>
      <c r="F321" s="97"/>
      <c r="G321" s="126" t="e">
        <f>Total!#REF!</f>
        <v>#REF!</v>
      </c>
      <c r="H321" s="99"/>
      <c r="I321" s="280"/>
    </row>
    <row r="322" spans="1:10" ht="16.5" customHeight="1">
      <c r="A322" s="278"/>
      <c r="B322" s="91"/>
      <c r="C322" s="69" t="s">
        <v>179</v>
      </c>
      <c r="D322" s="101"/>
      <c r="E322" s="101"/>
      <c r="F322" s="97"/>
      <c r="G322" s="126" t="e">
        <f>Total!#REF!</f>
        <v>#REF!</v>
      </c>
      <c r="H322" s="99"/>
      <c r="I322" s="280"/>
    </row>
    <row r="323" spans="1:10" ht="16.5" customHeight="1">
      <c r="A323" s="278"/>
      <c r="B323" s="91"/>
      <c r="C323" s="69" t="s">
        <v>180</v>
      </c>
      <c r="D323" s="101"/>
      <c r="E323" s="101"/>
      <c r="F323" s="97"/>
      <c r="G323" s="126" t="e">
        <f>Total!#REF!</f>
        <v>#REF!</v>
      </c>
      <c r="H323" s="99"/>
      <c r="I323" s="280"/>
    </row>
    <row r="324" spans="1:10" ht="17.25" thickBot="1">
      <c r="A324" s="278"/>
      <c r="B324" s="91"/>
      <c r="C324" s="102" t="s">
        <v>181</v>
      </c>
      <c r="D324" s="103"/>
      <c r="E324" s="103"/>
      <c r="F324" s="104"/>
      <c r="G324" s="127" t="e">
        <f>Total!#REF!</f>
        <v>#REF!</v>
      </c>
      <c r="H324" s="106"/>
      <c r="I324" s="280"/>
    </row>
    <row r="325" spans="1:10" ht="18" thickTop="1" thickBot="1">
      <c r="A325" s="278"/>
      <c r="B325" s="107"/>
      <c r="C325" s="108"/>
      <c r="D325" s="109"/>
      <c r="E325" s="110" t="s">
        <v>132</v>
      </c>
      <c r="F325" s="269" t="e">
        <f>SUM(G316:G323)-G324</f>
        <v>#REF!</v>
      </c>
      <c r="G325" s="269"/>
      <c r="H325" s="112"/>
      <c r="I325" s="280"/>
      <c r="J325" s="113" t="e">
        <f>Total!#REF!</f>
        <v>#REF!</v>
      </c>
    </row>
    <row r="326" spans="1:10" ht="16.5" customHeight="1">
      <c r="A326" s="278"/>
      <c r="B326" s="56"/>
      <c r="C326" s="56"/>
      <c r="D326" s="56"/>
      <c r="E326" s="56"/>
      <c r="F326" s="284"/>
      <c r="G326" s="284"/>
      <c r="H326" s="59"/>
      <c r="I326" s="280"/>
    </row>
    <row r="327" spans="1:10" ht="16.5" customHeight="1">
      <c r="A327" s="278"/>
      <c r="B327" s="114" t="s">
        <v>161</v>
      </c>
      <c r="C327" s="56"/>
      <c r="D327" s="56"/>
      <c r="E327" s="56"/>
      <c r="F327" s="270"/>
      <c r="G327" s="270"/>
      <c r="H327" s="59"/>
      <c r="I327" s="280"/>
    </row>
    <row r="328" spans="1:10" ht="16.5" customHeight="1">
      <c r="A328" s="278"/>
      <c r="B328" s="114" t="s">
        <v>162</v>
      </c>
      <c r="C328" s="56"/>
      <c r="D328" s="272"/>
      <c r="E328" s="272"/>
      <c r="F328" s="270"/>
      <c r="G328" s="270"/>
      <c r="H328" s="59"/>
      <c r="I328" s="280"/>
    </row>
    <row r="329" spans="1:10" ht="16.5" customHeight="1">
      <c r="A329" s="278"/>
      <c r="B329" s="114" t="s">
        <v>163</v>
      </c>
      <c r="C329" s="56"/>
      <c r="D329" s="56"/>
      <c r="E329" s="56"/>
      <c r="F329" s="56"/>
      <c r="G329" s="56"/>
      <c r="H329" s="59"/>
      <c r="I329" s="280"/>
    </row>
    <row r="330" spans="1:10" ht="16.5" customHeight="1">
      <c r="A330" s="278"/>
      <c r="B330" s="115"/>
      <c r="C330" s="57"/>
      <c r="D330" s="116"/>
      <c r="E330" s="273" t="s">
        <v>182</v>
      </c>
      <c r="F330" s="273"/>
      <c r="G330" s="118"/>
      <c r="H330" s="119"/>
      <c r="I330" s="280"/>
    </row>
    <row r="331" spans="1:10" ht="16.5" customHeight="1">
      <c r="A331" s="278"/>
      <c r="B331" s="57"/>
      <c r="C331" s="57"/>
      <c r="D331" s="120"/>
      <c r="E331" s="120"/>
      <c r="F331" s="57"/>
      <c r="G331" s="57"/>
      <c r="H331" s="57"/>
      <c r="I331" s="280"/>
    </row>
    <row r="332" spans="1:10" ht="16.5" customHeight="1">
      <c r="A332" s="278"/>
      <c r="B332" s="57"/>
      <c r="C332" s="57"/>
      <c r="D332" s="120"/>
      <c r="E332" s="116"/>
      <c r="F332" s="117" t="s">
        <v>183</v>
      </c>
      <c r="G332" s="121"/>
      <c r="H332" s="122"/>
      <c r="I332" s="280"/>
    </row>
    <row r="333" spans="1:10" ht="16.5" customHeight="1"/>
    <row r="334" spans="1:10">
      <c r="A334" s="46"/>
      <c r="B334" s="46"/>
      <c r="C334" s="46"/>
      <c r="D334" s="46"/>
      <c r="E334" s="46"/>
      <c r="F334" s="46"/>
      <c r="G334" s="46"/>
      <c r="H334" s="46"/>
      <c r="I334" s="46"/>
    </row>
    <row r="335" spans="1:10" ht="27.75">
      <c r="A335" s="275" t="s">
        <v>166</v>
      </c>
      <c r="B335" s="275"/>
      <c r="C335" s="275"/>
      <c r="D335" s="275"/>
      <c r="E335" s="275"/>
      <c r="F335" s="275"/>
      <c r="G335" s="275"/>
      <c r="H335" s="275"/>
      <c r="I335" s="275"/>
    </row>
    <row r="336" spans="1:10" ht="27.75">
      <c r="A336" s="275" t="s">
        <v>167</v>
      </c>
      <c r="B336" s="275"/>
      <c r="C336" s="275"/>
      <c r="D336" s="275"/>
      <c r="E336" s="275"/>
      <c r="F336" s="275"/>
      <c r="G336" s="275"/>
      <c r="H336" s="275"/>
      <c r="I336" s="275"/>
    </row>
    <row r="337" spans="1:9">
      <c r="A337" s="276" t="s">
        <v>168</v>
      </c>
      <c r="B337" s="276"/>
      <c r="C337" s="276"/>
      <c r="D337" s="276"/>
      <c r="E337" s="276"/>
      <c r="F337" s="276"/>
      <c r="G337" s="276"/>
      <c r="H337" s="276"/>
      <c r="I337" s="276"/>
    </row>
    <row r="338" spans="1:9">
      <c r="A338" s="48"/>
      <c r="B338" s="48"/>
      <c r="C338" s="48"/>
      <c r="D338" s="48"/>
      <c r="E338" s="48"/>
      <c r="F338" s="48"/>
      <c r="G338" s="48"/>
      <c r="H338" s="48"/>
      <c r="I338" s="48"/>
    </row>
    <row r="339" spans="1:9" ht="21" thickBot="1">
      <c r="A339" s="279" t="str">
        <f>Total!$A$2</f>
        <v>2026 Jun Century Field Promoter Salary Summary</v>
      </c>
      <c r="B339" s="279"/>
      <c r="C339" s="279"/>
      <c r="D339" s="279"/>
      <c r="E339" s="279"/>
      <c r="F339" s="279"/>
      <c r="G339" s="279"/>
      <c r="H339" s="129"/>
      <c r="I339" s="130"/>
    </row>
    <row r="340" spans="1:9" ht="17.25" customHeight="1" thickTop="1">
      <c r="A340" s="49"/>
      <c r="B340" s="50"/>
      <c r="C340" s="50"/>
      <c r="D340" s="50"/>
      <c r="E340" s="50"/>
      <c r="F340" s="50"/>
      <c r="G340" s="50"/>
      <c r="H340" s="51"/>
      <c r="I340" s="130"/>
    </row>
    <row r="341" spans="1:9" ht="16.5" customHeight="1">
      <c r="A341" s="49"/>
      <c r="B341" s="131" t="s">
        <v>137</v>
      </c>
      <c r="C341" s="132" t="e">
        <f>Total!#REF!</f>
        <v>#REF!</v>
      </c>
      <c r="D341" s="132" t="e">
        <f>Total!#REF!</f>
        <v>#REF!</v>
      </c>
      <c r="E341" s="54"/>
      <c r="F341" s="133" t="s">
        <v>138</v>
      </c>
      <c r="G341" s="132" t="e">
        <f>Total!#REF!</f>
        <v>#REF!</v>
      </c>
      <c r="H341" s="132"/>
      <c r="I341" s="130"/>
    </row>
    <row r="342" spans="1:9" ht="17.25" customHeight="1" thickBot="1">
      <c r="A342" s="49"/>
      <c r="B342" s="134"/>
      <c r="C342" s="134"/>
      <c r="D342" s="134"/>
      <c r="E342" s="57"/>
      <c r="F342" s="135"/>
      <c r="G342" s="136"/>
      <c r="H342" s="136"/>
      <c r="I342" s="130"/>
    </row>
    <row r="343" spans="1:9" ht="17.25" customHeight="1" thickBot="1">
      <c r="A343" s="49"/>
      <c r="B343" s="137" t="s">
        <v>139</v>
      </c>
      <c r="C343" s="138"/>
      <c r="D343" s="139"/>
      <c r="E343" s="138" t="s">
        <v>140</v>
      </c>
      <c r="F343" s="140"/>
      <c r="G343" s="136"/>
      <c r="H343" s="136"/>
      <c r="I343" s="130"/>
    </row>
    <row r="344" spans="1:9" ht="17.25" customHeight="1" thickTop="1">
      <c r="A344" s="49"/>
      <c r="B344" s="64" t="s">
        <v>141</v>
      </c>
      <c r="C344" s="65"/>
      <c r="D344" s="141"/>
      <c r="E344" s="142" t="s">
        <v>142</v>
      </c>
      <c r="F344" s="143"/>
      <c r="G344" s="136"/>
      <c r="H344" s="136"/>
      <c r="I344" s="130"/>
    </row>
    <row r="345" spans="1:9" ht="16.5" customHeight="1">
      <c r="A345" s="49"/>
      <c r="B345" s="69" t="s">
        <v>143</v>
      </c>
      <c r="C345" s="70"/>
      <c r="D345" s="144"/>
      <c r="E345" s="145" t="e">
        <f>Total!#REF!</f>
        <v>#REF!</v>
      </c>
      <c r="F345" s="146"/>
      <c r="G345" s="136"/>
      <c r="H345" s="136"/>
      <c r="I345" s="130"/>
    </row>
    <row r="346" spans="1:9" ht="16.5" customHeight="1">
      <c r="A346" s="49"/>
      <c r="B346" s="69" t="s">
        <v>144</v>
      </c>
      <c r="C346" s="74"/>
      <c r="D346" s="144"/>
      <c r="E346" s="147" t="e">
        <f>Total!#REF!</f>
        <v>#REF!</v>
      </c>
      <c r="F346" s="146"/>
      <c r="G346" s="136"/>
      <c r="H346" s="136"/>
      <c r="I346" s="130"/>
    </row>
    <row r="347" spans="1:9" ht="16.5" customHeight="1">
      <c r="A347" s="49"/>
      <c r="B347" s="69" t="s">
        <v>145</v>
      </c>
      <c r="C347" s="74"/>
      <c r="D347" s="144"/>
      <c r="E347" s="148" t="e">
        <f>Total!#REF!</f>
        <v>#REF!</v>
      </c>
      <c r="F347" s="146"/>
      <c r="G347" s="135"/>
      <c r="H347" s="135"/>
      <c r="I347" s="130"/>
    </row>
    <row r="348" spans="1:9" ht="16.5" customHeight="1">
      <c r="A348" s="49"/>
      <c r="B348" s="69" t="s">
        <v>146</v>
      </c>
      <c r="C348" s="70"/>
      <c r="D348" s="149"/>
      <c r="E348" s="150" t="e">
        <f>Total!#REF!</f>
        <v>#REF!</v>
      </c>
      <c r="F348" s="151"/>
      <c r="G348" s="135"/>
      <c r="H348" s="135"/>
      <c r="I348" s="130"/>
    </row>
    <row r="349" spans="1:9" ht="16.5" customHeight="1">
      <c r="A349" s="49"/>
      <c r="B349" s="69" t="s">
        <v>147</v>
      </c>
      <c r="C349" s="70"/>
      <c r="D349" s="149"/>
      <c r="E349" s="150" t="e">
        <f>Total!#REF!</f>
        <v>#REF!</v>
      </c>
      <c r="F349" s="151"/>
      <c r="G349" s="135"/>
      <c r="H349" s="135"/>
      <c r="I349" s="130"/>
    </row>
    <row r="350" spans="1:9" ht="17.25" customHeight="1" thickBot="1">
      <c r="A350" s="49"/>
      <c r="B350" s="152" t="s">
        <v>148</v>
      </c>
      <c r="C350" s="80"/>
      <c r="D350" s="81"/>
      <c r="E350" s="82" t="e">
        <f>Total!#REF!</f>
        <v>#REF!</v>
      </c>
      <c r="F350" s="83"/>
      <c r="G350" s="153"/>
      <c r="H350" s="153"/>
      <c r="I350" s="130"/>
    </row>
    <row r="351" spans="1:9" ht="17.25" customHeight="1" thickBot="1">
      <c r="A351" s="49"/>
      <c r="B351" s="154"/>
      <c r="C351" s="154"/>
      <c r="D351" s="154"/>
      <c r="E351" s="154"/>
      <c r="F351" s="154"/>
      <c r="G351" s="154"/>
      <c r="H351" s="154"/>
      <c r="I351" s="130"/>
    </row>
    <row r="352" spans="1:9" ht="17.25" customHeight="1" thickBot="1">
      <c r="A352" s="49"/>
      <c r="B352" s="155"/>
      <c r="C352" s="156" t="s">
        <v>149</v>
      </c>
      <c r="D352" s="157"/>
      <c r="E352" s="157"/>
      <c r="F352" s="158" t="s">
        <v>150</v>
      </c>
      <c r="G352" s="158"/>
      <c r="H352" s="159"/>
      <c r="I352" s="130"/>
    </row>
    <row r="353" spans="1:10" ht="17.25" customHeight="1" thickTop="1">
      <c r="A353" s="49"/>
      <c r="B353" s="91"/>
      <c r="C353" s="64" t="s">
        <v>151</v>
      </c>
      <c r="D353" s="92"/>
      <c r="E353" s="92"/>
      <c r="F353" s="93"/>
      <c r="G353" s="125" t="e">
        <f>Total!#REF!</f>
        <v>#REF!</v>
      </c>
      <c r="H353" s="95"/>
      <c r="I353" s="130"/>
    </row>
    <row r="354" spans="1:10" ht="16.5" customHeight="1">
      <c r="A354" s="49"/>
      <c r="B354" s="91"/>
      <c r="C354" s="69" t="s">
        <v>152</v>
      </c>
      <c r="D354" s="96"/>
      <c r="E354" s="96"/>
      <c r="F354" s="97"/>
      <c r="G354" s="126" t="e">
        <f>Total!#REF!</f>
        <v>#REF!</v>
      </c>
      <c r="H354" s="99"/>
      <c r="I354" s="130"/>
    </row>
    <row r="355" spans="1:10" ht="16.5" customHeight="1">
      <c r="A355" s="49"/>
      <c r="B355" s="91"/>
      <c r="C355" s="69" t="s">
        <v>153</v>
      </c>
      <c r="D355" s="160"/>
      <c r="E355" s="160"/>
      <c r="F355" s="97"/>
      <c r="G355" s="126" t="e">
        <f>Total!#REF!</f>
        <v>#REF!</v>
      </c>
      <c r="H355" s="99"/>
      <c r="I355" s="130"/>
    </row>
    <row r="356" spans="1:10" ht="16.5" customHeight="1">
      <c r="A356" s="49"/>
      <c r="B356" s="91"/>
      <c r="C356" s="69" t="s">
        <v>154</v>
      </c>
      <c r="D356" s="161"/>
      <c r="E356" s="161"/>
      <c r="F356" s="97"/>
      <c r="G356" s="126" t="e">
        <f>Total!#REF!</f>
        <v>#REF!</v>
      </c>
      <c r="H356" s="99"/>
      <c r="I356" s="130"/>
    </row>
    <row r="357" spans="1:10" ht="16.5" customHeight="1">
      <c r="A357" s="49"/>
      <c r="B357" s="91"/>
      <c r="C357" s="69" t="s">
        <v>155</v>
      </c>
      <c r="D357" s="161"/>
      <c r="E357" s="161"/>
      <c r="F357" s="97"/>
      <c r="G357" s="126" t="e">
        <f>Total!#REF!</f>
        <v>#REF!</v>
      </c>
      <c r="H357" s="99"/>
      <c r="I357" s="130"/>
    </row>
    <row r="358" spans="1:10" ht="16.5" customHeight="1">
      <c r="A358" s="49"/>
      <c r="B358" s="91"/>
      <c r="C358" s="69" t="s">
        <v>156</v>
      </c>
      <c r="D358" s="96" t="s">
        <v>157</v>
      </c>
      <c r="E358" s="96"/>
      <c r="F358" s="97"/>
      <c r="G358" s="126" t="e">
        <f>Total!#REF!</f>
        <v>#REF!</v>
      </c>
      <c r="H358" s="99"/>
      <c r="I358" s="130"/>
    </row>
    <row r="359" spans="1:10" ht="16.5" customHeight="1">
      <c r="A359" s="49"/>
      <c r="B359" s="91"/>
      <c r="C359" s="69" t="s">
        <v>158</v>
      </c>
      <c r="D359" s="161"/>
      <c r="E359" s="161"/>
      <c r="F359" s="97"/>
      <c r="G359" s="126" t="e">
        <f>Total!#REF!</f>
        <v>#REF!</v>
      </c>
      <c r="H359" s="99"/>
      <c r="I359" s="130"/>
    </row>
    <row r="360" spans="1:10" ht="16.5" customHeight="1">
      <c r="A360" s="49"/>
      <c r="B360" s="91"/>
      <c r="C360" s="69" t="s">
        <v>159</v>
      </c>
      <c r="D360" s="161"/>
      <c r="E360" s="161"/>
      <c r="F360" s="97"/>
      <c r="G360" s="126" t="e">
        <f>Total!#REF!</f>
        <v>#REF!</v>
      </c>
      <c r="H360" s="99"/>
      <c r="I360" s="130"/>
    </row>
    <row r="361" spans="1:10" ht="17.25" customHeight="1" thickBot="1">
      <c r="A361" s="49"/>
      <c r="B361" s="91"/>
      <c r="C361" s="102" t="s">
        <v>160</v>
      </c>
      <c r="D361" s="162"/>
      <c r="E361" s="162"/>
      <c r="F361" s="104"/>
      <c r="G361" s="127" t="e">
        <f>Total!#REF!</f>
        <v>#REF!</v>
      </c>
      <c r="H361" s="106"/>
      <c r="I361" s="130"/>
    </row>
    <row r="362" spans="1:10" ht="18" customHeight="1" thickTop="1" thickBot="1">
      <c r="A362" s="49"/>
      <c r="B362" s="107"/>
      <c r="C362" s="108"/>
      <c r="D362" s="109"/>
      <c r="E362" s="110" t="s">
        <v>113</v>
      </c>
      <c r="F362" s="111" t="e">
        <f>SUM(G353:G360)-G361</f>
        <v>#REF!</v>
      </c>
      <c r="G362" s="111"/>
      <c r="H362" s="112"/>
      <c r="I362" s="130"/>
      <c r="J362" s="113" t="e">
        <f>Total!#REF!</f>
        <v>#REF!</v>
      </c>
    </row>
    <row r="363" spans="1:10" ht="16.5" customHeight="1">
      <c r="A363" s="49"/>
      <c r="B363" s="134"/>
      <c r="C363" s="134"/>
      <c r="D363" s="134"/>
      <c r="E363" s="134"/>
      <c r="F363" s="163"/>
      <c r="G363" s="164"/>
      <c r="H363" s="136"/>
      <c r="I363" s="130"/>
    </row>
    <row r="364" spans="1:10" ht="16.5" customHeight="1">
      <c r="A364" s="49"/>
      <c r="B364" s="114" t="s">
        <v>161</v>
      </c>
      <c r="C364" s="134"/>
      <c r="D364" s="134"/>
      <c r="E364" s="134"/>
      <c r="F364" s="164"/>
      <c r="G364" s="164"/>
      <c r="H364" s="136"/>
      <c r="I364" s="130"/>
    </row>
    <row r="365" spans="1:10" ht="16.5" customHeight="1">
      <c r="A365" s="49"/>
      <c r="B365" s="114" t="s">
        <v>162</v>
      </c>
      <c r="C365" s="134"/>
      <c r="D365" s="165"/>
      <c r="E365" s="165"/>
      <c r="F365" s="164"/>
      <c r="G365" s="164"/>
      <c r="H365" s="136"/>
      <c r="I365" s="130"/>
    </row>
    <row r="366" spans="1:10" ht="16.5" customHeight="1">
      <c r="A366" s="49"/>
      <c r="B366" s="114" t="s">
        <v>163</v>
      </c>
      <c r="C366" s="134"/>
      <c r="D366" s="134"/>
      <c r="E366" s="134"/>
      <c r="F366" s="134"/>
      <c r="G366" s="134"/>
      <c r="H366" s="136"/>
      <c r="I366" s="130"/>
    </row>
    <row r="367" spans="1:10" ht="16.5" customHeight="1">
      <c r="A367" s="49"/>
      <c r="B367" s="115"/>
      <c r="C367" s="57"/>
      <c r="D367" s="166"/>
      <c r="E367" s="167" t="s">
        <v>164</v>
      </c>
      <c r="F367" s="167"/>
      <c r="G367" s="168"/>
      <c r="H367" s="119"/>
      <c r="I367" s="130"/>
    </row>
    <row r="368" spans="1:10" ht="16.5" customHeight="1">
      <c r="A368" s="49"/>
      <c r="B368" s="57"/>
      <c r="C368" s="57"/>
      <c r="D368" s="120"/>
      <c r="E368" s="120"/>
      <c r="F368" s="57"/>
      <c r="G368" s="57"/>
      <c r="H368" s="57"/>
      <c r="I368" s="130"/>
    </row>
    <row r="369" spans="1:9" ht="16.5" customHeight="1">
      <c r="A369" s="49"/>
      <c r="B369" s="57"/>
      <c r="C369" s="57"/>
      <c r="D369" s="120"/>
      <c r="E369" s="166"/>
      <c r="F369" s="167" t="s">
        <v>165</v>
      </c>
      <c r="G369" s="169"/>
      <c r="H369" s="170"/>
      <c r="I369" s="130"/>
    </row>
    <row r="370" spans="1:9" ht="16.5" customHeight="1"/>
  </sheetData>
  <protectedRanges>
    <protectedRange password="E851" sqref="D20:F28 D57:F65 D94:F102 D131:F139 D168:F176 D205:F213 D242:F250 D279:F287 D316:F324" name="範圍1_1_1_2"/>
    <protectedRange password="E851" sqref="D353:F361" name="範圍1_1_1_2_2"/>
  </protectedRanges>
  <mergeCells count="139">
    <mergeCell ref="A339:G339"/>
    <mergeCell ref="F326:G328"/>
    <mergeCell ref="D328:E328"/>
    <mergeCell ref="E330:F330"/>
    <mergeCell ref="A335:I335"/>
    <mergeCell ref="A336:I336"/>
    <mergeCell ref="A337:I337"/>
    <mergeCell ref="A299:I299"/>
    <mergeCell ref="A300:I300"/>
    <mergeCell ref="A301:I301"/>
    <mergeCell ref="A302:A332"/>
    <mergeCell ref="B302:H302"/>
    <mergeCell ref="I302:I332"/>
    <mergeCell ref="B303:G303"/>
    <mergeCell ref="B306:C306"/>
    <mergeCell ref="F315:G315"/>
    <mergeCell ref="F325:G325"/>
    <mergeCell ref="F288:G288"/>
    <mergeCell ref="F289:G291"/>
    <mergeCell ref="D291:E291"/>
    <mergeCell ref="E293:F293"/>
    <mergeCell ref="A297:I297"/>
    <mergeCell ref="A298:I298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B269:C269"/>
    <mergeCell ref="F278:G278"/>
    <mergeCell ref="F241:G241"/>
    <mergeCell ref="F251:G251"/>
    <mergeCell ref="F252:G254"/>
    <mergeCell ref="D254:E254"/>
    <mergeCell ref="E256:F256"/>
    <mergeCell ref="A260:I260"/>
    <mergeCell ref="A223:I223"/>
    <mergeCell ref="A224:I224"/>
    <mergeCell ref="A225:I225"/>
    <mergeCell ref="A226:I226"/>
    <mergeCell ref="A227:I227"/>
    <mergeCell ref="A228:A258"/>
    <mergeCell ref="B228:H228"/>
    <mergeCell ref="I228:I258"/>
    <mergeCell ref="B229:G229"/>
    <mergeCell ref="B232:C232"/>
    <mergeCell ref="A191:A221"/>
    <mergeCell ref="B191:H191"/>
    <mergeCell ref="I191:I221"/>
    <mergeCell ref="B192:G192"/>
    <mergeCell ref="B195:C195"/>
    <mergeCell ref="F204:G204"/>
    <mergeCell ref="F214:G214"/>
    <mergeCell ref="F215:G217"/>
    <mergeCell ref="D217:E217"/>
    <mergeCell ref="E219:F219"/>
    <mergeCell ref="E182:F182"/>
    <mergeCell ref="A186:I186"/>
    <mergeCell ref="A187:I187"/>
    <mergeCell ref="A188:I188"/>
    <mergeCell ref="A189:I189"/>
    <mergeCell ref="A190:I190"/>
    <mergeCell ref="A153:I153"/>
    <mergeCell ref="A154:A184"/>
    <mergeCell ref="B154:H154"/>
    <mergeCell ref="I154:I184"/>
    <mergeCell ref="B155:G155"/>
    <mergeCell ref="B158:C158"/>
    <mergeCell ref="F167:G167"/>
    <mergeCell ref="F177:G177"/>
    <mergeCell ref="F178:G180"/>
    <mergeCell ref="D180:E180"/>
    <mergeCell ref="D143:E143"/>
    <mergeCell ref="E145:F145"/>
    <mergeCell ref="A149:I149"/>
    <mergeCell ref="A150:I150"/>
    <mergeCell ref="A151:I151"/>
    <mergeCell ref="A152:I152"/>
    <mergeCell ref="A115:I115"/>
    <mergeCell ref="A116:I116"/>
    <mergeCell ref="A117:A147"/>
    <mergeCell ref="B117:H117"/>
    <mergeCell ref="I117:I147"/>
    <mergeCell ref="B118:G118"/>
    <mergeCell ref="B121:C121"/>
    <mergeCell ref="F130:G130"/>
    <mergeCell ref="F140:G140"/>
    <mergeCell ref="F141:G143"/>
    <mergeCell ref="F104:G106"/>
    <mergeCell ref="D106:E106"/>
    <mergeCell ref="E108:F108"/>
    <mergeCell ref="A112:I112"/>
    <mergeCell ref="A113:I113"/>
    <mergeCell ref="A114:I114"/>
    <mergeCell ref="A77:I77"/>
    <mergeCell ref="A78:I78"/>
    <mergeCell ref="A79:I79"/>
    <mergeCell ref="A80:A110"/>
    <mergeCell ref="B80:H80"/>
    <mergeCell ref="I80:I110"/>
    <mergeCell ref="B81:G81"/>
    <mergeCell ref="B84:C84"/>
    <mergeCell ref="F93:G93"/>
    <mergeCell ref="F103:G103"/>
    <mergeCell ref="F66:G66"/>
    <mergeCell ref="F67:G69"/>
    <mergeCell ref="D69:E69"/>
    <mergeCell ref="E71:F71"/>
    <mergeCell ref="A75:I75"/>
    <mergeCell ref="A76:I76"/>
    <mergeCell ref="A39:I39"/>
    <mergeCell ref="A40:I40"/>
    <mergeCell ref="A41:I41"/>
    <mergeCell ref="A42:I42"/>
    <mergeCell ref="A43:A73"/>
    <mergeCell ref="B43:H43"/>
    <mergeCell ref="I43:I73"/>
    <mergeCell ref="B44:G44"/>
    <mergeCell ref="B47:C47"/>
    <mergeCell ref="F56:G56"/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</mergeCells>
  <phoneticPr fontId="4" type="noConversion"/>
  <conditionalFormatting sqref="F30:G32">
    <cfRule type="cellIs" dxfId="78" priority="10" operator="equal">
      <formula>0</formula>
    </cfRule>
  </conditionalFormatting>
  <conditionalFormatting sqref="F67:G69">
    <cfRule type="cellIs" dxfId="77" priority="9" operator="equal">
      <formula>0</formula>
    </cfRule>
  </conditionalFormatting>
  <conditionalFormatting sqref="F104:G106">
    <cfRule type="cellIs" dxfId="76" priority="8" operator="equal">
      <formula>0</formula>
    </cfRule>
  </conditionalFormatting>
  <conditionalFormatting sqref="F141:G143">
    <cfRule type="cellIs" dxfId="75" priority="6" operator="equal">
      <formula>0</formula>
    </cfRule>
  </conditionalFormatting>
  <conditionalFormatting sqref="F178:G180">
    <cfRule type="cellIs" dxfId="74" priority="5" operator="equal">
      <formula>0</formula>
    </cfRule>
  </conditionalFormatting>
  <conditionalFormatting sqref="F215:G217">
    <cfRule type="cellIs" dxfId="73" priority="4" operator="equal">
      <formula>0</formula>
    </cfRule>
  </conditionalFormatting>
  <conditionalFormatting sqref="F252:G254">
    <cfRule type="cellIs" dxfId="72" priority="3" operator="equal">
      <formula>0</formula>
    </cfRule>
  </conditionalFormatting>
  <conditionalFormatting sqref="F289:G291">
    <cfRule type="cellIs" dxfId="71" priority="2" operator="equal">
      <formula>0</formula>
    </cfRule>
  </conditionalFormatting>
  <conditionalFormatting sqref="F326:G328">
    <cfRule type="cellIs" dxfId="70" priority="7" operator="equal">
      <formula>0</formula>
    </cfRule>
  </conditionalFormatting>
  <conditionalFormatting sqref="F363:G365">
    <cfRule type="cellIs" dxfId="69" priority="1" operator="equal">
      <formula>0</formula>
    </cfRule>
  </conditionalFormatting>
  <pageMargins left="0.7" right="0.7" top="0.75" bottom="0.75" header="0.3" footer="0.3"/>
  <pageSetup paperSize="9" scale="89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1402-65CE-4361-9B7F-FFEF13A0DBC5}">
  <dimension ref="A1:BS31"/>
  <sheetViews>
    <sheetView zoomScale="80" zoomScaleNormal="80" workbookViewId="0">
      <selection activeCell="I45" sqref="I45"/>
    </sheetView>
  </sheetViews>
  <sheetFormatPr defaultColWidth="9" defaultRowHeight="16.5"/>
  <cols>
    <col min="1" max="1" width="21.875" style="183" customWidth="1"/>
    <col min="2" max="2" width="22.375" style="183" customWidth="1"/>
    <col min="3" max="32" width="8.875" style="183" customWidth="1"/>
    <col min="33" max="33" width="10.75" style="183" customWidth="1"/>
    <col min="34" max="36" width="9" style="183"/>
    <col min="37" max="37" width="19" style="183" bestFit="1" customWidth="1"/>
    <col min="38" max="38" width="26.375" style="183" bestFit="1" customWidth="1"/>
    <col min="39" max="39" width="13" style="183" customWidth="1"/>
    <col min="40" max="40" width="11.5" style="183" customWidth="1"/>
    <col min="41" max="41" width="9" style="183"/>
    <col min="42" max="42" width="12.5" style="183" customWidth="1"/>
    <col min="43" max="16384" width="9" style="183"/>
  </cols>
  <sheetData>
    <row r="1" spans="1:71">
      <c r="A1" s="181" t="s">
        <v>216</v>
      </c>
      <c r="B1" s="182">
        <v>46174</v>
      </c>
      <c r="C1" s="183">
        <f>YEAR(B1)</f>
        <v>2026</v>
      </c>
      <c r="D1" s="183">
        <f>MONTH(B1)</f>
        <v>6</v>
      </c>
      <c r="E1" s="184"/>
    </row>
    <row r="2" spans="1:71">
      <c r="E2" s="184"/>
    </row>
    <row r="3" spans="1:71">
      <c r="E3" s="184"/>
    </row>
    <row r="4" spans="1:71">
      <c r="A4" s="181" t="s">
        <v>225</v>
      </c>
      <c r="B4" s="185"/>
      <c r="C4" s="185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 t="s">
        <v>214</v>
      </c>
      <c r="AI4" s="186" t="s">
        <v>215</v>
      </c>
      <c r="AJ4" s="186"/>
    </row>
    <row r="5" spans="1:71" ht="14.25" customHeight="1">
      <c r="B5" s="187" t="s">
        <v>972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76">
        <f>SUBTOTAL(9,AH8:AH31)</f>
        <v>155</v>
      </c>
      <c r="AI5" s="176">
        <f>SUBTOTAL(9,AI8:AI31)</f>
        <v>1240</v>
      </c>
      <c r="AJ5" s="188"/>
      <c r="AL5" s="197" t="str">
        <f>B5</f>
        <v>2026 Jun</v>
      </c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  <c r="BD5" s="188"/>
      <c r="BE5" s="188"/>
      <c r="BF5" s="188"/>
      <c r="BG5" s="188"/>
      <c r="BH5" s="188"/>
      <c r="BI5" s="188"/>
      <c r="BJ5" s="188"/>
      <c r="BK5" s="188"/>
      <c r="BL5" s="188"/>
      <c r="BM5" s="188"/>
      <c r="BN5" s="188"/>
      <c r="BO5" s="188"/>
      <c r="BP5" s="188"/>
      <c r="BQ5" s="188"/>
      <c r="BR5" s="188"/>
      <c r="BS5" s="188"/>
    </row>
    <row r="6" spans="1:71">
      <c r="B6" s="189"/>
      <c r="C6" s="198" t="str">
        <f>TEXT($C$1&amp;"/"&amp;$D$1&amp;"/"&amp;C7,"ddd")</f>
        <v>Mon</v>
      </c>
      <c r="D6" s="198" t="str">
        <f t="shared" ref="D6:AG6" si="0">TEXT($C$1&amp;"/"&amp;$D$1&amp;"/"&amp;D7,"ddd")</f>
        <v>Tue</v>
      </c>
      <c r="E6" s="198" t="str">
        <f t="shared" si="0"/>
        <v>Wed</v>
      </c>
      <c r="F6" s="198" t="str">
        <f t="shared" si="0"/>
        <v>Thu</v>
      </c>
      <c r="G6" s="198" t="str">
        <f t="shared" si="0"/>
        <v>Fri</v>
      </c>
      <c r="H6" s="198" t="str">
        <f t="shared" si="0"/>
        <v>Sat</v>
      </c>
      <c r="I6" s="198" t="str">
        <f t="shared" si="0"/>
        <v>Sun</v>
      </c>
      <c r="J6" s="198" t="str">
        <f t="shared" si="0"/>
        <v>Mon</v>
      </c>
      <c r="K6" s="198" t="str">
        <f t="shared" si="0"/>
        <v>Tue</v>
      </c>
      <c r="L6" s="198" t="str">
        <f t="shared" si="0"/>
        <v>Wed</v>
      </c>
      <c r="M6" s="198" t="str">
        <f t="shared" si="0"/>
        <v>Thu</v>
      </c>
      <c r="N6" s="198" t="str">
        <f t="shared" si="0"/>
        <v>Fri</v>
      </c>
      <c r="O6" s="198" t="str">
        <f t="shared" si="0"/>
        <v>Sat</v>
      </c>
      <c r="P6" s="198" t="str">
        <f t="shared" si="0"/>
        <v>Sun</v>
      </c>
      <c r="Q6" s="198" t="str">
        <f t="shared" si="0"/>
        <v>Mon</v>
      </c>
      <c r="R6" s="198" t="str">
        <f t="shared" si="0"/>
        <v>Tue</v>
      </c>
      <c r="S6" s="198" t="str">
        <f t="shared" si="0"/>
        <v>Wed</v>
      </c>
      <c r="T6" s="198" t="str">
        <f t="shared" si="0"/>
        <v>Thu</v>
      </c>
      <c r="U6" s="198" t="str">
        <f t="shared" si="0"/>
        <v>Fri</v>
      </c>
      <c r="V6" s="198" t="str">
        <f t="shared" si="0"/>
        <v>Sat</v>
      </c>
      <c r="W6" s="198" t="str">
        <f t="shared" si="0"/>
        <v>Sun</v>
      </c>
      <c r="X6" s="198" t="str">
        <f t="shared" si="0"/>
        <v>Mon</v>
      </c>
      <c r="Y6" s="198" t="str">
        <f t="shared" si="0"/>
        <v>Tue</v>
      </c>
      <c r="Z6" s="198" t="str">
        <f t="shared" si="0"/>
        <v>Wed</v>
      </c>
      <c r="AA6" s="198" t="str">
        <f t="shared" si="0"/>
        <v>Thu</v>
      </c>
      <c r="AB6" s="198" t="str">
        <f t="shared" si="0"/>
        <v>Fri</v>
      </c>
      <c r="AC6" s="198" t="str">
        <f t="shared" si="0"/>
        <v>Sat</v>
      </c>
      <c r="AD6" s="198" t="str">
        <f t="shared" si="0"/>
        <v>Sun</v>
      </c>
      <c r="AE6" s="198" t="str">
        <f t="shared" si="0"/>
        <v>Mon</v>
      </c>
      <c r="AF6" s="198" t="str">
        <f t="shared" si="0"/>
        <v>Tue</v>
      </c>
      <c r="AG6" s="198" t="str">
        <f t="shared" si="0"/>
        <v>2026/6/31</v>
      </c>
      <c r="AH6" s="190"/>
      <c r="AI6" s="190"/>
      <c r="AJ6" s="190"/>
      <c r="AL6" s="188"/>
      <c r="AM6" s="197" t="str">
        <f t="shared" ref="AM6:AV7" si="1">C6</f>
        <v>Mon</v>
      </c>
      <c r="AN6" s="197" t="str">
        <f t="shared" si="1"/>
        <v>Tue</v>
      </c>
      <c r="AO6" s="197" t="str">
        <f t="shared" si="1"/>
        <v>Wed</v>
      </c>
      <c r="AP6" s="197" t="str">
        <f t="shared" si="1"/>
        <v>Thu</v>
      </c>
      <c r="AQ6" s="197" t="str">
        <f t="shared" si="1"/>
        <v>Fri</v>
      </c>
      <c r="AR6" s="197" t="str">
        <f t="shared" si="1"/>
        <v>Sat</v>
      </c>
      <c r="AS6" s="197" t="str">
        <f t="shared" si="1"/>
        <v>Sun</v>
      </c>
      <c r="AT6" s="197" t="str">
        <f t="shared" si="1"/>
        <v>Mon</v>
      </c>
      <c r="AU6" s="197" t="str">
        <f t="shared" si="1"/>
        <v>Tue</v>
      </c>
      <c r="AV6" s="197" t="str">
        <f t="shared" si="1"/>
        <v>Wed</v>
      </c>
      <c r="AW6" s="197" t="str">
        <f t="shared" ref="AW6:BF7" si="2">M6</f>
        <v>Thu</v>
      </c>
      <c r="AX6" s="197" t="str">
        <f t="shared" si="2"/>
        <v>Fri</v>
      </c>
      <c r="AY6" s="197" t="str">
        <f t="shared" si="2"/>
        <v>Sat</v>
      </c>
      <c r="AZ6" s="197" t="str">
        <f t="shared" si="2"/>
        <v>Sun</v>
      </c>
      <c r="BA6" s="197" t="str">
        <f t="shared" si="2"/>
        <v>Mon</v>
      </c>
      <c r="BB6" s="197" t="str">
        <f t="shared" si="2"/>
        <v>Tue</v>
      </c>
      <c r="BC6" s="197" t="str">
        <f t="shared" si="2"/>
        <v>Wed</v>
      </c>
      <c r="BD6" s="197" t="str">
        <f t="shared" si="2"/>
        <v>Thu</v>
      </c>
      <c r="BE6" s="197" t="str">
        <f t="shared" si="2"/>
        <v>Fri</v>
      </c>
      <c r="BF6" s="197" t="str">
        <f t="shared" si="2"/>
        <v>Sat</v>
      </c>
      <c r="BG6" s="197" t="str">
        <f t="shared" ref="BG6:BP7" si="3">W6</f>
        <v>Sun</v>
      </c>
      <c r="BH6" s="197" t="str">
        <f t="shared" si="3"/>
        <v>Mon</v>
      </c>
      <c r="BI6" s="197" t="str">
        <f t="shared" si="3"/>
        <v>Tue</v>
      </c>
      <c r="BJ6" s="197" t="str">
        <f t="shared" si="3"/>
        <v>Wed</v>
      </c>
      <c r="BK6" s="197" t="str">
        <f t="shared" si="3"/>
        <v>Thu</v>
      </c>
      <c r="BL6" s="197" t="str">
        <f t="shared" si="3"/>
        <v>Fri</v>
      </c>
      <c r="BM6" s="197" t="str">
        <f t="shared" si="3"/>
        <v>Sat</v>
      </c>
      <c r="BN6" s="197" t="str">
        <f t="shared" si="3"/>
        <v>Sun</v>
      </c>
      <c r="BO6" s="197" t="str">
        <f t="shared" si="3"/>
        <v>Mon</v>
      </c>
      <c r="BP6" s="197" t="str">
        <f t="shared" si="3"/>
        <v>Tue</v>
      </c>
      <c r="BQ6" s="197" t="str">
        <f t="shared" ref="BQ6:BQ7" si="4">AG6</f>
        <v>2026/6/31</v>
      </c>
      <c r="BR6" s="197" t="e">
        <f>#REF!</f>
        <v>#REF!</v>
      </c>
      <c r="BS6" s="197" t="e">
        <f>#REF!</f>
        <v>#REF!</v>
      </c>
    </row>
    <row r="7" spans="1:71" ht="31.5">
      <c r="A7" s="191" t="s">
        <v>218</v>
      </c>
      <c r="B7" s="189" t="s">
        <v>213</v>
      </c>
      <c r="C7" s="199">
        <f>DAY(B1)</f>
        <v>1</v>
      </c>
      <c r="D7" s="200">
        <f>C7+1</f>
        <v>2</v>
      </c>
      <c r="E7" s="200">
        <f>D7+1</f>
        <v>3</v>
      </c>
      <c r="F7" s="200">
        <f t="shared" ref="F7" si="5">E7+1</f>
        <v>4</v>
      </c>
      <c r="G7" s="200">
        <f t="shared" ref="G7" si="6">F7+1</f>
        <v>5</v>
      </c>
      <c r="H7" s="200">
        <f t="shared" ref="H7" si="7">G7+1</f>
        <v>6</v>
      </c>
      <c r="I7" s="200">
        <f t="shared" ref="I7" si="8">H7+1</f>
        <v>7</v>
      </c>
      <c r="J7" s="200">
        <f t="shared" ref="J7" si="9">I7+1</f>
        <v>8</v>
      </c>
      <c r="K7" s="200">
        <f t="shared" ref="K7" si="10">J7+1</f>
        <v>9</v>
      </c>
      <c r="L7" s="200">
        <f t="shared" ref="L7" si="11">K7+1</f>
        <v>10</v>
      </c>
      <c r="M7" s="200">
        <f t="shared" ref="M7" si="12">L7+1</f>
        <v>11</v>
      </c>
      <c r="N7" s="200">
        <f t="shared" ref="N7" si="13">M7+1</f>
        <v>12</v>
      </c>
      <c r="O7" s="200">
        <f t="shared" ref="O7" si="14">N7+1</f>
        <v>13</v>
      </c>
      <c r="P7" s="200">
        <f t="shared" ref="P7" si="15">O7+1</f>
        <v>14</v>
      </c>
      <c r="Q7" s="200">
        <f t="shared" ref="Q7" si="16">P7+1</f>
        <v>15</v>
      </c>
      <c r="R7" s="200">
        <f t="shared" ref="R7" si="17">Q7+1</f>
        <v>16</v>
      </c>
      <c r="S7" s="200">
        <f t="shared" ref="S7" si="18">R7+1</f>
        <v>17</v>
      </c>
      <c r="T7" s="200">
        <f t="shared" ref="T7" si="19">S7+1</f>
        <v>18</v>
      </c>
      <c r="U7" s="200">
        <f t="shared" ref="U7" si="20">T7+1</f>
        <v>19</v>
      </c>
      <c r="V7" s="200">
        <f t="shared" ref="V7" si="21">U7+1</f>
        <v>20</v>
      </c>
      <c r="W7" s="200">
        <f t="shared" ref="W7" si="22">V7+1</f>
        <v>21</v>
      </c>
      <c r="X7" s="200">
        <f t="shared" ref="X7" si="23">W7+1</f>
        <v>22</v>
      </c>
      <c r="Y7" s="200">
        <f t="shared" ref="Y7" si="24">X7+1</f>
        <v>23</v>
      </c>
      <c r="Z7" s="200">
        <f t="shared" ref="Z7" si="25">Y7+1</f>
        <v>24</v>
      </c>
      <c r="AA7" s="200">
        <f t="shared" ref="AA7" si="26">Z7+1</f>
        <v>25</v>
      </c>
      <c r="AB7" s="200">
        <f t="shared" ref="AB7" si="27">AA7+1</f>
        <v>26</v>
      </c>
      <c r="AC7" s="200">
        <f t="shared" ref="AC7" si="28">AB7+1</f>
        <v>27</v>
      </c>
      <c r="AD7" s="200">
        <f t="shared" ref="AD7" si="29">AC7+1</f>
        <v>28</v>
      </c>
      <c r="AE7" s="200">
        <f t="shared" ref="AE7" si="30">AD7+1</f>
        <v>29</v>
      </c>
      <c r="AF7" s="200">
        <f t="shared" ref="AF7" si="31">AE7+1</f>
        <v>30</v>
      </c>
      <c r="AG7" s="200">
        <f t="shared" ref="AG7" si="32">AF7+1</f>
        <v>31</v>
      </c>
      <c r="AH7" s="185"/>
      <c r="AI7" s="185"/>
      <c r="AJ7" s="185"/>
      <c r="AL7" s="188"/>
      <c r="AM7" s="197">
        <f t="shared" si="1"/>
        <v>1</v>
      </c>
      <c r="AN7" s="197">
        <f t="shared" si="1"/>
        <v>2</v>
      </c>
      <c r="AO7" s="197">
        <f t="shared" si="1"/>
        <v>3</v>
      </c>
      <c r="AP7" s="197">
        <f t="shared" si="1"/>
        <v>4</v>
      </c>
      <c r="AQ7" s="197">
        <f t="shared" si="1"/>
        <v>5</v>
      </c>
      <c r="AR7" s="197">
        <f t="shared" si="1"/>
        <v>6</v>
      </c>
      <c r="AS7" s="197">
        <f t="shared" si="1"/>
        <v>7</v>
      </c>
      <c r="AT7" s="197">
        <f t="shared" si="1"/>
        <v>8</v>
      </c>
      <c r="AU7" s="197">
        <f t="shared" si="1"/>
        <v>9</v>
      </c>
      <c r="AV7" s="197">
        <f t="shared" si="1"/>
        <v>10</v>
      </c>
      <c r="AW7" s="197">
        <f t="shared" si="2"/>
        <v>11</v>
      </c>
      <c r="AX7" s="197">
        <f t="shared" si="2"/>
        <v>12</v>
      </c>
      <c r="AY7" s="197">
        <f t="shared" si="2"/>
        <v>13</v>
      </c>
      <c r="AZ7" s="197">
        <f t="shared" si="2"/>
        <v>14</v>
      </c>
      <c r="BA7" s="197">
        <f t="shared" si="2"/>
        <v>15</v>
      </c>
      <c r="BB7" s="197">
        <f t="shared" si="2"/>
        <v>16</v>
      </c>
      <c r="BC7" s="197">
        <f t="shared" si="2"/>
        <v>17</v>
      </c>
      <c r="BD7" s="197">
        <f t="shared" si="2"/>
        <v>18</v>
      </c>
      <c r="BE7" s="197">
        <f t="shared" si="2"/>
        <v>19</v>
      </c>
      <c r="BF7" s="197">
        <f t="shared" si="2"/>
        <v>20</v>
      </c>
      <c r="BG7" s="197">
        <f t="shared" si="3"/>
        <v>21</v>
      </c>
      <c r="BH7" s="197">
        <f t="shared" si="3"/>
        <v>22</v>
      </c>
      <c r="BI7" s="197">
        <f t="shared" si="3"/>
        <v>23</v>
      </c>
      <c r="BJ7" s="197">
        <f t="shared" si="3"/>
        <v>24</v>
      </c>
      <c r="BK7" s="197">
        <f t="shared" si="3"/>
        <v>25</v>
      </c>
      <c r="BL7" s="197">
        <f t="shared" si="3"/>
        <v>26</v>
      </c>
      <c r="BM7" s="197">
        <f t="shared" si="3"/>
        <v>27</v>
      </c>
      <c r="BN7" s="197">
        <f t="shared" si="3"/>
        <v>28</v>
      </c>
      <c r="BO7" s="197">
        <f t="shared" si="3"/>
        <v>29</v>
      </c>
      <c r="BP7" s="197">
        <f t="shared" si="3"/>
        <v>30</v>
      </c>
      <c r="BQ7" s="197">
        <f t="shared" si="4"/>
        <v>31</v>
      </c>
      <c r="BR7" s="197" t="e">
        <f>#REF!</f>
        <v>#REF!</v>
      </c>
      <c r="BS7" s="197" t="e">
        <f>#REF!</f>
        <v>#REF!</v>
      </c>
    </row>
    <row r="8" spans="1:71" ht="30">
      <c r="A8" t="str" cm="1">
        <f t="array" ref="A8">_xlfn.LET(
    _xlpm.data, C8:AG8,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Margaret</v>
      </c>
      <c r="B8" s="201" t="str" cm="1">
        <f t="array" ref="B8:B22">_xlfn.ANCHORARRAY('Name List'!$K$3)</f>
        <v>Central Fortress</v>
      </c>
      <c r="C8" s="202" t="str" cm="1">
        <f t="array" ref="C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=$B8), ""),
   IF(_xlpm.filtered="", "", _xlpm.filtered)
)</f>
        <v>Margaret</v>
      </c>
      <c r="D8" s="202" t="str" cm="1">
        <f t="array" ref="D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=$B8), ""),
   IF(_xlpm.filtered="", "", _xlpm.filtered)
)</f>
        <v>Margaret</v>
      </c>
      <c r="E8" s="202" t="str" cm="1">
        <f t="array" ref="E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=$B8), ""),
   IF(_xlpm.filtered="", "", _xlpm.filtered)
)</f>
        <v/>
      </c>
      <c r="F8" s="202" t="str" cm="1">
        <f t="array" ref="F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=$B8), ""),
   IF(_xlpm.filtered="", "", _xlpm.filtered)
)</f>
        <v/>
      </c>
      <c r="G8" s="202" t="str" cm="1">
        <f t="array" ref="G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=$B8), ""),
   IF(_xlpm.filtered="", "", _xlpm.filtered)
)</f>
        <v/>
      </c>
      <c r="H8" s="202" t="str" cm="1">
        <f t="array" ref="H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=$B8), ""),
   IF(_xlpm.filtered="", "", _xlpm.filtered)
)</f>
        <v/>
      </c>
      <c r="I8" s="202" t="str" cm="1">
        <f t="array" ref="I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=$B8), ""),
   IF(_xlpm.filtered="", "", _xlpm.filtered)
)</f>
        <v/>
      </c>
      <c r="J8" s="202" t="str" cm="1">
        <f t="array" ref="J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=$B8), ""),
   IF(_xlpm.filtered="", "", _xlpm.filtered)
)</f>
        <v>Margaret</v>
      </c>
      <c r="K8" s="202" t="str" cm="1">
        <f t="array" ref="K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=$B8), ""),
   IF(_xlpm.filtered="", "", _xlpm.filtered)
)</f>
        <v>Margaret</v>
      </c>
      <c r="L8" s="202" t="str" cm="1">
        <f t="array" ref="L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=$B8), ""),
   IF(_xlpm.filtered="", "", _xlpm.filtered)
)</f>
        <v/>
      </c>
      <c r="M8" s="202" t="str" cm="1">
        <f t="array" ref="M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=$B8), ""),
   IF(_xlpm.filtered="", "", _xlpm.filtered)
)</f>
        <v/>
      </c>
      <c r="N8" s="202" t="str" cm="1">
        <f t="array" ref="N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=$B8), ""),
   IF(_xlpm.filtered="", "", _xlpm.filtered)
)</f>
        <v/>
      </c>
      <c r="O8" s="202" t="str" cm="1">
        <f t="array" ref="O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=$B8), ""),
   IF(_xlpm.filtered="", "", _xlpm.filtered)
)</f>
        <v/>
      </c>
      <c r="P8" s="202" t="str" cm="1">
        <f t="array" ref="P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=$B8), ""),
   IF(_xlpm.filtered="", "", _xlpm.filtered)
)</f>
        <v/>
      </c>
      <c r="Q8" s="202" t="str" cm="1">
        <f t="array" ref="Q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=$B8), ""),
   IF(_xlpm.filtered="", "", _xlpm.filtered)
)</f>
        <v>Margaret</v>
      </c>
      <c r="R8" s="202" t="str" cm="1">
        <f t="array" ref="R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=$B8), ""),
   IF(_xlpm.filtered="", "", _xlpm.filtered)
)</f>
        <v/>
      </c>
      <c r="S8" s="202" t="str" cm="1">
        <f t="array" ref="S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=$B8), ""),
   IF(_xlpm.filtered="", "", _xlpm.filtered)
)</f>
        <v/>
      </c>
      <c r="T8" s="202" t="str" cm="1">
        <f t="array" ref="T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=$B8), ""),
   IF(_xlpm.filtered="", "", _xlpm.filtered)
)</f>
        <v/>
      </c>
      <c r="U8" s="202" t="str" cm="1">
        <f t="array" ref="U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=$B8), ""),
   IF(_xlpm.filtered="", "", _xlpm.filtered)
)</f>
        <v/>
      </c>
      <c r="V8" s="202" t="str" cm="1">
        <f t="array" ref="V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=$B8), ""),
   IF(_xlpm.filtered="", "", _xlpm.filtered)
)</f>
        <v/>
      </c>
      <c r="W8" s="202" t="str" cm="1">
        <f t="array" ref="W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=$B8), ""),
   IF(_xlpm.filtered="", "", _xlpm.filtered)
)</f>
        <v/>
      </c>
      <c r="X8" s="202" t="str" cm="1">
        <f t="array" ref="X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=$B8), ""),
   IF(_xlpm.filtered="", "", _xlpm.filtered)
)</f>
        <v>Margaret</v>
      </c>
      <c r="Y8" s="202" t="str" cm="1">
        <f t="array" ref="Y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=$B8), ""),
   IF(_xlpm.filtered="", "", _xlpm.filtered)
)</f>
        <v>Margaret</v>
      </c>
      <c r="Z8" s="202" t="str" cm="1">
        <f t="array" ref="Z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=$B8), ""),
   IF(_xlpm.filtered="", "", _xlpm.filtered)
)</f>
        <v/>
      </c>
      <c r="AA8" s="202" t="str" cm="1">
        <f t="array" ref="AA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=$B8), ""),
   IF(_xlpm.filtered="", "", _xlpm.filtered)
)</f>
        <v/>
      </c>
      <c r="AB8" s="202" t="str" cm="1">
        <f t="array" ref="AB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=$B8), ""),
   IF(_xlpm.filtered="", "", _xlpm.filtered)
)</f>
        <v/>
      </c>
      <c r="AC8" s="202" t="str" cm="1">
        <f t="array" ref="AC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=$B8), ""),
   IF(_xlpm.filtered="", "", _xlpm.filtered)
)</f>
        <v/>
      </c>
      <c r="AD8" s="202" t="str" cm="1">
        <f t="array" ref="AD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=$B8), ""),
   IF(_xlpm.filtered="", "", _xlpm.filtered)
)</f>
        <v/>
      </c>
      <c r="AE8" s="202" t="str" cm="1">
        <f t="array" ref="AE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=$B8), ""),
   IF(_xlpm.filtered="", "", _xlpm.filtered)
)</f>
        <v/>
      </c>
      <c r="AF8" s="202" t="str" cm="1">
        <f t="array" ref="AF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=$B8), ""),
   IF(_xlpm.filtered="", "", _xlpm.filtered)
)</f>
        <v/>
      </c>
      <c r="AG8" s="202" t="str" cm="1">
        <f t="array" ref="AG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=$B8), ""),
   IF(_xlpm.filtered="", "", _xlpm.filtered)
)</f>
        <v/>
      </c>
      <c r="AH8" s="203">
        <f>COUNTIF(C8:AG8,"?*")</f>
        <v>7</v>
      </c>
      <c r="AI8" s="203">
        <f>AH8*8</f>
        <v>56</v>
      </c>
      <c r="AJ8" s="193"/>
      <c r="AL8" s="197" t="str">
        <f>B8</f>
        <v>Central Fortress</v>
      </c>
      <c r="AM8" s="204" t="e">
        <f>IF(C8=".",C8,IF(VLOOKUP($AL8&amp;C$1+#REF!&amp;C8, 工作表1!$C:$V,1,) &gt; 0,C8,"ERROR"))</f>
        <v>#REF!</v>
      </c>
      <c r="AN8" s="204" t="e">
        <f>IF(D8=".",D8,IF(VLOOKUP($AL8&amp;D$1+#REF!&amp;D8, 工作表1!$C:$V,1,) &gt; 0,D8,"ERROR"))</f>
        <v>#REF!</v>
      </c>
      <c r="AO8" s="204" t="e">
        <f>IF(E8=".",E8,IF(VLOOKUP($AL8&amp;E$1+#REF!&amp;E8, 工作表1!$C:$V,1,) &gt; 0,E8,"ERROR"))</f>
        <v>#REF!</v>
      </c>
      <c r="AP8" s="204" t="e">
        <f>IF(F8=".",F8,IF(VLOOKUP($AL8&amp;F$1+#REF!&amp;F8, 工作表1!$C:$V,1,) &gt; 0,F8,"ERROR"))</f>
        <v>#REF!</v>
      </c>
      <c r="AQ8" s="204" t="e">
        <f>IF(G8=".",G8,IF(VLOOKUP($AL8&amp;G$1+#REF!&amp;G8, 工作表1!$C:$V,1,) &gt; 0,G8,"ERROR"))</f>
        <v>#REF!</v>
      </c>
      <c r="AR8" s="204" t="e">
        <f>IF(H8=".",H8,IF(VLOOKUP($AL8&amp;H$1+#REF!&amp;H8, 工作表1!$C:$V,1,) &gt; 0,H8,"ERROR"))</f>
        <v>#REF!</v>
      </c>
      <c r="AS8" s="204" t="e">
        <f>IF(I8=".",I8,IF(VLOOKUP($AL8&amp;I$1+#REF!&amp;I8, 工作表1!$C:$V,1,) &gt; 0,I8,"ERROR"))</f>
        <v>#REF!</v>
      </c>
      <c r="AT8" s="204" t="e">
        <f>IF(J8=".",J8,IF(VLOOKUP($AL8&amp;J$1+#REF!&amp;J8, 工作表1!$C:$V,1,) &gt; 0,J8,"ERROR"))</f>
        <v>#REF!</v>
      </c>
      <c r="AU8" s="204" t="e">
        <f>IF(K8=".",K8,IF(VLOOKUP($AL8&amp;K$1+#REF!&amp;K8, 工作表1!$C:$V,1,) &gt; 0,K8,"ERROR"))</f>
        <v>#REF!</v>
      </c>
      <c r="AV8" s="204" t="e">
        <f>IF(L8=".",L8,IF(VLOOKUP($AL8&amp;L$1+#REF!&amp;L8, 工作表1!$C:$V,1,) &gt; 0,L8,"ERROR"))</f>
        <v>#REF!</v>
      </c>
      <c r="AW8" s="204" t="e">
        <f>IF(M8=".",M8,IF(VLOOKUP($AL8&amp;M$1+#REF!&amp;M8, 工作表1!$C:$V,1,) &gt; 0,M8,"ERROR"))</f>
        <v>#REF!</v>
      </c>
      <c r="AX8" s="204" t="e">
        <f>IF(N8=".",N8,IF(VLOOKUP($AL8&amp;N$1+#REF!&amp;N8, 工作表1!$C:$V,1,) &gt; 0,N8,"ERROR"))</f>
        <v>#REF!</v>
      </c>
      <c r="AY8" s="204" t="e">
        <f>IF(O8=".",O8,IF(VLOOKUP($AL8&amp;O$1+#REF!&amp;O8, 工作表1!$C:$V,1,) &gt; 0,O8,"ERROR"))</f>
        <v>#REF!</v>
      </c>
      <c r="AZ8" s="204" t="e">
        <f>IF(P8=".",P8,IF(VLOOKUP($AL8&amp;P$1+#REF!&amp;P8, 工作表1!$C:$V,1,) &gt; 0,P8,"ERROR"))</f>
        <v>#REF!</v>
      </c>
      <c r="BA8" s="204" t="e">
        <f>IF(Q8=".",Q8,IF(VLOOKUP($AL8&amp;Q$1+#REF!&amp;Q8, 工作表1!$C:$V,1,) &gt; 0,Q8,"ERROR"))</f>
        <v>#REF!</v>
      </c>
      <c r="BB8" s="204" t="e">
        <f>IF(R8=".",R8,IF(VLOOKUP($AL8&amp;R$1+#REF!&amp;R8, 工作表1!$C:$V,1,) &gt; 0,R8,"ERROR"))</f>
        <v>#REF!</v>
      </c>
      <c r="BC8" s="204" t="e">
        <f>IF(S8=".",S8,IF(VLOOKUP($AL8&amp;S$1+#REF!&amp;S8, 工作表1!$C:$V,1,) &gt; 0,S8,"ERROR"))</f>
        <v>#REF!</v>
      </c>
      <c r="BD8" s="204" t="e">
        <f>IF(T8=".",T8,IF(VLOOKUP($AL8&amp;T$1+#REF!&amp;T8, 工作表1!$C:$V,1,) &gt; 0,T8,"ERROR"))</f>
        <v>#REF!</v>
      </c>
      <c r="BE8" s="204" t="e">
        <f>IF(U8=".",U8,IF(VLOOKUP($AL8&amp;U$1+#REF!&amp;U8, 工作表1!$C:$V,1,) &gt; 0,U8,"ERROR"))</f>
        <v>#REF!</v>
      </c>
      <c r="BF8" s="204" t="e">
        <f>IF(V8=".",V8,IF(VLOOKUP($AL8&amp;V$1+#REF!&amp;V8, 工作表1!$C:$V,1,) &gt; 0,V8,"ERROR"))</f>
        <v>#REF!</v>
      </c>
      <c r="BG8" s="204" t="e">
        <f>IF(W8=".",W8,IF(VLOOKUP($AL8&amp;W$1+#REF!&amp;W8, 工作表1!$C:$V,1,) &gt; 0,W8,"ERROR"))</f>
        <v>#REF!</v>
      </c>
      <c r="BH8" s="204" t="e">
        <f>IF(X8=".",X8,IF(VLOOKUP($AL8&amp;X$1+#REF!&amp;X8, 工作表1!$C:$V,1,) &gt; 0,X8,"ERROR"))</f>
        <v>#REF!</v>
      </c>
      <c r="BI8" s="204" t="e">
        <f>IF(Y8=".",Y8,IF(VLOOKUP($AL8&amp;Y$1+#REF!&amp;Y8, 工作表1!$C:$V,1,) &gt; 0,Y8,"ERROR"))</f>
        <v>#REF!</v>
      </c>
      <c r="BJ8" s="204" t="e">
        <f>IF(Z8=".",Z8,IF(VLOOKUP($AL8&amp;Z$1+#REF!&amp;Z8, 工作表1!$C:$V,1,) &gt; 0,Z8,"ERROR"))</f>
        <v>#REF!</v>
      </c>
      <c r="BK8" s="204" t="e">
        <f>IF(AA8=".",AA8,IF(VLOOKUP($AL8&amp;AA$1+#REF!&amp;AA8, 工作表1!$C:$V,1,) &gt; 0,AA8,"ERROR"))</f>
        <v>#REF!</v>
      </c>
      <c r="BL8" s="204" t="e">
        <f>IF(AB8=".",AB8,IF(VLOOKUP($AL8&amp;AB$1+#REF!&amp;AB8, 工作表1!$C:$V,1,) &gt; 0,AB8,"ERROR"))</f>
        <v>#REF!</v>
      </c>
      <c r="BM8" s="204" t="e">
        <f>IF(AC8=".",AC8,IF(VLOOKUP($AL8&amp;AC$1+#REF!&amp;AC8, 工作表1!$C:$V,1,) &gt; 0,AC8,"ERROR"))</f>
        <v>#REF!</v>
      </c>
      <c r="BN8" s="204" t="e">
        <f>IF(AD8=".",AD8,IF(VLOOKUP($AL8&amp;AD$1+#REF!&amp;AD8, 工作表1!$C:$V,1,) &gt; 0,AD8,"ERROR"))</f>
        <v>#REF!</v>
      </c>
      <c r="BO8" s="204" t="e">
        <f>IF(AE8=".",AE8,IF(VLOOKUP($AL8&amp;AE$1+#REF!&amp;AE8, 工作表1!$C:$V,1,) &gt; 0,AE8,"ERROR"))</f>
        <v>#REF!</v>
      </c>
      <c r="BP8" s="204" t="e">
        <f>IF(AF8=".",AF8,IF(VLOOKUP($AL8&amp;AF$1+#REF!&amp;AF8, 工作表1!$C:$V,1,) &gt; 0,AF8,"ERROR"))</f>
        <v>#REF!</v>
      </c>
      <c r="BQ8" s="204" t="e">
        <f>IF(AG8=".",AG8,IF(VLOOKUP($AL8&amp;AG$1+#REF!&amp;AG8, 工作表1!$C:$V,1,) &gt; 0,AG8,"ERROR"))</f>
        <v>#REF!</v>
      </c>
      <c r="BR8" s="204" t="e">
        <f>IF(#REF!=".",#REF!,IF(VLOOKUP($AL8&amp;#REF!+#REF!&amp;#REF!, 工作表1!$C:$V,1,) &gt; 0,#REF!,"ERROR"))</f>
        <v>#REF!</v>
      </c>
      <c r="BS8" s="204" t="e">
        <f>IF(#REF!=".",#REF!,IF(VLOOKUP($AL8&amp;#REF!+#REF!&amp;#REF!, 工作表1!$C:$V,1,) &gt; 0,#REF!,"ERROR"))</f>
        <v>#REF!</v>
      </c>
    </row>
    <row r="9" spans="1:71">
      <c r="A9" t="str" cm="1">
        <f t="array" ref="A9">_xlfn.LET(
    _xlpm.data, C9:AG9,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Shirley</v>
      </c>
      <c r="B9" s="192" t="str">
        <v>Festival Walk Fortress</v>
      </c>
      <c r="C9" s="202" t="str" cm="1">
        <f t="array" ref="C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=$B9), ""),
   IF(_xlpm.filtered="", "", _xlpm.filtered)
)</f>
        <v/>
      </c>
      <c r="D9" s="202" t="str" cm="1">
        <f t="array" ref="D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=$B9), ""),
   IF(_xlpm.filtered="", "", _xlpm.filtered)
)</f>
        <v/>
      </c>
      <c r="E9" s="202" t="str" cm="1">
        <f t="array" ref="E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=$B9), ""),
   IF(_xlpm.filtered="", "", _xlpm.filtered)
)</f>
        <v/>
      </c>
      <c r="F9" s="202" t="str" cm="1">
        <f t="array" ref="F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=$B9), ""),
   IF(_xlpm.filtered="", "", _xlpm.filtered)
)</f>
        <v/>
      </c>
      <c r="G9" s="202" t="str" cm="1">
        <f t="array" ref="G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=$B9), ""),
   IF(_xlpm.filtered="", "", _xlpm.filtered)
)</f>
        <v>Shirley</v>
      </c>
      <c r="H9" s="202" t="str" cm="1">
        <f t="array" ref="H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=$B9), ""),
   IF(_xlpm.filtered="", "", _xlpm.filtered)
)</f>
        <v>Shirley</v>
      </c>
      <c r="I9" s="202" t="str" cm="1">
        <f t="array" ref="I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=$B9), ""),
   IF(_xlpm.filtered="", "", _xlpm.filtered)
)</f>
        <v>Shirley</v>
      </c>
      <c r="J9" s="202" t="str" cm="1">
        <f t="array" ref="J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=$B9), ""),
   IF(_xlpm.filtered="", "", _xlpm.filtered)
)</f>
        <v/>
      </c>
      <c r="K9" s="202" t="str" cm="1">
        <f t="array" ref="K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=$B9), ""),
   IF(_xlpm.filtered="", "", _xlpm.filtered)
)</f>
        <v/>
      </c>
      <c r="L9" s="202" t="str" cm="1">
        <f t="array" ref="L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=$B9), ""),
   IF(_xlpm.filtered="", "", _xlpm.filtered)
)</f>
        <v/>
      </c>
      <c r="M9" s="202" t="str" cm="1">
        <f t="array" ref="M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=$B9), ""),
   IF(_xlpm.filtered="", "", _xlpm.filtered)
)</f>
        <v/>
      </c>
      <c r="N9" s="202" t="str" cm="1">
        <f t="array" ref="N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=$B9), ""),
   IF(_xlpm.filtered="", "", _xlpm.filtered)
)</f>
        <v/>
      </c>
      <c r="O9" s="202" t="str" cm="1">
        <f t="array" ref="O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=$B9), ""),
   IF(_xlpm.filtered="", "", _xlpm.filtered)
)</f>
        <v/>
      </c>
      <c r="P9" s="202" t="str" cm="1">
        <f t="array" ref="P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=$B9), ""),
   IF(_xlpm.filtered="", "", _xlpm.filtered)
)</f>
        <v/>
      </c>
      <c r="Q9" s="202" t="str" cm="1">
        <f t="array" ref="Q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=$B9), ""),
   IF(_xlpm.filtered="", "", _xlpm.filtered)
)</f>
        <v/>
      </c>
      <c r="R9" s="202" t="str" cm="1">
        <f t="array" ref="R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=$B9), ""),
   IF(_xlpm.filtered="", "", _xlpm.filtered)
)</f>
        <v/>
      </c>
      <c r="S9" s="202" t="str" cm="1">
        <f t="array" ref="S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=$B9), ""),
   IF(_xlpm.filtered="", "", _xlpm.filtered)
)</f>
        <v/>
      </c>
      <c r="T9" s="202" t="str" cm="1">
        <f t="array" ref="T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=$B9), ""),
   IF(_xlpm.filtered="", "", _xlpm.filtered)
)</f>
        <v/>
      </c>
      <c r="U9" s="202" t="str" cm="1">
        <f t="array" ref="U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=$B9), ""),
   IF(_xlpm.filtered="", "", _xlpm.filtered)
)</f>
        <v/>
      </c>
      <c r="V9" s="202" t="str" cm="1">
        <f t="array" ref="V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=$B9), ""),
   IF(_xlpm.filtered="", "", _xlpm.filtered)
)</f>
        <v/>
      </c>
      <c r="W9" s="202" t="str" cm="1">
        <f t="array" ref="W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=$B9), ""),
   IF(_xlpm.filtered="", "", _xlpm.filtered)
)</f>
        <v/>
      </c>
      <c r="X9" s="202" t="str" cm="1">
        <f t="array" ref="X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=$B9), ""),
   IF(_xlpm.filtered="", "", _xlpm.filtered)
)</f>
        <v/>
      </c>
      <c r="Y9" s="202" t="str" cm="1">
        <f t="array" ref="Y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=$B9), ""),
   IF(_xlpm.filtered="", "", _xlpm.filtered)
)</f>
        <v/>
      </c>
      <c r="Z9" s="202" t="str" cm="1">
        <f t="array" ref="Z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=$B9), ""),
   IF(_xlpm.filtered="", "", _xlpm.filtered)
)</f>
        <v/>
      </c>
      <c r="AA9" s="202" t="str" cm="1">
        <f t="array" ref="AA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=$B9), ""),
   IF(_xlpm.filtered="", "", _xlpm.filtered)
)</f>
        <v/>
      </c>
      <c r="AB9" s="202" t="str" cm="1">
        <f t="array" ref="AB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=$B9), ""),
   IF(_xlpm.filtered="", "", _xlpm.filtered)
)</f>
        <v/>
      </c>
      <c r="AC9" s="202" t="str" cm="1">
        <f t="array" ref="AC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=$B9), ""),
   IF(_xlpm.filtered="", "", _xlpm.filtered)
)</f>
        <v/>
      </c>
      <c r="AD9" s="202" t="str" cm="1">
        <f t="array" ref="AD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=$B9), ""),
   IF(_xlpm.filtered="", "", _xlpm.filtered)
)</f>
        <v/>
      </c>
      <c r="AE9" s="202" t="str" cm="1">
        <f t="array" ref="AE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=$B9), ""),
   IF(_xlpm.filtered="", "", _xlpm.filtered)
)</f>
        <v/>
      </c>
      <c r="AF9" s="202" t="str" cm="1">
        <f t="array" ref="AF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=$B9), ""),
   IF(_xlpm.filtered="", "", _xlpm.filtered)
)</f>
        <v/>
      </c>
      <c r="AG9" s="202" t="str" cm="1">
        <f t="array" ref="AG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=$B9), ""),
   IF(_xlpm.filtered="", "", _xlpm.filtered)
)</f>
        <v/>
      </c>
      <c r="AH9" s="203">
        <f t="shared" ref="AH9:AH31" si="33">COUNTIF(C9:AG9,"?*")</f>
        <v>3</v>
      </c>
      <c r="AI9" s="203">
        <f t="shared" ref="AI9:AI20" si="34">AH9*8</f>
        <v>24</v>
      </c>
      <c r="AJ9" s="193"/>
      <c r="AL9" s="197" t="str">
        <f t="shared" ref="AL9:AL20" si="35">B9</f>
        <v>Festival Walk Fortress</v>
      </c>
      <c r="AM9" s="204" t="e">
        <f>IF(C9=".",C9,IF(VLOOKUP($AL9&amp;C$1+C4&amp;C9, 工作表1!$C:$V,1,) &gt; 0,C9,"ERROR"))</f>
        <v>#N/A</v>
      </c>
      <c r="AN9" s="204" t="e">
        <f>IF(D9=".",D9,IF(VLOOKUP($AL9&amp;D$1+D4&amp;D9, 工作表1!$C:$V,1,) &gt; 0,D9,"ERROR"))</f>
        <v>#N/A</v>
      </c>
      <c r="AO9" s="204" t="e">
        <f>IF(E9=".",E9,IF(VLOOKUP($AL9&amp;E$1+E4&amp;E9, 工作表1!$C:$V,1,) &gt; 0,E9,"ERROR"))</f>
        <v>#N/A</v>
      </c>
      <c r="AP9" s="204" t="e">
        <f>IF(F9=".",F9,IF(VLOOKUP($AL9&amp;F$1+F4&amp;F9, 工作表1!$C:$V,1,) &gt; 0,F9,"ERROR"))</f>
        <v>#N/A</v>
      </c>
      <c r="AQ9" s="204" t="e">
        <f>IF(G9=".",G9,IF(VLOOKUP($AL9&amp;G$1+G4&amp;G9, 工作表1!$C:$V,1,) &gt; 0,G9,"ERROR"))</f>
        <v>#N/A</v>
      </c>
      <c r="AR9" s="204" t="e">
        <f>IF(H9=".",H9,IF(VLOOKUP($AL9&amp;H$1+H4&amp;H9, 工作表1!$C:$V,1,) &gt; 0,H9,"ERROR"))</f>
        <v>#N/A</v>
      </c>
      <c r="AS9" s="204" t="e">
        <f>IF(I9=".",I9,IF(VLOOKUP($AL9&amp;I$1+I4&amp;I9, 工作表1!$C:$V,1,) &gt; 0,I9,"ERROR"))</f>
        <v>#N/A</v>
      </c>
      <c r="AT9" s="204" t="e">
        <f>IF(J9=".",J9,IF(VLOOKUP($AL9&amp;J$1+J4&amp;J9, 工作表1!$C:$V,1,) &gt; 0,J9,"ERROR"))</f>
        <v>#N/A</v>
      </c>
      <c r="AU9" s="204" t="e">
        <f>IF(K9=".",K9,IF(VLOOKUP($AL9&amp;K$1+K4&amp;K9, 工作表1!$C:$V,1,) &gt; 0,K9,"ERROR"))</f>
        <v>#N/A</v>
      </c>
      <c r="AV9" s="204" t="e">
        <f>IF(L9=".",L9,IF(VLOOKUP($AL9&amp;L$1+L4&amp;L9, 工作表1!$C:$V,1,) &gt; 0,L9,"ERROR"))</f>
        <v>#N/A</v>
      </c>
      <c r="AW9" s="204" t="e">
        <f>IF(M9=".",M9,IF(VLOOKUP($AL9&amp;M$1+M4&amp;M9, 工作表1!$C:$V,1,) &gt; 0,M9,"ERROR"))</f>
        <v>#N/A</v>
      </c>
      <c r="AX9" s="204" t="e">
        <f>IF(N9=".",N9,IF(VLOOKUP($AL9&amp;N$1+N4&amp;N9, 工作表1!$C:$V,1,) &gt; 0,N9,"ERROR"))</f>
        <v>#N/A</v>
      </c>
      <c r="AY9" s="204" t="e">
        <f>IF(O9=".",O9,IF(VLOOKUP($AL9&amp;O$1+O4&amp;O9, 工作表1!$C:$V,1,) &gt; 0,O9,"ERROR"))</f>
        <v>#N/A</v>
      </c>
      <c r="AZ9" s="204" t="e">
        <f>IF(P9=".",P9,IF(VLOOKUP($AL9&amp;P$1+P4&amp;P9, 工作表1!$C:$V,1,) &gt; 0,P9,"ERROR"))</f>
        <v>#N/A</v>
      </c>
      <c r="BA9" s="204" t="e">
        <f>IF(Q9=".",Q9,IF(VLOOKUP($AL9&amp;Q$1+Q4&amp;Q9, 工作表1!$C:$V,1,) &gt; 0,Q9,"ERROR"))</f>
        <v>#N/A</v>
      </c>
      <c r="BB9" s="204" t="e">
        <f>IF(R9=".",R9,IF(VLOOKUP($AL9&amp;R$1+R4&amp;R9, 工作表1!$C:$V,1,) &gt; 0,R9,"ERROR"))</f>
        <v>#N/A</v>
      </c>
      <c r="BC9" s="204" t="e">
        <f>IF(S9=".",S9,IF(VLOOKUP($AL9&amp;S$1+S4&amp;S9, 工作表1!$C:$V,1,) &gt; 0,S9,"ERROR"))</f>
        <v>#N/A</v>
      </c>
      <c r="BD9" s="204" t="e">
        <f>IF(T9=".",T9,IF(VLOOKUP($AL9&amp;T$1+T4&amp;T9, 工作表1!$C:$V,1,) &gt; 0,T9,"ERROR"))</f>
        <v>#N/A</v>
      </c>
      <c r="BE9" s="204" t="e">
        <f>IF(U9=".",U9,IF(VLOOKUP($AL9&amp;U$1+U4&amp;U9, 工作表1!$C:$V,1,) &gt; 0,U9,"ERROR"))</f>
        <v>#N/A</v>
      </c>
      <c r="BF9" s="204" t="e">
        <f>IF(V9=".",V9,IF(VLOOKUP($AL9&amp;V$1+V4&amp;V9, 工作表1!$C:$V,1,) &gt; 0,V9,"ERROR"))</f>
        <v>#N/A</v>
      </c>
      <c r="BG9" s="204" t="e">
        <f>IF(W9=".",W9,IF(VLOOKUP($AL9&amp;W$1+W4&amp;W9, 工作表1!$C:$V,1,) &gt; 0,W9,"ERROR"))</f>
        <v>#N/A</v>
      </c>
      <c r="BH9" s="204" t="e">
        <f>IF(X9=".",X9,IF(VLOOKUP($AL9&amp;X$1+X4&amp;X9, 工作表1!$C:$V,1,) &gt; 0,X9,"ERROR"))</f>
        <v>#N/A</v>
      </c>
      <c r="BI9" s="204" t="e">
        <f>IF(Y9=".",Y9,IF(VLOOKUP($AL9&amp;Y$1+Y4&amp;Y9, 工作表1!$C:$V,1,) &gt; 0,Y9,"ERROR"))</f>
        <v>#N/A</v>
      </c>
      <c r="BJ9" s="204" t="e">
        <f>IF(Z9=".",Z9,IF(VLOOKUP($AL9&amp;Z$1+Z4&amp;Z9, 工作表1!$C:$V,1,) &gt; 0,Z9,"ERROR"))</f>
        <v>#N/A</v>
      </c>
      <c r="BK9" s="204" t="e">
        <f>IF(AA9=".",AA9,IF(VLOOKUP($AL9&amp;AA$1+AA4&amp;AA9, 工作表1!$C:$V,1,) &gt; 0,AA9,"ERROR"))</f>
        <v>#N/A</v>
      </c>
      <c r="BL9" s="204" t="e">
        <f>IF(AB9=".",AB9,IF(VLOOKUP($AL9&amp;AB$1+AB4&amp;AB9, 工作表1!$C:$V,1,) &gt; 0,AB9,"ERROR"))</f>
        <v>#N/A</v>
      </c>
      <c r="BM9" s="204" t="e">
        <f>IF(AC9=".",AC9,IF(VLOOKUP($AL9&amp;AC$1+AC4&amp;AC9, 工作表1!$C:$V,1,) &gt; 0,AC9,"ERROR"))</f>
        <v>#N/A</v>
      </c>
      <c r="BN9" s="204" t="e">
        <f>IF(AD9=".",AD9,IF(VLOOKUP($AL9&amp;AD$1+AD4&amp;AD9, 工作表1!$C:$V,1,) &gt; 0,AD9,"ERROR"))</f>
        <v>#N/A</v>
      </c>
      <c r="BO9" s="204" t="e">
        <f>IF(AE9=".",AE9,IF(VLOOKUP($AL9&amp;AE$1+AE4&amp;AE9, 工作表1!$C:$V,1,) &gt; 0,AE9,"ERROR"))</f>
        <v>#N/A</v>
      </c>
      <c r="BP9" s="204" t="e">
        <f>IF(AF9=".",AF9,IF(VLOOKUP($AL9&amp;AF$1+AF4&amp;AF9, 工作表1!$C:$V,1,) &gt; 0,AF9,"ERROR"))</f>
        <v>#N/A</v>
      </c>
      <c r="BQ9" s="204" t="e">
        <f>IF(AG9=".",AG9,IF(VLOOKUP($AL9&amp;AG$1+AG4&amp;AG9, 工作表1!$C:$V,1,) &gt; 0,AG9,"ERROR"))</f>
        <v>#N/A</v>
      </c>
      <c r="BR9" s="204" t="e">
        <f>IF(#REF!=".",#REF!,IF(VLOOKUP($AL9&amp;#REF!+#REF!&amp;#REF!, 工作表1!$C:$V,1,) &gt; 0,#REF!,"ERROR"))</f>
        <v>#REF!</v>
      </c>
      <c r="BS9" s="204" t="e">
        <f>IF(#REF!=".",#REF!,IF(VLOOKUP($AL9&amp;#REF!+#REF!&amp;#REF!, 工作表1!$C:$V,1,) &gt; 0,#REF!,"ERROR"))</f>
        <v>#REF!</v>
      </c>
    </row>
    <row r="10" spans="1:71">
      <c r="A10" t="str" cm="1">
        <f t="array" ref="A10">_xlfn.LET(
    _xlpm.data, C10:AG10,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Jenny P</v>
      </c>
      <c r="B10" s="192" t="str">
        <v>In - Home Expo</v>
      </c>
      <c r="C10" s="202" t="str" cm="1">
        <f t="array" ref="C1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=$B10), ""),
   IF(_xlpm.filtered="", "", _xlpm.filtered)
)</f>
        <v/>
      </c>
      <c r="D10" s="202" t="str" cm="1">
        <f t="array" ref="D1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=$B10), ""),
   IF(_xlpm.filtered="", "", _xlpm.filtered)
)</f>
        <v/>
      </c>
      <c r="E10" s="202" t="str" cm="1">
        <f t="array" ref="E1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=$B10), ""),
   IF(_xlpm.filtered="", "", _xlpm.filtered)
)</f>
        <v/>
      </c>
      <c r="F10" s="202" t="str" cm="1">
        <f t="array" ref="F1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=$B10), ""),
   IF(_xlpm.filtered="", "", _xlpm.filtered)
)</f>
        <v/>
      </c>
      <c r="G10" s="202" t="str" cm="1">
        <f t="array" ref="G1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=$B10), ""),
   IF(_xlpm.filtered="", "", _xlpm.filtered)
)</f>
        <v/>
      </c>
      <c r="H10" s="202" t="str" cm="1">
        <f t="array" ref="H1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=$B10), ""),
   IF(_xlpm.filtered="", "", _xlpm.filtered)
)</f>
        <v/>
      </c>
      <c r="I10" s="202" t="str" cm="1">
        <f t="array" ref="I1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=$B10), ""),
   IF(_xlpm.filtered="", "", _xlpm.filtered)
)</f>
        <v/>
      </c>
      <c r="J10" s="202" t="str" cm="1">
        <f t="array" ref="J1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=$B10), ""),
   IF(_xlpm.filtered="", "", _xlpm.filtered)
)</f>
        <v/>
      </c>
      <c r="K10" s="202" t="str" cm="1">
        <f t="array" ref="K1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=$B10), ""),
   IF(_xlpm.filtered="", "", _xlpm.filtered)
)</f>
        <v/>
      </c>
      <c r="L10" s="202" t="str" cm="1">
        <f t="array" ref="L1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=$B10), ""),
   IF(_xlpm.filtered="", "", _xlpm.filtered)
)</f>
        <v/>
      </c>
      <c r="M10" s="202" t="str" cm="1">
        <f t="array" ref="M1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=$B10), ""),
   IF(_xlpm.filtered="", "", _xlpm.filtered)
)</f>
        <v/>
      </c>
      <c r="N10" s="202" t="str" cm="1">
        <f t="array" ref="N1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=$B10), ""),
   IF(_xlpm.filtered="", "", _xlpm.filtered)
)</f>
        <v/>
      </c>
      <c r="O10" s="202" t="str" cm="1">
        <f t="array" ref="O1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=$B10), ""),
   IF(_xlpm.filtered="", "", _xlpm.filtered)
)</f>
        <v/>
      </c>
      <c r="P10" s="202" t="str" cm="1">
        <f t="array" ref="P1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=$B10), ""),
   IF(_xlpm.filtered="", "", _xlpm.filtered)
)</f>
        <v/>
      </c>
      <c r="Q10" s="202" t="str" cm="1">
        <f t="array" ref="Q1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=$B10), ""),
   IF(_xlpm.filtered="", "", _xlpm.filtered)
)</f>
        <v/>
      </c>
      <c r="R10" s="202" t="str" cm="1">
        <f t="array" ref="R1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=$B10), ""),
   IF(_xlpm.filtered="", "", _xlpm.filtered)
)</f>
        <v/>
      </c>
      <c r="S10" s="202" t="str" cm="1">
        <f t="array" ref="S1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=$B10), ""),
   IF(_xlpm.filtered="", "", _xlpm.filtered)
)</f>
        <v/>
      </c>
      <c r="T10" s="202" t="str" cm="1">
        <f t="array" ref="T1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=$B10), ""),
   IF(_xlpm.filtered="", "", _xlpm.filtered)
)</f>
        <v/>
      </c>
      <c r="U10" s="202" t="str" cm="1">
        <f t="array" ref="U1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=$B10), ""),
   IF(_xlpm.filtered="", "", _xlpm.filtered)
)</f>
        <v/>
      </c>
      <c r="V10" s="202" t="str" cm="1">
        <f t="array" ref="V1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=$B10), ""),
   IF(_xlpm.filtered="", "", _xlpm.filtered)
)</f>
        <v/>
      </c>
      <c r="W10" s="202" t="str" cm="1">
        <f t="array" ref="W1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=$B10), ""),
   IF(_xlpm.filtered="", "", _xlpm.filtered)
)</f>
        <v/>
      </c>
      <c r="X10" s="202" t="str" cm="1">
        <f t="array" ref="X1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=$B10), ""),
   IF(_xlpm.filtered="", "", _xlpm.filtered)
)</f>
        <v/>
      </c>
      <c r="Y10" s="202" t="str" cm="1">
        <f t="array" ref="Y1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=$B10), ""),
   IF(_xlpm.filtered="", "", _xlpm.filtered)
)</f>
        <v/>
      </c>
      <c r="Z10" s="202" t="str" cm="1">
        <f t="array" ref="Z1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=$B10), ""),
   IF(_xlpm.filtered="", "", _xlpm.filtered)
)</f>
        <v/>
      </c>
      <c r="AA10" s="202" t="str" cm="1">
        <f t="array" ref="AA1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=$B10), ""),
   IF(_xlpm.filtered="", "", _xlpm.filtered)
)</f>
        <v>Jenny P</v>
      </c>
      <c r="AB10" s="202" t="str" cm="1">
        <f t="array" ref="AB1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=$B10), ""),
   IF(_xlpm.filtered="", "", _xlpm.filtered)
)</f>
        <v>Jenny P</v>
      </c>
      <c r="AC10" s="202" t="str" cm="1">
        <f t="array" ref="AC1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=$B10), ""),
   IF(_xlpm.filtered="", "", _xlpm.filtered)
)</f>
        <v>Jenny P</v>
      </c>
      <c r="AD10" s="202" t="str" cm="1">
        <f t="array" ref="AD1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=$B10), ""),
   IF(_xlpm.filtered="", "", _xlpm.filtered)
)</f>
        <v>Jenny P</v>
      </c>
      <c r="AE10" s="202" t="str" cm="1">
        <f t="array" ref="AE1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=$B10), ""),
   IF(_xlpm.filtered="", "", _xlpm.filtered)
)</f>
        <v/>
      </c>
      <c r="AF10" s="202" t="str" cm="1">
        <f t="array" ref="AF1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=$B10), ""),
   IF(_xlpm.filtered="", "", _xlpm.filtered)
)</f>
        <v/>
      </c>
      <c r="AG10" s="202" t="str" cm="1">
        <f t="array" ref="AG1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=$B10), ""),
   IF(_xlpm.filtered="", "", _xlpm.filtered)
)</f>
        <v/>
      </c>
      <c r="AH10" s="203">
        <f t="shared" si="33"/>
        <v>4</v>
      </c>
      <c r="AI10" s="203">
        <f t="shared" si="34"/>
        <v>32</v>
      </c>
      <c r="AJ10" s="193"/>
      <c r="AL10" s="197" t="str">
        <f t="shared" si="35"/>
        <v>In - Home Expo</v>
      </c>
      <c r="AM10" s="204" t="e">
        <f>IF(C10=".",C10,IF(VLOOKUP($AL10&amp;C$1+C5&amp;C10, 工作表1!$C:$V,1,) &gt; 0,C10,"ERROR"))</f>
        <v>#N/A</v>
      </c>
      <c r="AN10" s="204" t="e">
        <f>IF(D10=".",D10,IF(VLOOKUP($AL10&amp;D$1+D5&amp;D10, 工作表1!$C:$V,1,) &gt; 0,D10,"ERROR"))</f>
        <v>#N/A</v>
      </c>
      <c r="AO10" s="204" t="e">
        <f>IF(E10=".",E10,IF(VLOOKUP($AL10&amp;E$1+E5&amp;E10, 工作表1!$C:$V,1,) &gt; 0,E10,"ERROR"))</f>
        <v>#N/A</v>
      </c>
      <c r="AP10" s="204" t="e">
        <f>IF(F10=".",F10,IF(VLOOKUP($AL10&amp;F$1+F5&amp;F10, 工作表1!$C:$V,1,) &gt; 0,F10,"ERROR"))</f>
        <v>#N/A</v>
      </c>
      <c r="AQ10" s="204" t="e">
        <f>IF(G10=".",G10,IF(VLOOKUP($AL10&amp;G$1+G5&amp;G10, 工作表1!$C:$V,1,) &gt; 0,G10,"ERROR"))</f>
        <v>#N/A</v>
      </c>
      <c r="AR10" s="204" t="e">
        <f>IF(H10=".",H10,IF(VLOOKUP($AL10&amp;H$1+H5&amp;H10, 工作表1!$C:$V,1,) &gt; 0,H10,"ERROR"))</f>
        <v>#N/A</v>
      </c>
      <c r="AS10" s="204" t="e">
        <f>IF(I10=".",I10,IF(VLOOKUP($AL10&amp;I$1+I5&amp;I10, 工作表1!$C:$V,1,) &gt; 0,I10,"ERROR"))</f>
        <v>#N/A</v>
      </c>
      <c r="AT10" s="204" t="e">
        <f>IF(J10=".",J10,IF(VLOOKUP($AL10&amp;J$1+J5&amp;J10, 工作表1!$C:$V,1,) &gt; 0,J10,"ERROR"))</f>
        <v>#N/A</v>
      </c>
      <c r="AU10" s="204" t="e">
        <f>IF(K10=".",K10,IF(VLOOKUP($AL10&amp;K$1+K5&amp;K10, 工作表1!$C:$V,1,) &gt; 0,K10,"ERROR"))</f>
        <v>#N/A</v>
      </c>
      <c r="AV10" s="204" t="e">
        <f>IF(L10=".",L10,IF(VLOOKUP($AL10&amp;L$1+L5&amp;L10, 工作表1!$C:$V,1,) &gt; 0,L10,"ERROR"))</f>
        <v>#N/A</v>
      </c>
      <c r="AW10" s="204" t="e">
        <f>IF(M10=".",M10,IF(VLOOKUP($AL10&amp;M$1+M5&amp;M10, 工作表1!$C:$V,1,) &gt; 0,M10,"ERROR"))</f>
        <v>#N/A</v>
      </c>
      <c r="AX10" s="204" t="e">
        <f>IF(N10=".",N10,IF(VLOOKUP($AL10&amp;N$1+N5&amp;N10, 工作表1!$C:$V,1,) &gt; 0,N10,"ERROR"))</f>
        <v>#N/A</v>
      </c>
      <c r="AY10" s="204" t="e">
        <f>IF(O10=".",O10,IF(VLOOKUP($AL10&amp;O$1+O5&amp;O10, 工作表1!$C:$V,1,) &gt; 0,O10,"ERROR"))</f>
        <v>#N/A</v>
      </c>
      <c r="AZ10" s="204" t="e">
        <f>IF(P10=".",P10,IF(VLOOKUP($AL10&amp;P$1+P5&amp;P10, 工作表1!$C:$V,1,) &gt; 0,P10,"ERROR"))</f>
        <v>#N/A</v>
      </c>
      <c r="BA10" s="204" t="e">
        <f>IF(Q10=".",Q10,IF(VLOOKUP($AL10&amp;Q$1+Q5&amp;Q10, 工作表1!$C:$V,1,) &gt; 0,Q10,"ERROR"))</f>
        <v>#N/A</v>
      </c>
      <c r="BB10" s="204" t="e">
        <f>IF(R10=".",R10,IF(VLOOKUP($AL10&amp;R$1+R5&amp;R10, 工作表1!$C:$V,1,) &gt; 0,R10,"ERROR"))</f>
        <v>#N/A</v>
      </c>
      <c r="BC10" s="204" t="e">
        <f>IF(S10=".",S10,IF(VLOOKUP($AL10&amp;S$1+S5&amp;S10, 工作表1!$C:$V,1,) &gt; 0,S10,"ERROR"))</f>
        <v>#N/A</v>
      </c>
      <c r="BD10" s="204" t="e">
        <f>IF(T10=".",T10,IF(VLOOKUP($AL10&amp;T$1+T5&amp;T10, 工作表1!$C:$V,1,) &gt; 0,T10,"ERROR"))</f>
        <v>#N/A</v>
      </c>
      <c r="BE10" s="204" t="e">
        <f>IF(U10=".",U10,IF(VLOOKUP($AL10&amp;U$1+U5&amp;U10, 工作表1!$C:$V,1,) &gt; 0,U10,"ERROR"))</f>
        <v>#N/A</v>
      </c>
      <c r="BF10" s="204" t="e">
        <f>IF(V10=".",V10,IF(VLOOKUP($AL10&amp;V$1+V5&amp;V10, 工作表1!$C:$V,1,) &gt; 0,V10,"ERROR"))</f>
        <v>#N/A</v>
      </c>
      <c r="BG10" s="204" t="e">
        <f>IF(W10=".",W10,IF(VLOOKUP($AL10&amp;W$1+W5&amp;W10, 工作表1!$C:$V,1,) &gt; 0,W10,"ERROR"))</f>
        <v>#N/A</v>
      </c>
      <c r="BH10" s="204" t="e">
        <f>IF(X10=".",X10,IF(VLOOKUP($AL10&amp;X$1+X5&amp;X10, 工作表1!$C:$V,1,) &gt; 0,X10,"ERROR"))</f>
        <v>#N/A</v>
      </c>
      <c r="BI10" s="204" t="e">
        <f>IF(Y10=".",Y10,IF(VLOOKUP($AL10&amp;Y$1+Y5&amp;Y10, 工作表1!$C:$V,1,) &gt; 0,Y10,"ERROR"))</f>
        <v>#N/A</v>
      </c>
      <c r="BJ10" s="204" t="e">
        <f>IF(Z10=".",Z10,IF(VLOOKUP($AL10&amp;Z$1+Z5&amp;Z10, 工作表1!$C:$V,1,) &gt; 0,Z10,"ERROR"))</f>
        <v>#N/A</v>
      </c>
      <c r="BK10" s="204" t="e">
        <f>IF(AA10=".",AA10,IF(VLOOKUP($AL10&amp;AA$1+AA5&amp;AA10, 工作表1!$C:$V,1,) &gt; 0,AA10,"ERROR"))</f>
        <v>#N/A</v>
      </c>
      <c r="BL10" s="204" t="e">
        <f>IF(AB10=".",AB10,IF(VLOOKUP($AL10&amp;AB$1+AB5&amp;AB10, 工作表1!$C:$V,1,) &gt; 0,AB10,"ERROR"))</f>
        <v>#N/A</v>
      </c>
      <c r="BM10" s="204" t="e">
        <f>IF(AC10=".",AC10,IF(VLOOKUP($AL10&amp;AC$1+AC5&amp;AC10, 工作表1!$C:$V,1,) &gt; 0,AC10,"ERROR"))</f>
        <v>#N/A</v>
      </c>
      <c r="BN10" s="204" t="e">
        <f>IF(AD10=".",AD10,IF(VLOOKUP($AL10&amp;AD$1+AD5&amp;AD10, 工作表1!$C:$V,1,) &gt; 0,AD10,"ERROR"))</f>
        <v>#N/A</v>
      </c>
      <c r="BO10" s="204" t="e">
        <f>IF(AE10=".",AE10,IF(VLOOKUP($AL10&amp;AE$1+AE5&amp;AE10, 工作表1!$C:$V,1,) &gt; 0,AE10,"ERROR"))</f>
        <v>#N/A</v>
      </c>
      <c r="BP10" s="204" t="e">
        <f>IF(AF10=".",AF10,IF(VLOOKUP($AL10&amp;AF$1+AF5&amp;AF10, 工作表1!$C:$V,1,) &gt; 0,AF10,"ERROR"))</f>
        <v>#N/A</v>
      </c>
      <c r="BQ10" s="204" t="e">
        <f>IF(AG10=".",AG10,IF(VLOOKUP($AL10&amp;AG$1+AG5&amp;AG10, 工作表1!$C:$V,1,) &gt; 0,AG10,"ERROR"))</f>
        <v>#N/A</v>
      </c>
      <c r="BR10" s="204" t="e">
        <f>IF(#REF!=".",#REF!,IF(VLOOKUP($AL10&amp;#REF!+#REF!&amp;#REF!, 工作表1!$C:$V,1,) &gt; 0,#REF!,"ERROR"))</f>
        <v>#REF!</v>
      </c>
      <c r="BS10" s="204" t="e">
        <f>IF(#REF!=".",#REF!,IF(VLOOKUP($AL10&amp;#REF!+#REF!&amp;#REF!, 工作表1!$C:$V,1,) &gt; 0,#REF!,"ERROR"))</f>
        <v>#REF!</v>
      </c>
    </row>
    <row r="11" spans="1:71" ht="30">
      <c r="A11" t="str" cm="1">
        <f t="array" ref="A11">_xlfn.LET(
    _xlpm.data, C11:AG11,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Margaret</v>
      </c>
      <c r="B11" s="194" t="str">
        <v>In - Home Expo 2</v>
      </c>
      <c r="C11" s="202" t="str" cm="1">
        <f t="array" ref="C1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=$B11), ""),
   IF(_xlpm.filtered="", "", _xlpm.filtered)
)</f>
        <v/>
      </c>
      <c r="D11" s="202" t="str" cm="1">
        <f t="array" ref="D1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=$B11), ""),
   IF(_xlpm.filtered="", "", _xlpm.filtered)
)</f>
        <v/>
      </c>
      <c r="E11" s="202" t="str" cm="1">
        <f t="array" ref="E1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=$B11), ""),
   IF(_xlpm.filtered="", "", _xlpm.filtered)
)</f>
        <v/>
      </c>
      <c r="F11" s="202" t="str" cm="1">
        <f t="array" ref="F1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=$B11), ""),
   IF(_xlpm.filtered="", "", _xlpm.filtered)
)</f>
        <v/>
      </c>
      <c r="G11" s="202" t="str" cm="1">
        <f t="array" ref="G1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=$B11), ""),
   IF(_xlpm.filtered="", "", _xlpm.filtered)
)</f>
        <v/>
      </c>
      <c r="H11" s="202" t="str" cm="1">
        <f t="array" ref="H1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=$B11), ""),
   IF(_xlpm.filtered="", "", _xlpm.filtered)
)</f>
        <v/>
      </c>
      <c r="I11" s="202" t="str" cm="1">
        <f t="array" ref="I1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=$B11), ""),
   IF(_xlpm.filtered="", "", _xlpm.filtered)
)</f>
        <v/>
      </c>
      <c r="J11" s="202" t="str" cm="1">
        <f t="array" ref="J1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=$B11), ""),
   IF(_xlpm.filtered="", "", _xlpm.filtered)
)</f>
        <v/>
      </c>
      <c r="K11" s="202" t="str" cm="1">
        <f t="array" ref="K1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=$B11), ""),
   IF(_xlpm.filtered="", "", _xlpm.filtered)
)</f>
        <v/>
      </c>
      <c r="L11" s="202" t="str" cm="1">
        <f t="array" ref="L1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=$B11), ""),
   IF(_xlpm.filtered="", "", _xlpm.filtered)
)</f>
        <v/>
      </c>
      <c r="M11" s="202" t="str" cm="1">
        <f t="array" ref="M1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=$B11), ""),
   IF(_xlpm.filtered="", "", _xlpm.filtered)
)</f>
        <v/>
      </c>
      <c r="N11" s="202" t="str" cm="1">
        <f t="array" ref="N1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=$B11), ""),
   IF(_xlpm.filtered="", "", _xlpm.filtered)
)</f>
        <v/>
      </c>
      <c r="O11" s="202" t="str" cm="1">
        <f t="array" ref="O1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=$B11), ""),
   IF(_xlpm.filtered="", "", _xlpm.filtered)
)</f>
        <v/>
      </c>
      <c r="P11" s="202" t="str" cm="1">
        <f t="array" ref="P1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=$B11), ""),
   IF(_xlpm.filtered="", "", _xlpm.filtered)
)</f>
        <v/>
      </c>
      <c r="Q11" s="202" t="str" cm="1">
        <f t="array" ref="Q1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=$B11), ""),
   IF(_xlpm.filtered="", "", _xlpm.filtered)
)</f>
        <v/>
      </c>
      <c r="R11" s="202" t="str" cm="1">
        <f t="array" ref="R1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=$B11), ""),
   IF(_xlpm.filtered="", "", _xlpm.filtered)
)</f>
        <v/>
      </c>
      <c r="S11" s="202" t="str" cm="1">
        <f t="array" ref="S1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=$B11), ""),
   IF(_xlpm.filtered="", "", _xlpm.filtered)
)</f>
        <v/>
      </c>
      <c r="T11" s="202" t="str" cm="1">
        <f t="array" ref="T1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=$B11), ""),
   IF(_xlpm.filtered="", "", _xlpm.filtered)
)</f>
        <v/>
      </c>
      <c r="U11" s="202" t="str" cm="1">
        <f t="array" ref="U1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=$B11), ""),
   IF(_xlpm.filtered="", "", _xlpm.filtered)
)</f>
        <v/>
      </c>
      <c r="V11" s="202" t="str" cm="1">
        <f t="array" ref="V1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=$B11), ""),
   IF(_xlpm.filtered="", "", _xlpm.filtered)
)</f>
        <v/>
      </c>
      <c r="W11" s="202" t="str" cm="1">
        <f t="array" ref="W1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=$B11), ""),
   IF(_xlpm.filtered="", "", _xlpm.filtered)
)</f>
        <v/>
      </c>
      <c r="X11" s="202" t="str" cm="1">
        <f t="array" ref="X1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=$B11), ""),
   IF(_xlpm.filtered="", "", _xlpm.filtered)
)</f>
        <v/>
      </c>
      <c r="Y11" s="202" t="str" cm="1">
        <f t="array" ref="Y1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=$B11), ""),
   IF(_xlpm.filtered="", "", _xlpm.filtered)
)</f>
        <v/>
      </c>
      <c r="Z11" s="202" t="str" cm="1">
        <f t="array" ref="Z1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=$B11), ""),
   IF(_xlpm.filtered="", "", _xlpm.filtered)
)</f>
        <v/>
      </c>
      <c r="AA11" s="202" t="str" cm="1">
        <f t="array" ref="AA1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=$B11), ""),
   IF(_xlpm.filtered="", "", _xlpm.filtered)
)</f>
        <v/>
      </c>
      <c r="AB11" s="202" t="str" cm="1">
        <f t="array" ref="AB1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=$B11), ""),
   IF(_xlpm.filtered="", "", _xlpm.filtered)
)</f>
        <v/>
      </c>
      <c r="AC11" s="202" t="str" cm="1">
        <f t="array" ref="AC1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=$B11), ""),
   IF(_xlpm.filtered="", "", _xlpm.filtered)
)</f>
        <v>Margaret</v>
      </c>
      <c r="AD11" s="202" t="str" cm="1">
        <f t="array" ref="AD1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=$B11), ""),
   IF(_xlpm.filtered="", "", _xlpm.filtered)
)</f>
        <v>Margaret</v>
      </c>
      <c r="AE11" s="202" t="str" cm="1">
        <f t="array" ref="AE1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=$B11), ""),
   IF(_xlpm.filtered="", "", _xlpm.filtered)
)</f>
        <v/>
      </c>
      <c r="AF11" s="202" t="str" cm="1">
        <f t="array" ref="AF1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=$B11), ""),
   IF(_xlpm.filtered="", "", _xlpm.filtered)
)</f>
        <v/>
      </c>
      <c r="AG11" s="202" t="str" cm="1">
        <f t="array" ref="AG1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=$B11), ""),
   IF(_xlpm.filtered="", "", _xlpm.filtered)
)</f>
        <v/>
      </c>
      <c r="AH11" s="203">
        <f t="shared" si="33"/>
        <v>2</v>
      </c>
      <c r="AI11" s="203">
        <f t="shared" si="34"/>
        <v>16</v>
      </c>
      <c r="AJ11" s="193"/>
      <c r="AL11" s="197" t="str">
        <f t="shared" si="35"/>
        <v>In - Home Expo 2</v>
      </c>
      <c r="AM11" s="204" t="e">
        <f>IF(C11=".",C11,IF(VLOOKUP($AL11&amp;C$1+C6&amp;C11, 工作表1!$C:$V,1,) &gt; 0,C11,"ERROR"))</f>
        <v>#VALUE!</v>
      </c>
      <c r="AN11" s="204" t="e">
        <f>IF(D11=".",D11,IF(VLOOKUP($AL11&amp;D$1+D6&amp;D11, 工作表1!$C:$V,1,) &gt; 0,D11,"ERROR"))</f>
        <v>#VALUE!</v>
      </c>
      <c r="AO11" s="204" t="e">
        <f>IF(E11=".",E11,IF(VLOOKUP($AL11&amp;E$1+E6&amp;E11, 工作表1!$C:$V,1,) &gt; 0,E11,"ERROR"))</f>
        <v>#VALUE!</v>
      </c>
      <c r="AP11" s="204" t="e">
        <f>IF(F11=".",F11,IF(VLOOKUP($AL11&amp;F$1+F6&amp;F11, 工作表1!$C:$V,1,) &gt; 0,F11,"ERROR"))</f>
        <v>#VALUE!</v>
      </c>
      <c r="AQ11" s="204" t="e">
        <f>IF(G11=".",G11,IF(VLOOKUP($AL11&amp;G$1+G6&amp;G11, 工作表1!$C:$V,1,) &gt; 0,G11,"ERROR"))</f>
        <v>#VALUE!</v>
      </c>
      <c r="AR11" s="204" t="e">
        <f>IF(H11=".",H11,IF(VLOOKUP($AL11&amp;H$1+H6&amp;H11, 工作表1!$C:$V,1,) &gt; 0,H11,"ERROR"))</f>
        <v>#VALUE!</v>
      </c>
      <c r="AS11" s="204" t="e">
        <f>IF(I11=".",I11,IF(VLOOKUP($AL11&amp;I$1+I6&amp;I11, 工作表1!$C:$V,1,) &gt; 0,I11,"ERROR"))</f>
        <v>#VALUE!</v>
      </c>
      <c r="AT11" s="204" t="e">
        <f>IF(J11=".",J11,IF(VLOOKUP($AL11&amp;J$1+J6&amp;J11, 工作表1!$C:$V,1,) &gt; 0,J11,"ERROR"))</f>
        <v>#VALUE!</v>
      </c>
      <c r="AU11" s="204" t="e">
        <f>IF(K11=".",K11,IF(VLOOKUP($AL11&amp;K$1+K6&amp;K11, 工作表1!$C:$V,1,) &gt; 0,K11,"ERROR"))</f>
        <v>#VALUE!</v>
      </c>
      <c r="AV11" s="204" t="e">
        <f>IF(L11=".",L11,IF(VLOOKUP($AL11&amp;L$1+L6&amp;L11, 工作表1!$C:$V,1,) &gt; 0,L11,"ERROR"))</f>
        <v>#VALUE!</v>
      </c>
      <c r="AW11" s="204" t="e">
        <f>IF(M11=".",M11,IF(VLOOKUP($AL11&amp;M$1+M6&amp;M11, 工作表1!$C:$V,1,) &gt; 0,M11,"ERROR"))</f>
        <v>#VALUE!</v>
      </c>
      <c r="AX11" s="204" t="e">
        <f>IF(N11=".",N11,IF(VLOOKUP($AL11&amp;N$1+N6&amp;N11, 工作表1!$C:$V,1,) &gt; 0,N11,"ERROR"))</f>
        <v>#VALUE!</v>
      </c>
      <c r="AY11" s="204" t="e">
        <f>IF(O11=".",O11,IF(VLOOKUP($AL11&amp;O$1+O6&amp;O11, 工作表1!$C:$V,1,) &gt; 0,O11,"ERROR"))</f>
        <v>#VALUE!</v>
      </c>
      <c r="AZ11" s="204" t="e">
        <f>IF(P11=".",P11,IF(VLOOKUP($AL11&amp;P$1+P6&amp;P11, 工作表1!$C:$V,1,) &gt; 0,P11,"ERROR"))</f>
        <v>#VALUE!</v>
      </c>
      <c r="BA11" s="204" t="e">
        <f>IF(Q11=".",Q11,IF(VLOOKUP($AL11&amp;Q$1+Q6&amp;Q11, 工作表1!$C:$V,1,) &gt; 0,Q11,"ERROR"))</f>
        <v>#VALUE!</v>
      </c>
      <c r="BB11" s="204" t="e">
        <f>IF(R11=".",R11,IF(VLOOKUP($AL11&amp;R$1+R6&amp;R11, 工作表1!$C:$V,1,) &gt; 0,R11,"ERROR"))</f>
        <v>#VALUE!</v>
      </c>
      <c r="BC11" s="204" t="e">
        <f>IF(S11=".",S11,IF(VLOOKUP($AL11&amp;S$1+S6&amp;S11, 工作表1!$C:$V,1,) &gt; 0,S11,"ERROR"))</f>
        <v>#VALUE!</v>
      </c>
      <c r="BD11" s="204" t="e">
        <f>IF(T11=".",T11,IF(VLOOKUP($AL11&amp;T$1+T6&amp;T11, 工作表1!$C:$V,1,) &gt; 0,T11,"ERROR"))</f>
        <v>#VALUE!</v>
      </c>
      <c r="BE11" s="204" t="e">
        <f>IF(U11=".",U11,IF(VLOOKUP($AL11&amp;U$1+U6&amp;U11, 工作表1!$C:$V,1,) &gt; 0,U11,"ERROR"))</f>
        <v>#VALUE!</v>
      </c>
      <c r="BF11" s="204" t="e">
        <f>IF(V11=".",V11,IF(VLOOKUP($AL11&amp;V$1+V6&amp;V11, 工作表1!$C:$V,1,) &gt; 0,V11,"ERROR"))</f>
        <v>#VALUE!</v>
      </c>
      <c r="BG11" s="204" t="e">
        <f>IF(W11=".",W11,IF(VLOOKUP($AL11&amp;W$1+W6&amp;W11, 工作表1!$C:$V,1,) &gt; 0,W11,"ERROR"))</f>
        <v>#VALUE!</v>
      </c>
      <c r="BH11" s="204" t="e">
        <f>IF(X11=".",X11,IF(VLOOKUP($AL11&amp;X$1+X6&amp;X11, 工作表1!$C:$V,1,) &gt; 0,X11,"ERROR"))</f>
        <v>#VALUE!</v>
      </c>
      <c r="BI11" s="204" t="e">
        <f>IF(Y11=".",Y11,IF(VLOOKUP($AL11&amp;Y$1+Y6&amp;Y11, 工作表1!$C:$V,1,) &gt; 0,Y11,"ERROR"))</f>
        <v>#VALUE!</v>
      </c>
      <c r="BJ11" s="204" t="e">
        <f>IF(Z11=".",Z11,IF(VLOOKUP($AL11&amp;Z$1+Z6&amp;Z11, 工作表1!$C:$V,1,) &gt; 0,Z11,"ERROR"))</f>
        <v>#VALUE!</v>
      </c>
      <c r="BK11" s="204" t="e">
        <f>IF(AA11=".",AA11,IF(VLOOKUP($AL11&amp;AA$1+AA6&amp;AA11, 工作表1!$C:$V,1,) &gt; 0,AA11,"ERROR"))</f>
        <v>#VALUE!</v>
      </c>
      <c r="BL11" s="204" t="e">
        <f>IF(AB11=".",AB11,IF(VLOOKUP($AL11&amp;AB$1+AB6&amp;AB11, 工作表1!$C:$V,1,) &gt; 0,AB11,"ERROR"))</f>
        <v>#VALUE!</v>
      </c>
      <c r="BM11" s="204" t="e">
        <f>IF(AC11=".",AC11,IF(VLOOKUP($AL11&amp;AC$1+AC6&amp;AC11, 工作表1!$C:$V,1,) &gt; 0,AC11,"ERROR"))</f>
        <v>#VALUE!</v>
      </c>
      <c r="BN11" s="204" t="e">
        <f>IF(AD11=".",AD11,IF(VLOOKUP($AL11&amp;AD$1+AD6&amp;AD11, 工作表1!$C:$V,1,) &gt; 0,AD11,"ERROR"))</f>
        <v>#VALUE!</v>
      </c>
      <c r="BO11" s="204" t="e">
        <f>IF(AE11=".",AE11,IF(VLOOKUP($AL11&amp;AE$1+AE6&amp;AE11, 工作表1!$C:$V,1,) &gt; 0,AE11,"ERROR"))</f>
        <v>#VALUE!</v>
      </c>
      <c r="BP11" s="204" t="e">
        <f>IF(AF11=".",AF11,IF(VLOOKUP($AL11&amp;AF$1+AF6&amp;AF11, 工作表1!$C:$V,1,) &gt; 0,AF11,"ERROR"))</f>
        <v>#VALUE!</v>
      </c>
      <c r="BQ11" s="204" t="e">
        <f>IF(AG11=".",AG11,IF(VLOOKUP($AL11&amp;AG$1+AG6&amp;AG11, 工作表1!$C:$V,1,) &gt; 0,AG11,"ERROR"))</f>
        <v>#VALUE!</v>
      </c>
      <c r="BR11" s="204" t="e">
        <f>IF(#REF!=".",#REF!,IF(VLOOKUP($AL11&amp;#REF!+#REF!&amp;#REF!, 工作表1!$C:$V,1,) &gt; 0,#REF!,"ERROR"))</f>
        <v>#REF!</v>
      </c>
      <c r="BS11" s="204" t="e">
        <f>IF(#REF!=".",#REF!,IF(VLOOKUP($AL11&amp;#REF!+#REF!&amp;#REF!, 工作表1!$C:$V,1,) &gt; 0,#REF!,"ERROR"))</f>
        <v>#REF!</v>
      </c>
    </row>
    <row r="12" spans="1:71">
      <c r="A12" t="str" cm="1">
        <f t="array" ref="A12">_xlfn.LET(
    _xlpm.data, C12:AG12,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Wah</v>
      </c>
      <c r="B12" s="195" t="str">
        <v>Kowloon Bay Fortress</v>
      </c>
      <c r="C12" s="202" t="str" cm="1">
        <f t="array" ref="C1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=$B12), ""),
   IF(_xlpm.filtered="", "", _xlpm.filtered)
)</f>
        <v/>
      </c>
      <c r="D12" s="202" t="str" cm="1">
        <f t="array" ref="D1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=$B12), ""),
   IF(_xlpm.filtered="", "", _xlpm.filtered)
)</f>
        <v/>
      </c>
      <c r="E12" s="202" t="str" cm="1">
        <f t="array" ref="E1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=$B12), ""),
   IF(_xlpm.filtered="", "", _xlpm.filtered)
)</f>
        <v/>
      </c>
      <c r="F12" s="202" t="str" cm="1">
        <f t="array" ref="F1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=$B12), ""),
   IF(_xlpm.filtered="", "", _xlpm.filtered)
)</f>
        <v>Wah</v>
      </c>
      <c r="G12" s="202" t="str" cm="1">
        <f t="array" ref="G1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=$B12), ""),
   IF(_xlpm.filtered="", "", _xlpm.filtered)
)</f>
        <v>Wah</v>
      </c>
      <c r="H12" s="202" t="str" cm="1">
        <f t="array" ref="H1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=$B12), ""),
   IF(_xlpm.filtered="", "", _xlpm.filtered)
)</f>
        <v>Wah</v>
      </c>
      <c r="I12" s="202" t="str" cm="1">
        <f t="array" ref="I1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=$B12), ""),
   IF(_xlpm.filtered="", "", _xlpm.filtered)
)</f>
        <v>Wah</v>
      </c>
      <c r="J12" s="202" t="str" cm="1">
        <f t="array" ref="J1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=$B12), ""),
   IF(_xlpm.filtered="", "", _xlpm.filtered)
)</f>
        <v/>
      </c>
      <c r="K12" s="202" t="str" cm="1">
        <f t="array" ref="K1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=$B12), ""),
   IF(_xlpm.filtered="", "", _xlpm.filtered)
)</f>
        <v/>
      </c>
      <c r="L12" s="202" t="str" cm="1">
        <f t="array" ref="L1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=$B12), ""),
   IF(_xlpm.filtered="", "", _xlpm.filtered)
)</f>
        <v/>
      </c>
      <c r="M12" s="202" t="str" cm="1">
        <f t="array" ref="M1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=$B12), ""),
   IF(_xlpm.filtered="", "", _xlpm.filtered)
)</f>
        <v>Wah</v>
      </c>
      <c r="N12" s="202" t="str" cm="1">
        <f t="array" ref="N1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=$B12), ""),
   IF(_xlpm.filtered="", "", _xlpm.filtered)
)</f>
        <v>Wah</v>
      </c>
      <c r="O12" s="202" t="str" cm="1">
        <f t="array" ref="O1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=$B12), ""),
   IF(_xlpm.filtered="", "", _xlpm.filtered)
)</f>
        <v>Wah</v>
      </c>
      <c r="P12" s="202" t="str" cm="1">
        <f t="array" ref="P1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=$B12), ""),
   IF(_xlpm.filtered="", "", _xlpm.filtered)
)</f>
        <v>Wah</v>
      </c>
      <c r="Q12" s="202" t="str" cm="1">
        <f t="array" ref="Q1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=$B12), ""),
   IF(_xlpm.filtered="", "", _xlpm.filtered)
)</f>
        <v/>
      </c>
      <c r="R12" s="202" t="str" cm="1">
        <f t="array" ref="R1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=$B12), ""),
   IF(_xlpm.filtered="", "", _xlpm.filtered)
)</f>
        <v/>
      </c>
      <c r="S12" s="202" t="str" cm="1">
        <f t="array" ref="S1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=$B12), ""),
   IF(_xlpm.filtered="", "", _xlpm.filtered)
)</f>
        <v/>
      </c>
      <c r="T12" s="202" t="str" cm="1">
        <f t="array" ref="T1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=$B12), ""),
   IF(_xlpm.filtered="", "", _xlpm.filtered)
)</f>
        <v>Wah</v>
      </c>
      <c r="U12" s="202" t="str" cm="1">
        <f t="array" ref="U1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=$B12), ""),
   IF(_xlpm.filtered="", "", _xlpm.filtered)
)</f>
        <v>Wah</v>
      </c>
      <c r="V12" s="202" t="str" cm="1">
        <f t="array" ref="V1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=$B12), ""),
   IF(_xlpm.filtered="", "", _xlpm.filtered)
)</f>
        <v>Wah</v>
      </c>
      <c r="W12" s="202" t="str" cm="1">
        <f t="array" ref="W1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=$B12), ""),
   IF(_xlpm.filtered="", "", _xlpm.filtered)
)</f>
        <v>Wah</v>
      </c>
      <c r="X12" s="202" t="str" cm="1">
        <f t="array" ref="X1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=$B12), ""),
   IF(_xlpm.filtered="", "", _xlpm.filtered)
)</f>
        <v/>
      </c>
      <c r="Y12" s="202" t="str" cm="1">
        <f t="array" ref="Y1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=$B12), ""),
   IF(_xlpm.filtered="", "", _xlpm.filtered)
)</f>
        <v/>
      </c>
      <c r="Z12" s="202" t="str" cm="1">
        <f t="array" ref="Z1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=$B12), ""),
   IF(_xlpm.filtered="", "", _xlpm.filtered)
)</f>
        <v/>
      </c>
      <c r="AA12" s="202" t="str" cm="1">
        <f t="array" ref="AA1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=$B12), ""),
   IF(_xlpm.filtered="", "", _xlpm.filtered)
)</f>
        <v>Wah</v>
      </c>
      <c r="AB12" s="202" t="str" cm="1">
        <f t="array" ref="AB1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=$B12), ""),
   IF(_xlpm.filtered="", "", _xlpm.filtered)
)</f>
        <v>Wah</v>
      </c>
      <c r="AC12" s="202" t="str" cm="1">
        <f t="array" ref="AC1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=$B12), ""),
   IF(_xlpm.filtered="", "", _xlpm.filtered)
)</f>
        <v>Wah</v>
      </c>
      <c r="AD12" s="202" t="str" cm="1">
        <f t="array" ref="AD1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=$B12), ""),
   IF(_xlpm.filtered="", "", _xlpm.filtered)
)</f>
        <v>Wah</v>
      </c>
      <c r="AE12" s="202" t="str" cm="1">
        <f t="array" ref="AE1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=$B12), ""),
   IF(_xlpm.filtered="", "", _xlpm.filtered)
)</f>
        <v/>
      </c>
      <c r="AF12" s="202" t="str" cm="1">
        <f t="array" ref="AF1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=$B12), ""),
   IF(_xlpm.filtered="", "", _xlpm.filtered)
)</f>
        <v/>
      </c>
      <c r="AG12" s="202" t="str" cm="1">
        <f t="array" ref="AG1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=$B12), ""),
   IF(_xlpm.filtered="", "", _xlpm.filtered)
)</f>
        <v/>
      </c>
      <c r="AH12" s="203">
        <f t="shared" si="33"/>
        <v>16</v>
      </c>
      <c r="AI12" s="203">
        <f t="shared" si="34"/>
        <v>128</v>
      </c>
      <c r="AJ12" s="193"/>
      <c r="AL12" s="197" t="str">
        <f t="shared" si="35"/>
        <v>Kowloon Bay Fortress</v>
      </c>
      <c r="AM12" s="204" t="e">
        <f>IF(C12=".",C12,IF(VLOOKUP($AL12&amp;C$1+C7&amp;C12, 工作表1!$C:$V,1,) &gt; 0,C12,"ERROR"))</f>
        <v>#N/A</v>
      </c>
      <c r="AN12" s="204" t="e">
        <f>IF(D12=".",D12,IF(VLOOKUP($AL12&amp;D$1+D7&amp;D12, 工作表1!$C:$V,1,) &gt; 0,D12,"ERROR"))</f>
        <v>#N/A</v>
      </c>
      <c r="AO12" s="204" t="e">
        <f>IF(E12=".",E12,IF(VLOOKUP($AL12&amp;E$1+E7&amp;E12, 工作表1!$C:$V,1,) &gt; 0,E12,"ERROR"))</f>
        <v>#N/A</v>
      </c>
      <c r="AP12" s="204" t="e">
        <f>IF(F12=".",F12,IF(VLOOKUP($AL12&amp;F$1+F7&amp;F12, 工作表1!$C:$V,1,) &gt; 0,F12,"ERROR"))</f>
        <v>#N/A</v>
      </c>
      <c r="AQ12" s="204" t="e">
        <f>IF(G12=".",G12,IF(VLOOKUP($AL12&amp;G$1+G7&amp;G12, 工作表1!$C:$V,1,) &gt; 0,G12,"ERROR"))</f>
        <v>#N/A</v>
      </c>
      <c r="AR12" s="204" t="e">
        <f>IF(H12=".",H12,IF(VLOOKUP($AL12&amp;H$1+H7&amp;H12, 工作表1!$C:$V,1,) &gt; 0,H12,"ERROR"))</f>
        <v>#N/A</v>
      </c>
      <c r="AS12" s="204" t="e">
        <f>IF(I12=".",I12,IF(VLOOKUP($AL12&amp;I$1+I7&amp;I12, 工作表1!$C:$V,1,) &gt; 0,I12,"ERROR"))</f>
        <v>#N/A</v>
      </c>
      <c r="AT12" s="204" t="e">
        <f>IF(J12=".",J12,IF(VLOOKUP($AL12&amp;J$1+J7&amp;J12, 工作表1!$C:$V,1,) &gt; 0,J12,"ERROR"))</f>
        <v>#N/A</v>
      </c>
      <c r="AU12" s="204" t="e">
        <f>IF(K12=".",K12,IF(VLOOKUP($AL12&amp;K$1+K7&amp;K12, 工作表1!$C:$V,1,) &gt; 0,K12,"ERROR"))</f>
        <v>#N/A</v>
      </c>
      <c r="AV12" s="204" t="e">
        <f>IF(L12=".",L12,IF(VLOOKUP($AL12&amp;L$1+L7&amp;L12, 工作表1!$C:$V,1,) &gt; 0,L12,"ERROR"))</f>
        <v>#N/A</v>
      </c>
      <c r="AW12" s="204" t="e">
        <f>IF(M12=".",M12,IF(VLOOKUP($AL12&amp;M$1+M7&amp;M12, 工作表1!$C:$V,1,) &gt; 0,M12,"ERROR"))</f>
        <v>#N/A</v>
      </c>
      <c r="AX12" s="204" t="e">
        <f>IF(N12=".",N12,IF(VLOOKUP($AL12&amp;N$1+N7&amp;N12, 工作表1!$C:$V,1,) &gt; 0,N12,"ERROR"))</f>
        <v>#N/A</v>
      </c>
      <c r="AY12" s="204" t="e">
        <f>IF(O12=".",O12,IF(VLOOKUP($AL12&amp;O$1+O7&amp;O12, 工作表1!$C:$V,1,) &gt; 0,O12,"ERROR"))</f>
        <v>#N/A</v>
      </c>
      <c r="AZ12" s="204" t="e">
        <f>IF(P12=".",P12,IF(VLOOKUP($AL12&amp;P$1+P7&amp;P12, 工作表1!$C:$V,1,) &gt; 0,P12,"ERROR"))</f>
        <v>#N/A</v>
      </c>
      <c r="BA12" s="204" t="e">
        <f>IF(Q12=".",Q12,IF(VLOOKUP($AL12&amp;Q$1+Q7&amp;Q12, 工作表1!$C:$V,1,) &gt; 0,Q12,"ERROR"))</f>
        <v>#N/A</v>
      </c>
      <c r="BB12" s="204" t="e">
        <f>IF(R12=".",R12,IF(VLOOKUP($AL12&amp;R$1+R7&amp;R12, 工作表1!$C:$V,1,) &gt; 0,R12,"ERROR"))</f>
        <v>#N/A</v>
      </c>
      <c r="BC12" s="204" t="e">
        <f>IF(S12=".",S12,IF(VLOOKUP($AL12&amp;S$1+S7&amp;S12, 工作表1!$C:$V,1,) &gt; 0,S12,"ERROR"))</f>
        <v>#N/A</v>
      </c>
      <c r="BD12" s="204" t="e">
        <f>IF(T12=".",T12,IF(VLOOKUP($AL12&amp;T$1+T7&amp;T12, 工作表1!$C:$V,1,) &gt; 0,T12,"ERROR"))</f>
        <v>#N/A</v>
      </c>
      <c r="BE12" s="204" t="e">
        <f>IF(U12=".",U12,IF(VLOOKUP($AL12&amp;U$1+U7&amp;U12, 工作表1!$C:$V,1,) &gt; 0,U12,"ERROR"))</f>
        <v>#N/A</v>
      </c>
      <c r="BF12" s="204" t="e">
        <f>IF(V12=".",V12,IF(VLOOKUP($AL12&amp;V$1+V7&amp;V12, 工作表1!$C:$V,1,) &gt; 0,V12,"ERROR"))</f>
        <v>#N/A</v>
      </c>
      <c r="BG12" s="204" t="e">
        <f>IF(W12=".",W12,IF(VLOOKUP($AL12&amp;W$1+W7&amp;W12, 工作表1!$C:$V,1,) &gt; 0,W12,"ERROR"))</f>
        <v>#N/A</v>
      </c>
      <c r="BH12" s="204" t="e">
        <f>IF(X12=".",X12,IF(VLOOKUP($AL12&amp;X$1+X7&amp;X12, 工作表1!$C:$V,1,) &gt; 0,X12,"ERROR"))</f>
        <v>#N/A</v>
      </c>
      <c r="BI12" s="204" t="e">
        <f>IF(Y12=".",Y12,IF(VLOOKUP($AL12&amp;Y$1+Y7&amp;Y12, 工作表1!$C:$V,1,) &gt; 0,Y12,"ERROR"))</f>
        <v>#N/A</v>
      </c>
      <c r="BJ12" s="204" t="e">
        <f>IF(Z12=".",Z12,IF(VLOOKUP($AL12&amp;Z$1+Z7&amp;Z12, 工作表1!$C:$V,1,) &gt; 0,Z12,"ERROR"))</f>
        <v>#N/A</v>
      </c>
      <c r="BK12" s="204" t="e">
        <f>IF(AA12=".",AA12,IF(VLOOKUP($AL12&amp;AA$1+AA7&amp;AA12, 工作表1!$C:$V,1,) &gt; 0,AA12,"ERROR"))</f>
        <v>#N/A</v>
      </c>
      <c r="BL12" s="204" t="e">
        <f>IF(AB12=".",AB12,IF(VLOOKUP($AL12&amp;AB$1+AB7&amp;AB12, 工作表1!$C:$V,1,) &gt; 0,AB12,"ERROR"))</f>
        <v>#N/A</v>
      </c>
      <c r="BM12" s="204" t="e">
        <f>IF(AC12=".",AC12,IF(VLOOKUP($AL12&amp;AC$1+AC7&amp;AC12, 工作表1!$C:$V,1,) &gt; 0,AC12,"ERROR"))</f>
        <v>#N/A</v>
      </c>
      <c r="BN12" s="204" t="e">
        <f>IF(AD12=".",AD12,IF(VLOOKUP($AL12&amp;AD$1+AD7&amp;AD12, 工作表1!$C:$V,1,) &gt; 0,AD12,"ERROR"))</f>
        <v>#N/A</v>
      </c>
      <c r="BO12" s="204" t="e">
        <f>IF(AE12=".",AE12,IF(VLOOKUP($AL12&amp;AE$1+AE7&amp;AE12, 工作表1!$C:$V,1,) &gt; 0,AE12,"ERROR"))</f>
        <v>#N/A</v>
      </c>
      <c r="BP12" s="204" t="e">
        <f>IF(AF12=".",AF12,IF(VLOOKUP($AL12&amp;AF$1+AF7&amp;AF12, 工作表1!$C:$V,1,) &gt; 0,AF12,"ERROR"))</f>
        <v>#N/A</v>
      </c>
      <c r="BQ12" s="204" t="e">
        <f>IF(AG12=".",AG12,IF(VLOOKUP($AL12&amp;AG$1+AG7&amp;AG12, 工作表1!$C:$V,1,) &gt; 0,AG12,"ERROR"))</f>
        <v>#N/A</v>
      </c>
      <c r="BR12" s="204" t="e">
        <f>IF(#REF!=".",#REF!,IF(VLOOKUP($AL12&amp;#REF!+#REF!&amp;#REF!, 工作表1!$C:$V,1,) &gt; 0,#REF!,"ERROR"))</f>
        <v>#REF!</v>
      </c>
      <c r="BS12" s="204" t="e">
        <f>IF(#REF!=".",#REF!,IF(VLOOKUP($AL12&amp;#REF!+#REF!&amp;#REF!, 工作表1!$C:$V,1,) &gt; 0,#REF!,"ERROR"))</f>
        <v>#REF!</v>
      </c>
    </row>
    <row r="13" spans="1:71">
      <c r="A13" t="str" cm="1">
        <f t="array" ref="A13">_xlfn.LET(
    _xlpm.data, C13:AG13,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Wu Sir</v>
      </c>
      <c r="B13" s="196" t="str">
        <v>Kwai Fong Fortress</v>
      </c>
      <c r="C13" s="202" t="str" cm="1">
        <f t="array" ref="C1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=$B13), ""),
   IF(_xlpm.filtered="", "", _xlpm.filtered)
)</f>
        <v/>
      </c>
      <c r="D13" s="202" t="str" cm="1">
        <f t="array" ref="D1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=$B13), ""),
   IF(_xlpm.filtered="", "", _xlpm.filtered)
)</f>
        <v/>
      </c>
      <c r="E13" s="202" t="str" cm="1">
        <f t="array" ref="E1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=$B13), ""),
   IF(_xlpm.filtered="", "", _xlpm.filtered)
)</f>
        <v/>
      </c>
      <c r="F13" s="202" t="str" cm="1">
        <f t="array" ref="F1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=$B13), ""),
   IF(_xlpm.filtered="", "", _xlpm.filtered)
)</f>
        <v/>
      </c>
      <c r="G13" s="202" t="str" cm="1">
        <f t="array" ref="G1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=$B13), ""),
   IF(_xlpm.filtered="", "", _xlpm.filtered)
)</f>
        <v/>
      </c>
      <c r="H13" s="202" t="str" cm="1">
        <f t="array" ref="H1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=$B13), ""),
   IF(_xlpm.filtered="", "", _xlpm.filtered)
)</f>
        <v xml:space="preserve"> Wu Sir</v>
      </c>
      <c r="I13" s="202" t="str" cm="1">
        <f t="array" ref="I1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=$B13), ""),
   IF(_xlpm.filtered="", "", _xlpm.filtered)
)</f>
        <v xml:space="preserve"> Wu Sir</v>
      </c>
      <c r="J13" s="202" t="str" cm="1">
        <f t="array" ref="J1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=$B13), ""),
   IF(_xlpm.filtered="", "", _xlpm.filtered)
)</f>
        <v/>
      </c>
      <c r="K13" s="202" t="str" cm="1">
        <f t="array" ref="K1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=$B13), ""),
   IF(_xlpm.filtered="", "", _xlpm.filtered)
)</f>
        <v/>
      </c>
      <c r="L13" s="202" t="str" cm="1">
        <f t="array" ref="L1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=$B13), ""),
   IF(_xlpm.filtered="", "", _xlpm.filtered)
)</f>
        <v/>
      </c>
      <c r="M13" s="202" t="str" cm="1">
        <f t="array" ref="M1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=$B13), ""),
   IF(_xlpm.filtered="", "", _xlpm.filtered)
)</f>
        <v/>
      </c>
      <c r="N13" s="202" t="str" cm="1">
        <f t="array" ref="N1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=$B13), ""),
   IF(_xlpm.filtered="", "", _xlpm.filtered)
)</f>
        <v/>
      </c>
      <c r="O13" s="202" t="str" cm="1">
        <f t="array" ref="O1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=$B13), ""),
   IF(_xlpm.filtered="", "", _xlpm.filtered)
)</f>
        <v/>
      </c>
      <c r="P13" s="202" t="str" cm="1">
        <f t="array" ref="P1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=$B13), ""),
   IF(_xlpm.filtered="", "", _xlpm.filtered)
)</f>
        <v/>
      </c>
      <c r="Q13" s="202" t="str" cm="1">
        <f t="array" ref="Q1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=$B13), ""),
   IF(_xlpm.filtered="", "", _xlpm.filtered)
)</f>
        <v/>
      </c>
      <c r="R13" s="202" t="str" cm="1">
        <f t="array" ref="R1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=$B13), ""),
   IF(_xlpm.filtered="", "", _xlpm.filtered)
)</f>
        <v/>
      </c>
      <c r="S13" s="202" t="str" cm="1">
        <f t="array" ref="S1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=$B13), ""),
   IF(_xlpm.filtered="", "", _xlpm.filtered)
)</f>
        <v/>
      </c>
      <c r="T13" s="202" t="str" cm="1">
        <f t="array" ref="T1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=$B13), ""),
   IF(_xlpm.filtered="", "", _xlpm.filtered)
)</f>
        <v/>
      </c>
      <c r="U13" s="202" t="str" cm="1">
        <f t="array" ref="U1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=$B13), ""),
   IF(_xlpm.filtered="", "", _xlpm.filtered)
)</f>
        <v/>
      </c>
      <c r="V13" s="202" t="str" cm="1">
        <f t="array" ref="V1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=$B13), ""),
   IF(_xlpm.filtered="", "", _xlpm.filtered)
)</f>
        <v xml:space="preserve"> Wu Sir</v>
      </c>
      <c r="W13" s="202" t="str" cm="1">
        <f t="array" ref="W1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=$B13), ""),
   IF(_xlpm.filtered="", "", _xlpm.filtered)
)</f>
        <v xml:space="preserve"> Wu Sir</v>
      </c>
      <c r="X13" s="202" t="str" cm="1">
        <f t="array" ref="X1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=$B13), ""),
   IF(_xlpm.filtered="", "", _xlpm.filtered)
)</f>
        <v/>
      </c>
      <c r="Y13" s="202" t="str" cm="1">
        <f t="array" ref="Y1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=$B13), ""),
   IF(_xlpm.filtered="", "", _xlpm.filtered)
)</f>
        <v/>
      </c>
      <c r="Z13" s="202" t="str" cm="1">
        <f t="array" ref="Z1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=$B13), ""),
   IF(_xlpm.filtered="", "", _xlpm.filtered)
)</f>
        <v/>
      </c>
      <c r="AA13" s="202" t="str" cm="1">
        <f t="array" ref="AA1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=$B13), ""),
   IF(_xlpm.filtered="", "", _xlpm.filtered)
)</f>
        <v/>
      </c>
      <c r="AB13" s="202" t="str" cm="1">
        <f t="array" ref="AB1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=$B13), ""),
   IF(_xlpm.filtered="", "", _xlpm.filtered)
)</f>
        <v/>
      </c>
      <c r="AC13" s="202" t="str" cm="1">
        <f t="array" ref="AC1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=$B13), ""),
   IF(_xlpm.filtered="", "", _xlpm.filtered)
)</f>
        <v xml:space="preserve"> Wu Sir</v>
      </c>
      <c r="AD13" s="202" t="str" cm="1">
        <f t="array" ref="AD1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=$B13), ""),
   IF(_xlpm.filtered="", "", _xlpm.filtered)
)</f>
        <v xml:space="preserve"> Wu Sir</v>
      </c>
      <c r="AE13" s="202" t="str" cm="1">
        <f t="array" ref="AE1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=$B13), ""),
   IF(_xlpm.filtered="", "", _xlpm.filtered)
)</f>
        <v/>
      </c>
      <c r="AF13" s="202" t="str" cm="1">
        <f t="array" ref="AF1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=$B13), ""),
   IF(_xlpm.filtered="", "", _xlpm.filtered)
)</f>
        <v/>
      </c>
      <c r="AG13" s="202" t="str" cm="1">
        <f t="array" ref="AG1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=$B13), ""),
   IF(_xlpm.filtered="", "", _xlpm.filtered)
)</f>
        <v/>
      </c>
      <c r="AH13" s="203">
        <f t="shared" si="33"/>
        <v>6</v>
      </c>
      <c r="AI13" s="203">
        <f t="shared" si="34"/>
        <v>48</v>
      </c>
      <c r="AJ13" s="193"/>
      <c r="AL13" s="197" t="str">
        <f t="shared" si="35"/>
        <v>Kwai Fong Fortress</v>
      </c>
      <c r="AM13" s="204" t="e">
        <f>IF(C13=".",C13,IF(VLOOKUP($AL13&amp;C$1+C8&amp;C13, 工作表1!$C:$V,1,) &gt; 0,C13,"ERROR"))</f>
        <v>#VALUE!</v>
      </c>
      <c r="AN13" s="204" t="e">
        <f>IF(D13=".",D13,IF(VLOOKUP($AL13&amp;D$1+D8&amp;D13, 工作表1!$C:$V,1,) &gt; 0,D13,"ERROR"))</f>
        <v>#VALUE!</v>
      </c>
      <c r="AO13" s="204" t="e">
        <f>IF(E13=".",E13,IF(VLOOKUP($AL13&amp;E$1+E8&amp;E13, 工作表1!$C:$V,1,) &gt; 0,E13,"ERROR"))</f>
        <v>#VALUE!</v>
      </c>
      <c r="AP13" s="204" t="e">
        <f>IF(F13=".",F13,IF(VLOOKUP($AL13&amp;F$1+F8&amp;F13, 工作表1!$C:$V,1,) &gt; 0,F13,"ERROR"))</f>
        <v>#VALUE!</v>
      </c>
      <c r="AQ13" s="204" t="e">
        <f>IF(G13=".",G13,IF(VLOOKUP($AL13&amp;G$1+G8&amp;G13, 工作表1!$C:$V,1,) &gt; 0,G13,"ERROR"))</f>
        <v>#VALUE!</v>
      </c>
      <c r="AR13" s="204" t="e">
        <f>IF(H13=".",H13,IF(VLOOKUP($AL13&amp;H$1+H8&amp;H13, 工作表1!$C:$V,1,) &gt; 0,H13,"ERROR"))</f>
        <v>#VALUE!</v>
      </c>
      <c r="AS13" s="204" t="e">
        <f>IF(I13=".",I13,IF(VLOOKUP($AL13&amp;I$1+I8&amp;I13, 工作表1!$C:$V,1,) &gt; 0,I13,"ERROR"))</f>
        <v>#VALUE!</v>
      </c>
      <c r="AT13" s="204" t="e">
        <f>IF(J13=".",J13,IF(VLOOKUP($AL13&amp;J$1+J8&amp;J13, 工作表1!$C:$V,1,) &gt; 0,J13,"ERROR"))</f>
        <v>#VALUE!</v>
      </c>
      <c r="AU13" s="204" t="e">
        <f>IF(K13=".",K13,IF(VLOOKUP($AL13&amp;K$1+K8&amp;K13, 工作表1!$C:$V,1,) &gt; 0,K13,"ERROR"))</f>
        <v>#VALUE!</v>
      </c>
      <c r="AV13" s="204" t="e">
        <f>IF(L13=".",L13,IF(VLOOKUP($AL13&amp;L$1+L8&amp;L13, 工作表1!$C:$V,1,) &gt; 0,L13,"ERROR"))</f>
        <v>#VALUE!</v>
      </c>
      <c r="AW13" s="204" t="e">
        <f>IF(M13=".",M13,IF(VLOOKUP($AL13&amp;M$1+M8&amp;M13, 工作表1!$C:$V,1,) &gt; 0,M13,"ERROR"))</f>
        <v>#VALUE!</v>
      </c>
      <c r="AX13" s="204" t="e">
        <f>IF(N13=".",N13,IF(VLOOKUP($AL13&amp;N$1+N8&amp;N13, 工作表1!$C:$V,1,) &gt; 0,N13,"ERROR"))</f>
        <v>#VALUE!</v>
      </c>
      <c r="AY13" s="204" t="e">
        <f>IF(O13=".",O13,IF(VLOOKUP($AL13&amp;O$1+O8&amp;O13, 工作表1!$C:$V,1,) &gt; 0,O13,"ERROR"))</f>
        <v>#VALUE!</v>
      </c>
      <c r="AZ13" s="204" t="e">
        <f>IF(P13=".",P13,IF(VLOOKUP($AL13&amp;P$1+P8&amp;P13, 工作表1!$C:$V,1,) &gt; 0,P13,"ERROR"))</f>
        <v>#VALUE!</v>
      </c>
      <c r="BA13" s="204" t="e">
        <f>IF(Q13=".",Q13,IF(VLOOKUP($AL13&amp;Q$1+Q8&amp;Q13, 工作表1!$C:$V,1,) &gt; 0,Q13,"ERROR"))</f>
        <v>#VALUE!</v>
      </c>
      <c r="BB13" s="204" t="e">
        <f>IF(R13=".",R13,IF(VLOOKUP($AL13&amp;R$1+R8&amp;R13, 工作表1!$C:$V,1,) &gt; 0,R13,"ERROR"))</f>
        <v>#VALUE!</v>
      </c>
      <c r="BC13" s="204" t="e">
        <f>IF(S13=".",S13,IF(VLOOKUP($AL13&amp;S$1+S8&amp;S13, 工作表1!$C:$V,1,) &gt; 0,S13,"ERROR"))</f>
        <v>#VALUE!</v>
      </c>
      <c r="BD13" s="204" t="e">
        <f>IF(T13=".",T13,IF(VLOOKUP($AL13&amp;T$1+T8&amp;T13, 工作表1!$C:$V,1,) &gt; 0,T13,"ERROR"))</f>
        <v>#VALUE!</v>
      </c>
      <c r="BE13" s="204" t="e">
        <f>IF(U13=".",U13,IF(VLOOKUP($AL13&amp;U$1+U8&amp;U13, 工作表1!$C:$V,1,) &gt; 0,U13,"ERROR"))</f>
        <v>#VALUE!</v>
      </c>
      <c r="BF13" s="204" t="e">
        <f>IF(V13=".",V13,IF(VLOOKUP($AL13&amp;V$1+V8&amp;V13, 工作表1!$C:$V,1,) &gt; 0,V13,"ERROR"))</f>
        <v>#VALUE!</v>
      </c>
      <c r="BG13" s="204" t="e">
        <f>IF(W13=".",W13,IF(VLOOKUP($AL13&amp;W$1+W8&amp;W13, 工作表1!$C:$V,1,) &gt; 0,W13,"ERROR"))</f>
        <v>#VALUE!</v>
      </c>
      <c r="BH13" s="204" t="e">
        <f>IF(X13=".",X13,IF(VLOOKUP($AL13&amp;X$1+X8&amp;X13, 工作表1!$C:$V,1,) &gt; 0,X13,"ERROR"))</f>
        <v>#VALUE!</v>
      </c>
      <c r="BI13" s="204" t="e">
        <f>IF(Y13=".",Y13,IF(VLOOKUP($AL13&amp;Y$1+Y8&amp;Y13, 工作表1!$C:$V,1,) &gt; 0,Y13,"ERROR"))</f>
        <v>#VALUE!</v>
      </c>
      <c r="BJ13" s="204" t="e">
        <f>IF(Z13=".",Z13,IF(VLOOKUP($AL13&amp;Z$1+Z8&amp;Z13, 工作表1!$C:$V,1,) &gt; 0,Z13,"ERROR"))</f>
        <v>#VALUE!</v>
      </c>
      <c r="BK13" s="204" t="e">
        <f>IF(AA13=".",AA13,IF(VLOOKUP($AL13&amp;AA$1+AA8&amp;AA13, 工作表1!$C:$V,1,) &gt; 0,AA13,"ERROR"))</f>
        <v>#VALUE!</v>
      </c>
      <c r="BL13" s="204" t="e">
        <f>IF(AB13=".",AB13,IF(VLOOKUP($AL13&amp;AB$1+AB8&amp;AB13, 工作表1!$C:$V,1,) &gt; 0,AB13,"ERROR"))</f>
        <v>#VALUE!</v>
      </c>
      <c r="BM13" s="204" t="e">
        <f>IF(AC13=".",AC13,IF(VLOOKUP($AL13&amp;AC$1+AC8&amp;AC13, 工作表1!$C:$V,1,) &gt; 0,AC13,"ERROR"))</f>
        <v>#VALUE!</v>
      </c>
      <c r="BN13" s="204" t="e">
        <f>IF(AD13=".",AD13,IF(VLOOKUP($AL13&amp;AD$1+AD8&amp;AD13, 工作表1!$C:$V,1,) &gt; 0,AD13,"ERROR"))</f>
        <v>#VALUE!</v>
      </c>
      <c r="BO13" s="204" t="e">
        <f>IF(AE13=".",AE13,IF(VLOOKUP($AL13&amp;AE$1+AE8&amp;AE13, 工作表1!$C:$V,1,) &gt; 0,AE13,"ERROR"))</f>
        <v>#VALUE!</v>
      </c>
      <c r="BP13" s="204" t="e">
        <f>IF(AF13=".",AF13,IF(VLOOKUP($AL13&amp;AF$1+AF8&amp;AF13, 工作表1!$C:$V,1,) &gt; 0,AF13,"ERROR"))</f>
        <v>#VALUE!</v>
      </c>
      <c r="BQ13" s="204" t="e">
        <f>IF(AG13=".",AG13,IF(VLOOKUP($AL13&amp;AG$1+AG8&amp;AG13, 工作表1!$C:$V,1,) &gt; 0,AG13,"ERROR"))</f>
        <v>#VALUE!</v>
      </c>
      <c r="BR13" s="204" t="e">
        <f>IF(#REF!=".",#REF!,IF(VLOOKUP($AL13&amp;#REF!+#REF!&amp;#REF!, 工作表1!$C:$V,1,) &gt; 0,#REF!,"ERROR"))</f>
        <v>#REF!</v>
      </c>
      <c r="BS13" s="204" t="e">
        <f>IF(#REF!=".",#REF!,IF(VLOOKUP($AL13&amp;#REF!+#REF!&amp;#REF!, 工作表1!$C:$V,1,) &gt; 0,#REF!,"ERROR"))</f>
        <v>#REF!</v>
      </c>
    </row>
    <row r="14" spans="1:71" ht="30">
      <c r="A14" t="str" cm="1">
        <f t="array" ref="A14">_xlfn.LET(
    _xlpm.data, C14:AG14,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Margaret</v>
      </c>
      <c r="B14" s="196" t="str">
        <v>Shatin Fortress</v>
      </c>
      <c r="C14" s="202" t="str" cm="1">
        <f t="array" ref="C1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=$B14), ""),
   IF(_xlpm.filtered="", "", _xlpm.filtered)
)</f>
        <v/>
      </c>
      <c r="D14" s="202" t="str" cm="1">
        <f t="array" ref="D1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=$B14), ""),
   IF(_xlpm.filtered="", "", _xlpm.filtered)
)</f>
        <v/>
      </c>
      <c r="E14" s="202" t="str" cm="1">
        <f t="array" ref="E1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=$B14), ""),
   IF(_xlpm.filtered="", "", _xlpm.filtered)
)</f>
        <v/>
      </c>
      <c r="F14" s="202" t="str" cm="1">
        <f t="array" ref="F1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=$B14), ""),
   IF(_xlpm.filtered="", "", _xlpm.filtered)
)</f>
        <v/>
      </c>
      <c r="G14" s="202" t="str" cm="1">
        <f t="array" ref="G1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=$B14), ""),
   IF(_xlpm.filtered="", "", _xlpm.filtered)
)</f>
        <v>Margaret</v>
      </c>
      <c r="H14" s="202" t="str" cm="1">
        <f t="array" ref="H1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=$B14), ""),
   IF(_xlpm.filtered="", "", _xlpm.filtered)
)</f>
        <v>Margaret</v>
      </c>
      <c r="I14" s="202" t="str" cm="1">
        <f t="array" ref="I1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=$B14), ""),
   IF(_xlpm.filtered="", "", _xlpm.filtered)
)</f>
        <v>Margaret</v>
      </c>
      <c r="J14" s="202" t="str" cm="1">
        <f t="array" ref="J1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=$B14), ""),
   IF(_xlpm.filtered="", "", _xlpm.filtered)
)</f>
        <v/>
      </c>
      <c r="K14" s="202" t="str" cm="1">
        <f t="array" ref="K1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=$B14), ""),
   IF(_xlpm.filtered="", "", _xlpm.filtered)
)</f>
        <v/>
      </c>
      <c r="L14" s="202" t="str" cm="1">
        <f t="array" ref="L1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=$B14), ""),
   IF(_xlpm.filtered="", "", _xlpm.filtered)
)</f>
        <v/>
      </c>
      <c r="M14" s="202" t="str" cm="1">
        <f t="array" ref="M1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=$B14), ""),
   IF(_xlpm.filtered="", "", _xlpm.filtered)
)</f>
        <v/>
      </c>
      <c r="N14" s="202" t="str" cm="1">
        <f t="array" ref="N1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=$B14), ""),
   IF(_xlpm.filtered="", "", _xlpm.filtered)
)</f>
        <v>Margaret</v>
      </c>
      <c r="O14" s="202" t="str" cm="1">
        <f t="array" ref="O1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=$B14), ""),
   IF(_xlpm.filtered="", "", _xlpm.filtered)
)</f>
        <v>Margaret</v>
      </c>
      <c r="P14" s="202" t="str" cm="1">
        <f t="array" ref="P1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=$B14), ""),
   IF(_xlpm.filtered="", "", _xlpm.filtered)
)</f>
        <v>Margaret</v>
      </c>
      <c r="Q14" s="202" t="str" cm="1">
        <f t="array" ref="Q1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=$B14), ""),
   IF(_xlpm.filtered="", "", _xlpm.filtered)
)</f>
        <v/>
      </c>
      <c r="R14" s="202" t="str" cm="1">
        <f t="array" ref="R1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=$B14), ""),
   IF(_xlpm.filtered="", "", _xlpm.filtered)
)</f>
        <v/>
      </c>
      <c r="S14" s="202" t="str" cm="1">
        <f t="array" ref="S1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=$B14), ""),
   IF(_xlpm.filtered="", "", _xlpm.filtered)
)</f>
        <v/>
      </c>
      <c r="T14" s="202" t="str" cm="1">
        <f t="array" ref="T1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=$B14), ""),
   IF(_xlpm.filtered="", "", _xlpm.filtered)
)</f>
        <v/>
      </c>
      <c r="U14" s="202" t="str" cm="1">
        <f t="array" ref="U1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=$B14), ""),
   IF(_xlpm.filtered="", "", _xlpm.filtered)
)</f>
        <v>Margaret</v>
      </c>
      <c r="V14" s="202" t="str" cm="1">
        <f t="array" ref="V1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=$B14), ""),
   IF(_xlpm.filtered="", "", _xlpm.filtered)
)</f>
        <v>Margaret</v>
      </c>
      <c r="W14" s="202" t="str" cm="1">
        <f t="array" ref="W1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=$B14), ""),
   IF(_xlpm.filtered="", "", _xlpm.filtered)
)</f>
        <v>Margaret</v>
      </c>
      <c r="X14" s="202" t="str" cm="1">
        <f t="array" ref="X1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=$B14), ""),
   IF(_xlpm.filtered="", "", _xlpm.filtered)
)</f>
        <v/>
      </c>
      <c r="Y14" s="202" t="str" cm="1">
        <f t="array" ref="Y1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=$B14), ""),
   IF(_xlpm.filtered="", "", _xlpm.filtered)
)</f>
        <v/>
      </c>
      <c r="Z14" s="202" t="str" cm="1">
        <f t="array" ref="Z1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=$B14), ""),
   IF(_xlpm.filtered="", "", _xlpm.filtered)
)</f>
        <v/>
      </c>
      <c r="AA14" s="202" t="str" cm="1">
        <f t="array" ref="AA1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=$B14), ""),
   IF(_xlpm.filtered="", "", _xlpm.filtered)
)</f>
        <v>Margaret</v>
      </c>
      <c r="AB14" s="202" t="str" cm="1">
        <f t="array" ref="AB1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=$B14), ""),
   IF(_xlpm.filtered="", "", _xlpm.filtered)
)</f>
        <v/>
      </c>
      <c r="AC14" s="202" t="str" cm="1">
        <f t="array" ref="AC1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=$B14), ""),
   IF(_xlpm.filtered="", "", _xlpm.filtered)
)</f>
        <v/>
      </c>
      <c r="AD14" s="202" t="str" cm="1">
        <f t="array" ref="AD1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=$B14), ""),
   IF(_xlpm.filtered="", "", _xlpm.filtered)
)</f>
        <v/>
      </c>
      <c r="AE14" s="202" t="str" cm="1">
        <f t="array" ref="AE1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=$B14), ""),
   IF(_xlpm.filtered="", "", _xlpm.filtered)
)</f>
        <v>Margaret</v>
      </c>
      <c r="AF14" s="202" t="str" cm="1">
        <f t="array" ref="AF1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=$B14), ""),
   IF(_xlpm.filtered="", "", _xlpm.filtered)
)</f>
        <v/>
      </c>
      <c r="AG14" s="202" t="str" cm="1">
        <f t="array" ref="AG1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=$B14), ""),
   IF(_xlpm.filtered="", "", _xlpm.filtered)
)</f>
        <v/>
      </c>
      <c r="AH14" s="203">
        <f t="shared" si="33"/>
        <v>11</v>
      </c>
      <c r="AI14" s="203">
        <f t="shared" si="34"/>
        <v>88</v>
      </c>
      <c r="AJ14" s="193"/>
      <c r="AL14" s="197" t="str">
        <f t="shared" si="35"/>
        <v>Shatin Fortress</v>
      </c>
      <c r="AM14" s="204" t="e">
        <f>IF(C14=".",C14,IF(VLOOKUP($AL14&amp;C$1+C9&amp;C14, 工作表1!$C:$V,1,) &gt; 0,C14,"ERROR"))</f>
        <v>#VALUE!</v>
      </c>
      <c r="AN14" s="204" t="e">
        <f>IF(D14=".",D14,IF(VLOOKUP($AL14&amp;D$1+D9&amp;D14, 工作表1!$C:$V,1,) &gt; 0,D14,"ERROR"))</f>
        <v>#VALUE!</v>
      </c>
      <c r="AO14" s="204" t="e">
        <f>IF(E14=".",E14,IF(VLOOKUP($AL14&amp;E$1+E9&amp;E14, 工作表1!$C:$V,1,) &gt; 0,E14,"ERROR"))</f>
        <v>#VALUE!</v>
      </c>
      <c r="AP14" s="204" t="e">
        <f>IF(F14=".",F14,IF(VLOOKUP($AL14&amp;F$1+F9&amp;F14, 工作表1!$C:$V,1,) &gt; 0,F14,"ERROR"))</f>
        <v>#VALUE!</v>
      </c>
      <c r="AQ14" s="204" t="e">
        <f>IF(G14=".",G14,IF(VLOOKUP($AL14&amp;G$1+G9&amp;G14, 工作表1!$C:$V,1,) &gt; 0,G14,"ERROR"))</f>
        <v>#VALUE!</v>
      </c>
      <c r="AR14" s="204" t="e">
        <f>IF(H14=".",H14,IF(VLOOKUP($AL14&amp;H$1+H9&amp;H14, 工作表1!$C:$V,1,) &gt; 0,H14,"ERROR"))</f>
        <v>#VALUE!</v>
      </c>
      <c r="AS14" s="204" t="e">
        <f>IF(I14=".",I14,IF(VLOOKUP($AL14&amp;I$1+I9&amp;I14, 工作表1!$C:$V,1,) &gt; 0,I14,"ERROR"))</f>
        <v>#VALUE!</v>
      </c>
      <c r="AT14" s="204" t="e">
        <f>IF(J14=".",J14,IF(VLOOKUP($AL14&amp;J$1+J9&amp;J14, 工作表1!$C:$V,1,) &gt; 0,J14,"ERROR"))</f>
        <v>#VALUE!</v>
      </c>
      <c r="AU14" s="204" t="e">
        <f>IF(K14=".",K14,IF(VLOOKUP($AL14&amp;K$1+K9&amp;K14, 工作表1!$C:$V,1,) &gt; 0,K14,"ERROR"))</f>
        <v>#VALUE!</v>
      </c>
      <c r="AV14" s="204" t="e">
        <f>IF(L14=".",L14,IF(VLOOKUP($AL14&amp;L$1+L9&amp;L14, 工作表1!$C:$V,1,) &gt; 0,L14,"ERROR"))</f>
        <v>#VALUE!</v>
      </c>
      <c r="AW14" s="204" t="e">
        <f>IF(M14=".",M14,IF(VLOOKUP($AL14&amp;M$1+M9&amp;M14, 工作表1!$C:$V,1,) &gt; 0,M14,"ERROR"))</f>
        <v>#VALUE!</v>
      </c>
      <c r="AX14" s="204" t="e">
        <f>IF(N14=".",N14,IF(VLOOKUP($AL14&amp;N$1+N9&amp;N14, 工作表1!$C:$V,1,) &gt; 0,N14,"ERROR"))</f>
        <v>#VALUE!</v>
      </c>
      <c r="AY14" s="204" t="e">
        <f>IF(O14=".",O14,IF(VLOOKUP($AL14&amp;O$1+O9&amp;O14, 工作表1!$C:$V,1,) &gt; 0,O14,"ERROR"))</f>
        <v>#VALUE!</v>
      </c>
      <c r="AZ14" s="204" t="e">
        <f>IF(P14=".",P14,IF(VLOOKUP($AL14&amp;P$1+P9&amp;P14, 工作表1!$C:$V,1,) &gt; 0,P14,"ERROR"))</f>
        <v>#VALUE!</v>
      </c>
      <c r="BA14" s="204" t="e">
        <f>IF(Q14=".",Q14,IF(VLOOKUP($AL14&amp;Q$1+Q9&amp;Q14, 工作表1!$C:$V,1,) &gt; 0,Q14,"ERROR"))</f>
        <v>#VALUE!</v>
      </c>
      <c r="BB14" s="204" t="e">
        <f>IF(R14=".",R14,IF(VLOOKUP($AL14&amp;R$1+R9&amp;R14, 工作表1!$C:$V,1,) &gt; 0,R14,"ERROR"))</f>
        <v>#VALUE!</v>
      </c>
      <c r="BC14" s="204" t="e">
        <f>IF(S14=".",S14,IF(VLOOKUP($AL14&amp;S$1+S9&amp;S14, 工作表1!$C:$V,1,) &gt; 0,S14,"ERROR"))</f>
        <v>#VALUE!</v>
      </c>
      <c r="BD14" s="204" t="e">
        <f>IF(T14=".",T14,IF(VLOOKUP($AL14&amp;T$1+T9&amp;T14, 工作表1!$C:$V,1,) &gt; 0,T14,"ERROR"))</f>
        <v>#VALUE!</v>
      </c>
      <c r="BE14" s="204" t="e">
        <f>IF(U14=".",U14,IF(VLOOKUP($AL14&amp;U$1+U9&amp;U14, 工作表1!$C:$V,1,) &gt; 0,U14,"ERROR"))</f>
        <v>#VALUE!</v>
      </c>
      <c r="BF14" s="204" t="e">
        <f>IF(V14=".",V14,IF(VLOOKUP($AL14&amp;V$1+V9&amp;V14, 工作表1!$C:$V,1,) &gt; 0,V14,"ERROR"))</f>
        <v>#VALUE!</v>
      </c>
      <c r="BG14" s="204" t="e">
        <f>IF(W14=".",W14,IF(VLOOKUP($AL14&amp;W$1+W9&amp;W14, 工作表1!$C:$V,1,) &gt; 0,W14,"ERROR"))</f>
        <v>#VALUE!</v>
      </c>
      <c r="BH14" s="204" t="e">
        <f>IF(X14=".",X14,IF(VLOOKUP($AL14&amp;X$1+X9&amp;X14, 工作表1!$C:$V,1,) &gt; 0,X14,"ERROR"))</f>
        <v>#VALUE!</v>
      </c>
      <c r="BI14" s="204" t="e">
        <f>IF(Y14=".",Y14,IF(VLOOKUP($AL14&amp;Y$1+Y9&amp;Y14, 工作表1!$C:$V,1,) &gt; 0,Y14,"ERROR"))</f>
        <v>#VALUE!</v>
      </c>
      <c r="BJ14" s="204" t="e">
        <f>IF(Z14=".",Z14,IF(VLOOKUP($AL14&amp;Z$1+Z9&amp;Z14, 工作表1!$C:$V,1,) &gt; 0,Z14,"ERROR"))</f>
        <v>#VALUE!</v>
      </c>
      <c r="BK14" s="204" t="e">
        <f>IF(AA14=".",AA14,IF(VLOOKUP($AL14&amp;AA$1+AA9&amp;AA14, 工作表1!$C:$V,1,) &gt; 0,AA14,"ERROR"))</f>
        <v>#VALUE!</v>
      </c>
      <c r="BL14" s="204" t="e">
        <f>IF(AB14=".",AB14,IF(VLOOKUP($AL14&amp;AB$1+AB9&amp;AB14, 工作表1!$C:$V,1,) &gt; 0,AB14,"ERROR"))</f>
        <v>#VALUE!</v>
      </c>
      <c r="BM14" s="204" t="e">
        <f>IF(AC14=".",AC14,IF(VLOOKUP($AL14&amp;AC$1+AC9&amp;AC14, 工作表1!$C:$V,1,) &gt; 0,AC14,"ERROR"))</f>
        <v>#VALUE!</v>
      </c>
      <c r="BN14" s="204" t="e">
        <f>IF(AD14=".",AD14,IF(VLOOKUP($AL14&amp;AD$1+AD9&amp;AD14, 工作表1!$C:$V,1,) &gt; 0,AD14,"ERROR"))</f>
        <v>#VALUE!</v>
      </c>
      <c r="BO14" s="204" t="e">
        <f>IF(AE14=".",AE14,IF(VLOOKUP($AL14&amp;AE$1+AE9&amp;AE14, 工作表1!$C:$V,1,) &gt; 0,AE14,"ERROR"))</f>
        <v>#VALUE!</v>
      </c>
      <c r="BP14" s="204" t="e">
        <f>IF(AF14=".",AF14,IF(VLOOKUP($AL14&amp;AF$1+AF9&amp;AF14, 工作表1!$C:$V,1,) &gt; 0,AF14,"ERROR"))</f>
        <v>#VALUE!</v>
      </c>
      <c r="BQ14" s="204" t="e">
        <f>IF(AG14=".",AG14,IF(VLOOKUP($AL14&amp;AG$1+AG9&amp;AG14, 工作表1!$C:$V,1,) &gt; 0,AG14,"ERROR"))</f>
        <v>#VALUE!</v>
      </c>
      <c r="BR14" s="204" t="e">
        <f>IF(#REF!=".",#REF!,IF(VLOOKUP($AL14&amp;#REF!+#REF!&amp;#REF!, 工作表1!$C:$V,1,) &gt; 0,#REF!,"ERROR"))</f>
        <v>#REF!</v>
      </c>
      <c r="BS14" s="204" t="e">
        <f>IF(#REF!=".",#REF!,IF(VLOOKUP($AL14&amp;#REF!+#REF!&amp;#REF!, 工作表1!$C:$V,1,) &gt; 0,#REF!,"ERROR"))</f>
        <v>#REF!</v>
      </c>
    </row>
    <row r="15" spans="1:71">
      <c r="A15" t="str" cm="1">
        <f t="array" ref="A15">_xlfn.LET(
    _xlpm.data, C15:AG15,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Carol</v>
      </c>
      <c r="B15" s="196" t="str">
        <v>SW Wing On</v>
      </c>
      <c r="C15" s="202" t="str" cm="1">
        <f t="array" ref="C1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=$B15), ""),
   IF(_xlpm.filtered="", "", _xlpm.filtered)
)</f>
        <v/>
      </c>
      <c r="D15" s="202" t="str" cm="1">
        <f t="array" ref="D1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=$B15), ""),
   IF(_xlpm.filtered="", "", _xlpm.filtered)
)</f>
        <v/>
      </c>
      <c r="E15" s="202" t="str" cm="1">
        <f t="array" ref="E1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=$B15), ""),
   IF(_xlpm.filtered="", "", _xlpm.filtered)
)</f>
        <v>Carol</v>
      </c>
      <c r="F15" s="202" t="str" cm="1">
        <f t="array" ref="F1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=$B15), ""),
   IF(_xlpm.filtered="", "", _xlpm.filtered)
)</f>
        <v>Hazel</v>
      </c>
      <c r="G15" s="202" t="str" cm="1">
        <f t="array" ref="G1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=$B15), ""),
   IF(_xlpm.filtered="", "", _xlpm.filtered)
)</f>
        <v>Hazel</v>
      </c>
      <c r="H15" s="202" t="str" cm="1">
        <f t="array" ref="H1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=$B15), ""),
   IF(_xlpm.filtered="", "", _xlpm.filtered)
)</f>
        <v>Hazel</v>
      </c>
      <c r="I15" s="202" t="str" cm="1">
        <f t="array" ref="I1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=$B15), ""),
   IF(_xlpm.filtered="", "", _xlpm.filtered)
)</f>
        <v/>
      </c>
      <c r="J15" s="202" t="str" cm="1">
        <f t="array" ref="J1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=$B15), ""),
   IF(_xlpm.filtered="", "", _xlpm.filtered)
)</f>
        <v/>
      </c>
      <c r="K15" s="202" t="str" cm="1">
        <f t="array" ref="K1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=$B15), ""),
   IF(_xlpm.filtered="", "", _xlpm.filtered)
)</f>
        <v>Hazel</v>
      </c>
      <c r="L15" s="202" t="str" cm="1">
        <f t="array" ref="L1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=$B15), ""),
   IF(_xlpm.filtered="", "", _xlpm.filtered)
)</f>
        <v>Hazel</v>
      </c>
      <c r="M15" s="202" t="str" cm="1">
        <f t="array" ref="M1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=$B15), ""),
   IF(_xlpm.filtered="", "", _xlpm.filtered)
)</f>
        <v>Hazel</v>
      </c>
      <c r="N15" s="202" t="str" cm="1">
        <f t="array" ref="N1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=$B15), ""),
   IF(_xlpm.filtered="", "", _xlpm.filtered)
)</f>
        <v>Hazel</v>
      </c>
      <c r="O15" s="202" t="str" cm="1">
        <f t="array" ref="O1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=$B15), ""),
   IF(_xlpm.filtered="", "", _xlpm.filtered)
)</f>
        <v>Hazel</v>
      </c>
      <c r="P15" s="202" t="str" cm="1">
        <f t="array" ref="P1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=$B15), ""),
   IF(_xlpm.filtered="", "", _xlpm.filtered)
)</f>
        <v>Hazel</v>
      </c>
      <c r="Q15" s="202" t="str" cm="1">
        <f t="array" ref="Q1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=$B15), ""),
   IF(_xlpm.filtered="", "", _xlpm.filtered)
)</f>
        <v>Hazel</v>
      </c>
      <c r="R15" s="202" t="str" cm="1">
        <f t="array" ref="R1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=$B15), ""),
   IF(_xlpm.filtered="", "", _xlpm.filtered)
)</f>
        <v>Hazel</v>
      </c>
      <c r="S15" s="202" t="str" cm="1">
        <f t="array" ref="S1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=$B15), ""),
   IF(_xlpm.filtered="", "", _xlpm.filtered)
)</f>
        <v>Hazel</v>
      </c>
      <c r="T15" s="202" t="str" cm="1">
        <f t="array" ref="T1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=$B15), ""),
   IF(_xlpm.filtered="", "", _xlpm.filtered)
)</f>
        <v>Carol</v>
      </c>
      <c r="U15" s="202" t="str" cm="1">
        <f t="array" ref="U1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=$B15), ""),
   IF(_xlpm.filtered="", "", _xlpm.filtered)
)</f>
        <v>Carol</v>
      </c>
      <c r="V15" s="202" t="str" cm="1">
        <f t="array" ref="V1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=$B15), ""),
   IF(_xlpm.filtered="", "", _xlpm.filtered)
)</f>
        <v>Hazel</v>
      </c>
      <c r="W15" s="202" t="str" cm="1">
        <f t="array" ref="W1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=$B15), ""),
   IF(_xlpm.filtered="", "", _xlpm.filtered)
)</f>
        <v>Hazel</v>
      </c>
      <c r="X15" s="202" t="str" cm="1">
        <f t="array" ref="X1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=$B15), ""),
   IF(_xlpm.filtered="", "", _xlpm.filtered)
)</f>
        <v>Hazel</v>
      </c>
      <c r="Y15" s="202" t="str" cm="1">
        <f t="array" ref="Y1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=$B15), ""),
   IF(_xlpm.filtered="", "", _xlpm.filtered)
)</f>
        <v>Hazel</v>
      </c>
      <c r="Z15" s="202" t="str" cm="1">
        <f t="array" ref="Z1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=$B15), ""),
   IF(_xlpm.filtered="", "", _xlpm.filtered)
)</f>
        <v>Hazel</v>
      </c>
      <c r="AA15" s="202" t="str" cm="1">
        <f t="array" ref="AA1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=$B15), ""),
   IF(_xlpm.filtered="", "", _xlpm.filtered)
)</f>
        <v>Carol</v>
      </c>
      <c r="AB15" s="202" t="str" cm="1">
        <f t="array" ref="AB1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=$B15), ""),
   IF(_xlpm.filtered="", "", _xlpm.filtered)
)</f>
        <v>Hazel</v>
      </c>
      <c r="AC15" s="202" t="str" cm="1">
        <f t="array" ref="AC1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=$B15), ""),
   IF(_xlpm.filtered="", "", _xlpm.filtered)
)</f>
        <v>Hazel</v>
      </c>
      <c r="AD15" s="202" t="str" cm="1">
        <f t="array" ref="AD1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=$B15), ""),
   IF(_xlpm.filtered="", "", _xlpm.filtered)
)</f>
        <v>Hazel</v>
      </c>
      <c r="AE15" s="202" t="str" cm="1">
        <f t="array" ref="AE1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=$B15), ""),
   IF(_xlpm.filtered="", "", _xlpm.filtered)
)</f>
        <v>Hazel</v>
      </c>
      <c r="AF15" s="202" t="str" cm="1">
        <f t="array" ref="AF1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=$B15), ""),
   IF(_xlpm.filtered="", "", _xlpm.filtered)
)</f>
        <v/>
      </c>
      <c r="AG15" s="202" t="str" cm="1">
        <f t="array" ref="AG1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=$B15), ""),
   IF(_xlpm.filtered="", "", _xlpm.filtered)
)</f>
        <v/>
      </c>
      <c r="AH15" s="203">
        <f t="shared" si="33"/>
        <v>25</v>
      </c>
      <c r="AI15" s="203">
        <f t="shared" si="34"/>
        <v>200</v>
      </c>
      <c r="AJ15" s="193"/>
      <c r="AL15" s="197" t="str">
        <f t="shared" si="35"/>
        <v>SW Wing On</v>
      </c>
      <c r="AM15" s="204" t="e">
        <f>IF(C15=".",C15,IF(VLOOKUP($AL15&amp;C$1+C10&amp;C15, 工作表1!$C:$V,1,) &gt; 0,C15,"ERROR"))</f>
        <v>#VALUE!</v>
      </c>
      <c r="AN15" s="204" t="e">
        <f>IF(D15=".",D15,IF(VLOOKUP($AL15&amp;D$1+D10&amp;D15, 工作表1!$C:$V,1,) &gt; 0,D15,"ERROR"))</f>
        <v>#VALUE!</v>
      </c>
      <c r="AO15" s="204" t="e">
        <f>IF(E15=".",E15,IF(VLOOKUP($AL15&amp;E$1+E10&amp;E15, 工作表1!$C:$V,1,) &gt; 0,E15,"ERROR"))</f>
        <v>#VALUE!</v>
      </c>
      <c r="AP15" s="204" t="e">
        <f>IF(F15=".",F15,IF(VLOOKUP($AL15&amp;F$1+F10&amp;F15, 工作表1!$C:$V,1,) &gt; 0,F15,"ERROR"))</f>
        <v>#VALUE!</v>
      </c>
      <c r="AQ15" s="204" t="e">
        <f>IF(G15=".",G15,IF(VLOOKUP($AL15&amp;G$1+G10&amp;G15, 工作表1!$C:$V,1,) &gt; 0,G15,"ERROR"))</f>
        <v>#VALUE!</v>
      </c>
      <c r="AR15" s="204" t="e">
        <f>IF(H15=".",H15,IF(VLOOKUP($AL15&amp;H$1+H10&amp;H15, 工作表1!$C:$V,1,) &gt; 0,H15,"ERROR"))</f>
        <v>#VALUE!</v>
      </c>
      <c r="AS15" s="204" t="e">
        <f>IF(I15=".",I15,IF(VLOOKUP($AL15&amp;I$1+I10&amp;I15, 工作表1!$C:$V,1,) &gt; 0,I15,"ERROR"))</f>
        <v>#VALUE!</v>
      </c>
      <c r="AT15" s="204" t="e">
        <f>IF(J15=".",J15,IF(VLOOKUP($AL15&amp;J$1+J10&amp;J15, 工作表1!$C:$V,1,) &gt; 0,J15,"ERROR"))</f>
        <v>#VALUE!</v>
      </c>
      <c r="AU15" s="204" t="e">
        <f>IF(K15=".",K15,IF(VLOOKUP($AL15&amp;K$1+K10&amp;K15, 工作表1!$C:$V,1,) &gt; 0,K15,"ERROR"))</f>
        <v>#VALUE!</v>
      </c>
      <c r="AV15" s="204" t="e">
        <f>IF(L15=".",L15,IF(VLOOKUP($AL15&amp;L$1+L10&amp;L15, 工作表1!$C:$V,1,) &gt; 0,L15,"ERROR"))</f>
        <v>#VALUE!</v>
      </c>
      <c r="AW15" s="204" t="e">
        <f>IF(M15=".",M15,IF(VLOOKUP($AL15&amp;M$1+M10&amp;M15, 工作表1!$C:$V,1,) &gt; 0,M15,"ERROR"))</f>
        <v>#VALUE!</v>
      </c>
      <c r="AX15" s="204" t="e">
        <f>IF(N15=".",N15,IF(VLOOKUP($AL15&amp;N$1+N10&amp;N15, 工作表1!$C:$V,1,) &gt; 0,N15,"ERROR"))</f>
        <v>#VALUE!</v>
      </c>
      <c r="AY15" s="204" t="e">
        <f>IF(O15=".",O15,IF(VLOOKUP($AL15&amp;O$1+O10&amp;O15, 工作表1!$C:$V,1,) &gt; 0,O15,"ERROR"))</f>
        <v>#VALUE!</v>
      </c>
      <c r="AZ15" s="204" t="e">
        <f>IF(P15=".",P15,IF(VLOOKUP($AL15&amp;P$1+P10&amp;P15, 工作表1!$C:$V,1,) &gt; 0,P15,"ERROR"))</f>
        <v>#VALUE!</v>
      </c>
      <c r="BA15" s="204" t="e">
        <f>IF(Q15=".",Q15,IF(VLOOKUP($AL15&amp;Q$1+Q10&amp;Q15, 工作表1!$C:$V,1,) &gt; 0,Q15,"ERROR"))</f>
        <v>#VALUE!</v>
      </c>
      <c r="BB15" s="204" t="e">
        <f>IF(R15=".",R15,IF(VLOOKUP($AL15&amp;R$1+R10&amp;R15, 工作表1!$C:$V,1,) &gt; 0,R15,"ERROR"))</f>
        <v>#VALUE!</v>
      </c>
      <c r="BC15" s="204" t="e">
        <f>IF(S15=".",S15,IF(VLOOKUP($AL15&amp;S$1+S10&amp;S15, 工作表1!$C:$V,1,) &gt; 0,S15,"ERROR"))</f>
        <v>#VALUE!</v>
      </c>
      <c r="BD15" s="204" t="e">
        <f>IF(T15=".",T15,IF(VLOOKUP($AL15&amp;T$1+T10&amp;T15, 工作表1!$C:$V,1,) &gt; 0,T15,"ERROR"))</f>
        <v>#VALUE!</v>
      </c>
      <c r="BE15" s="204" t="e">
        <f>IF(U15=".",U15,IF(VLOOKUP($AL15&amp;U$1+U10&amp;U15, 工作表1!$C:$V,1,) &gt; 0,U15,"ERROR"))</f>
        <v>#VALUE!</v>
      </c>
      <c r="BF15" s="204" t="e">
        <f>IF(V15=".",V15,IF(VLOOKUP($AL15&amp;V$1+V10&amp;V15, 工作表1!$C:$V,1,) &gt; 0,V15,"ERROR"))</f>
        <v>#VALUE!</v>
      </c>
      <c r="BG15" s="204" t="e">
        <f>IF(W15=".",W15,IF(VLOOKUP($AL15&amp;W$1+W10&amp;W15, 工作表1!$C:$V,1,) &gt; 0,W15,"ERROR"))</f>
        <v>#VALUE!</v>
      </c>
      <c r="BH15" s="204" t="e">
        <f>IF(X15=".",X15,IF(VLOOKUP($AL15&amp;X$1+X10&amp;X15, 工作表1!$C:$V,1,) &gt; 0,X15,"ERROR"))</f>
        <v>#VALUE!</v>
      </c>
      <c r="BI15" s="204" t="e">
        <f>IF(Y15=".",Y15,IF(VLOOKUP($AL15&amp;Y$1+Y10&amp;Y15, 工作表1!$C:$V,1,) &gt; 0,Y15,"ERROR"))</f>
        <v>#VALUE!</v>
      </c>
      <c r="BJ15" s="204" t="e">
        <f>IF(Z15=".",Z15,IF(VLOOKUP($AL15&amp;Z$1+Z10&amp;Z15, 工作表1!$C:$V,1,) &gt; 0,Z15,"ERROR"))</f>
        <v>#VALUE!</v>
      </c>
      <c r="BK15" s="204" t="e">
        <f>IF(AA15=".",AA15,IF(VLOOKUP($AL15&amp;AA$1+AA10&amp;AA15, 工作表1!$C:$V,1,) &gt; 0,AA15,"ERROR"))</f>
        <v>#VALUE!</v>
      </c>
      <c r="BL15" s="204" t="e">
        <f>IF(AB15=".",AB15,IF(VLOOKUP($AL15&amp;AB$1+AB10&amp;AB15, 工作表1!$C:$V,1,) &gt; 0,AB15,"ERROR"))</f>
        <v>#VALUE!</v>
      </c>
      <c r="BM15" s="204" t="e">
        <f>IF(AC15=".",AC15,IF(VLOOKUP($AL15&amp;AC$1+AC10&amp;AC15, 工作表1!$C:$V,1,) &gt; 0,AC15,"ERROR"))</f>
        <v>#VALUE!</v>
      </c>
      <c r="BN15" s="204" t="e">
        <f>IF(AD15=".",AD15,IF(VLOOKUP($AL15&amp;AD$1+AD10&amp;AD15, 工作表1!$C:$V,1,) &gt; 0,AD15,"ERROR"))</f>
        <v>#VALUE!</v>
      </c>
      <c r="BO15" s="204" t="e">
        <f>IF(AE15=".",AE15,IF(VLOOKUP($AL15&amp;AE$1+AE10&amp;AE15, 工作表1!$C:$V,1,) &gt; 0,AE15,"ERROR"))</f>
        <v>#VALUE!</v>
      </c>
      <c r="BP15" s="204" t="e">
        <f>IF(AF15=".",AF15,IF(VLOOKUP($AL15&amp;AF$1+AF10&amp;AF15, 工作表1!$C:$V,1,) &gt; 0,AF15,"ERROR"))</f>
        <v>#VALUE!</v>
      </c>
      <c r="BQ15" s="204" t="e">
        <f>IF(AG15=".",AG15,IF(VLOOKUP($AL15&amp;AG$1+AG10&amp;AG15, 工作表1!$C:$V,1,) &gt; 0,AG15,"ERROR"))</f>
        <v>#VALUE!</v>
      </c>
      <c r="BR15" s="204" t="e">
        <f>IF(#REF!=".",#REF!,IF(VLOOKUP($AL15&amp;#REF!+#REF!&amp;#REF!, 工作表1!$C:$V,1,) &gt; 0,#REF!,"ERROR"))</f>
        <v>#REF!</v>
      </c>
      <c r="BS15" s="204" t="e">
        <f>IF(#REF!=".",#REF!,IF(VLOOKUP($AL15&amp;#REF!+#REF!&amp;#REF!, 工作表1!$C:$V,1,) &gt; 0,#REF!,"ERROR"))</f>
        <v>#REF!</v>
      </c>
    </row>
    <row r="16" spans="1:71">
      <c r="A16" t="str" cm="1">
        <f t="array" ref="A16">_xlfn.LET(
    _xlpm.data, C16:AG16,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Joe</v>
      </c>
      <c r="B16" s="196" t="str">
        <v>Tai Po Yata</v>
      </c>
      <c r="C16" s="202" t="str" cm="1">
        <f t="array" ref="C1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=$B16), ""),
   IF(_xlpm.filtered="", "", _xlpm.filtered)
)</f>
        <v/>
      </c>
      <c r="D16" s="202" t="str" cm="1">
        <f t="array" ref="D1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=$B16), ""),
   IF(_xlpm.filtered="", "", _xlpm.filtered)
)</f>
        <v/>
      </c>
      <c r="E16" s="202" t="str" cm="1">
        <f t="array" ref="E1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=$B16), ""),
   IF(_xlpm.filtered="", "", _xlpm.filtered)
)</f>
        <v/>
      </c>
      <c r="F16" s="202" t="str" cm="1">
        <f t="array" ref="F1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=$B16), ""),
   IF(_xlpm.filtered="", "", _xlpm.filtered)
)</f>
        <v/>
      </c>
      <c r="G16" s="202" t="str" cm="1">
        <f t="array" ref="G1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=$B16), ""),
   IF(_xlpm.filtered="", "", _xlpm.filtered)
)</f>
        <v>Joe</v>
      </c>
      <c r="H16" s="202" t="str" cm="1">
        <f t="array" ref="H1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=$B16), ""),
   IF(_xlpm.filtered="", "", _xlpm.filtered)
)</f>
        <v>Joe</v>
      </c>
      <c r="I16" s="202" t="str" cm="1">
        <f t="array" ref="I1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=$B16), ""),
   IF(_xlpm.filtered="", "", _xlpm.filtered)
)</f>
        <v>Joe</v>
      </c>
      <c r="J16" s="202" t="str" cm="1">
        <f t="array" ref="J1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=$B16), ""),
   IF(_xlpm.filtered="", "", _xlpm.filtered)
)</f>
        <v/>
      </c>
      <c r="K16" s="202" t="str" cm="1">
        <f t="array" ref="K1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=$B16), ""),
   IF(_xlpm.filtered="", "", _xlpm.filtered)
)</f>
        <v/>
      </c>
      <c r="L16" s="202" t="str" cm="1">
        <f t="array" ref="L1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=$B16), ""),
   IF(_xlpm.filtered="", "", _xlpm.filtered)
)</f>
        <v/>
      </c>
      <c r="M16" s="202" t="str" cm="1">
        <f t="array" ref="M1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=$B16), ""),
   IF(_xlpm.filtered="", "", _xlpm.filtered)
)</f>
        <v/>
      </c>
      <c r="N16" s="202" t="str" cm="1">
        <f t="array" ref="N1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=$B16), ""),
   IF(_xlpm.filtered="", "", _xlpm.filtered)
)</f>
        <v>Joe</v>
      </c>
      <c r="O16" s="202" t="str" cm="1">
        <f t="array" ref="O1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=$B16), ""),
   IF(_xlpm.filtered="", "", _xlpm.filtered)
)</f>
        <v>Joe</v>
      </c>
      <c r="P16" s="202" t="str" cm="1">
        <f t="array" ref="P1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=$B16), ""),
   IF(_xlpm.filtered="", "", _xlpm.filtered)
)</f>
        <v>Joe</v>
      </c>
      <c r="Q16" s="202" t="str" cm="1">
        <f t="array" ref="Q1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=$B16), ""),
   IF(_xlpm.filtered="", "", _xlpm.filtered)
)</f>
        <v/>
      </c>
      <c r="R16" s="202" t="str" cm="1">
        <f t="array" ref="R1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=$B16), ""),
   IF(_xlpm.filtered="", "", _xlpm.filtered)
)</f>
        <v/>
      </c>
      <c r="S16" s="202" t="str" cm="1">
        <f t="array" ref="S1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=$B16), ""),
   IF(_xlpm.filtered="", "", _xlpm.filtered)
)</f>
        <v/>
      </c>
      <c r="T16" s="202" t="str" cm="1">
        <f t="array" ref="T1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=$B16), ""),
   IF(_xlpm.filtered="", "", _xlpm.filtered)
)</f>
        <v/>
      </c>
      <c r="U16" s="202" t="str" cm="1">
        <f t="array" ref="U1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=$B16), ""),
   IF(_xlpm.filtered="", "", _xlpm.filtered)
)</f>
        <v>Joe</v>
      </c>
      <c r="V16" s="202" t="str" cm="1">
        <f t="array" ref="V1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=$B16), ""),
   IF(_xlpm.filtered="", "", _xlpm.filtered)
)</f>
        <v>Joe</v>
      </c>
      <c r="W16" s="202" t="str" cm="1">
        <f t="array" ref="W1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=$B16), ""),
   IF(_xlpm.filtered="", "", _xlpm.filtered)
)</f>
        <v>Joe</v>
      </c>
      <c r="X16" s="202" t="str" cm="1">
        <f t="array" ref="X1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=$B16), ""),
   IF(_xlpm.filtered="", "", _xlpm.filtered)
)</f>
        <v/>
      </c>
      <c r="Y16" s="202" t="str" cm="1">
        <f t="array" ref="Y1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=$B16), ""),
   IF(_xlpm.filtered="", "", _xlpm.filtered)
)</f>
        <v/>
      </c>
      <c r="Z16" s="202" t="str" cm="1">
        <f t="array" ref="Z1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=$B16), ""),
   IF(_xlpm.filtered="", "", _xlpm.filtered)
)</f>
        <v/>
      </c>
      <c r="AA16" s="202" t="str" cm="1">
        <f t="array" ref="AA1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=$B16), ""),
   IF(_xlpm.filtered="", "", _xlpm.filtered)
)</f>
        <v/>
      </c>
      <c r="AB16" s="202" t="str" cm="1">
        <f t="array" ref="AB1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=$B16), ""),
   IF(_xlpm.filtered="", "", _xlpm.filtered)
)</f>
        <v>Joe</v>
      </c>
      <c r="AC16" s="202" t="str" cm="1">
        <f t="array" ref="AC1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=$B16), ""),
   IF(_xlpm.filtered="", "", _xlpm.filtered)
)</f>
        <v>Joe</v>
      </c>
      <c r="AD16" s="202" t="str" cm="1">
        <f t="array" ref="AD1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=$B16), ""),
   IF(_xlpm.filtered="", "", _xlpm.filtered)
)</f>
        <v>Joe</v>
      </c>
      <c r="AE16" s="202" t="str" cm="1">
        <f t="array" ref="AE1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=$B16), ""),
   IF(_xlpm.filtered="", "", _xlpm.filtered)
)</f>
        <v/>
      </c>
      <c r="AF16" s="202" t="str" cm="1">
        <f t="array" ref="AF1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=$B16), ""),
   IF(_xlpm.filtered="", "", _xlpm.filtered)
)</f>
        <v/>
      </c>
      <c r="AG16" s="202" t="str" cm="1">
        <f t="array" ref="AG1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=$B16), ""),
   IF(_xlpm.filtered="", "", _xlpm.filtered)
)</f>
        <v/>
      </c>
      <c r="AH16" s="203">
        <f t="shared" si="33"/>
        <v>12</v>
      </c>
      <c r="AI16" s="203">
        <f t="shared" si="34"/>
        <v>96</v>
      </c>
      <c r="AJ16" s="193"/>
      <c r="AL16" s="197" t="str">
        <f t="shared" si="35"/>
        <v>Tai Po Yata</v>
      </c>
      <c r="AM16" s="204" t="e">
        <f>IF(C16=".",C16,IF(VLOOKUP($AL16&amp;C$1+C11&amp;C16, 工作表1!$C:$V,1,) &gt; 0,C16,"ERROR"))</f>
        <v>#VALUE!</v>
      </c>
      <c r="AN16" s="204" t="e">
        <f>IF(D16=".",D16,IF(VLOOKUP($AL16&amp;D$1+D11&amp;D16, 工作表1!$C:$V,1,) &gt; 0,D16,"ERROR"))</f>
        <v>#VALUE!</v>
      </c>
      <c r="AO16" s="204" t="e">
        <f>IF(E16=".",E16,IF(VLOOKUP($AL16&amp;E$1+E11&amp;E16, 工作表1!$C:$V,1,) &gt; 0,E16,"ERROR"))</f>
        <v>#VALUE!</v>
      </c>
      <c r="AP16" s="204" t="e">
        <f>IF(F16=".",F16,IF(VLOOKUP($AL16&amp;F$1+F11&amp;F16, 工作表1!$C:$V,1,) &gt; 0,F16,"ERROR"))</f>
        <v>#VALUE!</v>
      </c>
      <c r="AQ16" s="204" t="e">
        <f>IF(G16=".",G16,IF(VLOOKUP($AL16&amp;G$1+G11&amp;G16, 工作表1!$C:$V,1,) &gt; 0,G16,"ERROR"))</f>
        <v>#VALUE!</v>
      </c>
      <c r="AR16" s="204" t="e">
        <f>IF(H16=".",H16,IF(VLOOKUP($AL16&amp;H$1+H11&amp;H16, 工作表1!$C:$V,1,) &gt; 0,H16,"ERROR"))</f>
        <v>#VALUE!</v>
      </c>
      <c r="AS16" s="204" t="e">
        <f>IF(I16=".",I16,IF(VLOOKUP($AL16&amp;I$1+I11&amp;I16, 工作表1!$C:$V,1,) &gt; 0,I16,"ERROR"))</f>
        <v>#VALUE!</v>
      </c>
      <c r="AT16" s="204" t="e">
        <f>IF(J16=".",J16,IF(VLOOKUP($AL16&amp;J$1+J11&amp;J16, 工作表1!$C:$V,1,) &gt; 0,J16,"ERROR"))</f>
        <v>#VALUE!</v>
      </c>
      <c r="AU16" s="204" t="e">
        <f>IF(K16=".",K16,IF(VLOOKUP($AL16&amp;K$1+K11&amp;K16, 工作表1!$C:$V,1,) &gt; 0,K16,"ERROR"))</f>
        <v>#VALUE!</v>
      </c>
      <c r="AV16" s="204" t="e">
        <f>IF(L16=".",L16,IF(VLOOKUP($AL16&amp;L$1+L11&amp;L16, 工作表1!$C:$V,1,) &gt; 0,L16,"ERROR"))</f>
        <v>#VALUE!</v>
      </c>
      <c r="AW16" s="204" t="e">
        <f>IF(M16=".",M16,IF(VLOOKUP($AL16&amp;M$1+M11&amp;M16, 工作表1!$C:$V,1,) &gt; 0,M16,"ERROR"))</f>
        <v>#VALUE!</v>
      </c>
      <c r="AX16" s="204" t="e">
        <f>IF(N16=".",N16,IF(VLOOKUP($AL16&amp;N$1+N11&amp;N16, 工作表1!$C:$V,1,) &gt; 0,N16,"ERROR"))</f>
        <v>#VALUE!</v>
      </c>
      <c r="AY16" s="204" t="e">
        <f>IF(O16=".",O16,IF(VLOOKUP($AL16&amp;O$1+O11&amp;O16, 工作表1!$C:$V,1,) &gt; 0,O16,"ERROR"))</f>
        <v>#VALUE!</v>
      </c>
      <c r="AZ16" s="204" t="e">
        <f>IF(P16=".",P16,IF(VLOOKUP($AL16&amp;P$1+P11&amp;P16, 工作表1!$C:$V,1,) &gt; 0,P16,"ERROR"))</f>
        <v>#VALUE!</v>
      </c>
      <c r="BA16" s="204" t="e">
        <f>IF(Q16=".",Q16,IF(VLOOKUP($AL16&amp;Q$1+Q11&amp;Q16, 工作表1!$C:$V,1,) &gt; 0,Q16,"ERROR"))</f>
        <v>#VALUE!</v>
      </c>
      <c r="BB16" s="204" t="e">
        <f>IF(R16=".",R16,IF(VLOOKUP($AL16&amp;R$1+R11&amp;R16, 工作表1!$C:$V,1,) &gt; 0,R16,"ERROR"))</f>
        <v>#VALUE!</v>
      </c>
      <c r="BC16" s="204" t="e">
        <f>IF(S16=".",S16,IF(VLOOKUP($AL16&amp;S$1+S11&amp;S16, 工作表1!$C:$V,1,) &gt; 0,S16,"ERROR"))</f>
        <v>#VALUE!</v>
      </c>
      <c r="BD16" s="204" t="e">
        <f>IF(T16=".",T16,IF(VLOOKUP($AL16&amp;T$1+T11&amp;T16, 工作表1!$C:$V,1,) &gt; 0,T16,"ERROR"))</f>
        <v>#VALUE!</v>
      </c>
      <c r="BE16" s="204" t="e">
        <f>IF(U16=".",U16,IF(VLOOKUP($AL16&amp;U$1+U11&amp;U16, 工作表1!$C:$V,1,) &gt; 0,U16,"ERROR"))</f>
        <v>#VALUE!</v>
      </c>
      <c r="BF16" s="204" t="e">
        <f>IF(V16=".",V16,IF(VLOOKUP($AL16&amp;V$1+V11&amp;V16, 工作表1!$C:$V,1,) &gt; 0,V16,"ERROR"))</f>
        <v>#VALUE!</v>
      </c>
      <c r="BG16" s="204" t="e">
        <f>IF(W16=".",W16,IF(VLOOKUP($AL16&amp;W$1+W11&amp;W16, 工作表1!$C:$V,1,) &gt; 0,W16,"ERROR"))</f>
        <v>#VALUE!</v>
      </c>
      <c r="BH16" s="204" t="e">
        <f>IF(X16=".",X16,IF(VLOOKUP($AL16&amp;X$1+X11&amp;X16, 工作表1!$C:$V,1,) &gt; 0,X16,"ERROR"))</f>
        <v>#VALUE!</v>
      </c>
      <c r="BI16" s="204" t="e">
        <f>IF(Y16=".",Y16,IF(VLOOKUP($AL16&amp;Y$1+Y11&amp;Y16, 工作表1!$C:$V,1,) &gt; 0,Y16,"ERROR"))</f>
        <v>#VALUE!</v>
      </c>
      <c r="BJ16" s="204" t="e">
        <f>IF(Z16=".",Z16,IF(VLOOKUP($AL16&amp;Z$1+Z11&amp;Z16, 工作表1!$C:$V,1,) &gt; 0,Z16,"ERROR"))</f>
        <v>#VALUE!</v>
      </c>
      <c r="BK16" s="204" t="e">
        <f>IF(AA16=".",AA16,IF(VLOOKUP($AL16&amp;AA$1+AA11&amp;AA16, 工作表1!$C:$V,1,) &gt; 0,AA16,"ERROR"))</f>
        <v>#VALUE!</v>
      </c>
      <c r="BL16" s="204" t="e">
        <f>IF(AB16=".",AB16,IF(VLOOKUP($AL16&amp;AB$1+AB11&amp;AB16, 工作表1!$C:$V,1,) &gt; 0,AB16,"ERROR"))</f>
        <v>#VALUE!</v>
      </c>
      <c r="BM16" s="204" t="e">
        <f>IF(AC16=".",AC16,IF(VLOOKUP($AL16&amp;AC$1+AC11&amp;AC16, 工作表1!$C:$V,1,) &gt; 0,AC16,"ERROR"))</f>
        <v>#VALUE!</v>
      </c>
      <c r="BN16" s="204" t="e">
        <f>IF(AD16=".",AD16,IF(VLOOKUP($AL16&amp;AD$1+AD11&amp;AD16, 工作表1!$C:$V,1,) &gt; 0,AD16,"ERROR"))</f>
        <v>#VALUE!</v>
      </c>
      <c r="BO16" s="204" t="e">
        <f>IF(AE16=".",AE16,IF(VLOOKUP($AL16&amp;AE$1+AE11&amp;AE16, 工作表1!$C:$V,1,) &gt; 0,AE16,"ERROR"))</f>
        <v>#VALUE!</v>
      </c>
      <c r="BP16" s="204" t="e">
        <f>IF(AF16=".",AF16,IF(VLOOKUP($AL16&amp;AF$1+AF11&amp;AF16, 工作表1!$C:$V,1,) &gt; 0,AF16,"ERROR"))</f>
        <v>#VALUE!</v>
      </c>
      <c r="BQ16" s="204" t="e">
        <f>IF(AG16=".",AG16,IF(VLOOKUP($AL16&amp;AG$1+AG11&amp;AG16, 工作表1!$C:$V,1,) &gt; 0,AG16,"ERROR"))</f>
        <v>#VALUE!</v>
      </c>
      <c r="BR16" s="204" t="e">
        <f>IF(#REF!=".",#REF!,IF(VLOOKUP($AL16&amp;#REF!+#REF!&amp;#REF!, 工作表1!$C:$V,1,) &gt; 0,#REF!,"ERROR"))</f>
        <v>#REF!</v>
      </c>
      <c r="BS16" s="204" t="e">
        <f>IF(#REF!=".",#REF!,IF(VLOOKUP($AL16&amp;#REF!+#REF!&amp;#REF!, 工作表1!$C:$V,1,) &gt; 0,#REF!,"ERROR"))</f>
        <v>#REF!</v>
      </c>
    </row>
    <row r="17" spans="1:71">
      <c r="A17" t="str" cm="1">
        <f t="array" ref="A17">_xlfn.LET(
    _xlpm.data, C17:AG17,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Rebacca</v>
      </c>
      <c r="B17" s="196" t="str">
        <v>Tai Wan Fortress</v>
      </c>
      <c r="C17" s="202" t="str" cm="1">
        <f t="array" ref="C1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=$B17), ""),
   IF(_xlpm.filtered="", "", _xlpm.filtered)
)</f>
        <v/>
      </c>
      <c r="D17" s="202" t="str" cm="1">
        <f t="array" ref="D1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=$B17), ""),
   IF(_xlpm.filtered="", "", _xlpm.filtered)
)</f>
        <v/>
      </c>
      <c r="E17" s="202" t="str" cm="1">
        <f t="array" ref="E1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=$B17), ""),
   IF(_xlpm.filtered="", "", _xlpm.filtered)
)</f>
        <v/>
      </c>
      <c r="F17" s="202" t="str" cm="1">
        <f t="array" ref="F1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=$B17), ""),
   IF(_xlpm.filtered="", "", _xlpm.filtered)
)</f>
        <v/>
      </c>
      <c r="G17" s="202" t="str" cm="1">
        <f t="array" ref="G1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=$B17), ""),
   IF(_xlpm.filtered="", "", _xlpm.filtered)
)</f>
        <v>Rebacca</v>
      </c>
      <c r="H17" s="202" t="str" cm="1">
        <f t="array" ref="H1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=$B17), ""),
   IF(_xlpm.filtered="", "", _xlpm.filtered)
)</f>
        <v>Rebacca</v>
      </c>
      <c r="I17" s="202" t="str" cm="1">
        <f t="array" ref="I1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=$B17), ""),
   IF(_xlpm.filtered="", "", _xlpm.filtered)
)</f>
        <v>Rebacca</v>
      </c>
      <c r="J17" s="202" t="str" cm="1">
        <f t="array" ref="J1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=$B17), ""),
   IF(_xlpm.filtered="", "", _xlpm.filtered)
)</f>
        <v/>
      </c>
      <c r="K17" s="202" t="str" cm="1">
        <f t="array" ref="K1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=$B17), ""),
   IF(_xlpm.filtered="", "", _xlpm.filtered)
)</f>
        <v/>
      </c>
      <c r="L17" s="202" t="str" cm="1">
        <f t="array" ref="L1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=$B17), ""),
   IF(_xlpm.filtered="", "", _xlpm.filtered)
)</f>
        <v/>
      </c>
      <c r="M17" s="202" t="str" cm="1">
        <f t="array" ref="M1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=$B17), ""),
   IF(_xlpm.filtered="", "", _xlpm.filtered)
)</f>
        <v/>
      </c>
      <c r="N17" s="202" t="str" cm="1">
        <f t="array" ref="N1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=$B17), ""),
   IF(_xlpm.filtered="", "", _xlpm.filtered)
)</f>
        <v>Rebacca</v>
      </c>
      <c r="O17" s="202" t="str" cm="1">
        <f t="array" ref="O1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=$B17), ""),
   IF(_xlpm.filtered="", "", _xlpm.filtered)
)</f>
        <v>Rebacca</v>
      </c>
      <c r="P17" s="202" t="str" cm="1">
        <f t="array" ref="P1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=$B17), ""),
   IF(_xlpm.filtered="", "", _xlpm.filtered)
)</f>
        <v>Rebacca</v>
      </c>
      <c r="Q17" s="202" t="str" cm="1">
        <f t="array" ref="Q1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=$B17), ""),
   IF(_xlpm.filtered="", "", _xlpm.filtered)
)</f>
        <v/>
      </c>
      <c r="R17" s="202" t="str" cm="1">
        <f t="array" ref="R1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=$B17), ""),
   IF(_xlpm.filtered="", "", _xlpm.filtered)
)</f>
        <v/>
      </c>
      <c r="S17" s="202" t="str" cm="1">
        <f t="array" ref="S1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=$B17), ""),
   IF(_xlpm.filtered="", "", _xlpm.filtered)
)</f>
        <v/>
      </c>
      <c r="T17" s="202" t="str" cm="1">
        <f t="array" ref="T1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=$B17), ""),
   IF(_xlpm.filtered="", "", _xlpm.filtered)
)</f>
        <v/>
      </c>
      <c r="U17" s="202" t="str" cm="1">
        <f t="array" ref="U1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=$B17), ""),
   IF(_xlpm.filtered="", "", _xlpm.filtered)
)</f>
        <v>Rebacca</v>
      </c>
      <c r="V17" s="202" t="str" cm="1">
        <f t="array" ref="V1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=$B17), ""),
   IF(_xlpm.filtered="", "", _xlpm.filtered)
)</f>
        <v>Rebacca</v>
      </c>
      <c r="W17" s="202" t="str" cm="1">
        <f t="array" ref="W1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=$B17), ""),
   IF(_xlpm.filtered="", "", _xlpm.filtered)
)</f>
        <v>Rebacca</v>
      </c>
      <c r="X17" s="202" t="str" cm="1">
        <f t="array" ref="X1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=$B17), ""),
   IF(_xlpm.filtered="", "", _xlpm.filtered)
)</f>
        <v/>
      </c>
      <c r="Y17" s="202" t="str" cm="1">
        <f t="array" ref="Y1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=$B17), ""),
   IF(_xlpm.filtered="", "", _xlpm.filtered)
)</f>
        <v/>
      </c>
      <c r="Z17" s="202" t="str" cm="1">
        <f t="array" ref="Z1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=$B17), ""),
   IF(_xlpm.filtered="", "", _xlpm.filtered)
)</f>
        <v/>
      </c>
      <c r="AA17" s="202" t="str" cm="1">
        <f t="array" ref="AA1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=$B17), ""),
   IF(_xlpm.filtered="", "", _xlpm.filtered)
)</f>
        <v/>
      </c>
      <c r="AB17" s="202" t="str" cm="1">
        <f t="array" ref="AB1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=$B17), ""),
   IF(_xlpm.filtered="", "", _xlpm.filtered)
)</f>
        <v>Rebacca</v>
      </c>
      <c r="AC17" s="202" t="str" cm="1">
        <f t="array" ref="AC1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=$B17), ""),
   IF(_xlpm.filtered="", "", _xlpm.filtered)
)</f>
        <v>Rebacca</v>
      </c>
      <c r="AD17" s="202" t="str" cm="1">
        <f t="array" ref="AD1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=$B17), ""),
   IF(_xlpm.filtered="", "", _xlpm.filtered)
)</f>
        <v>Rebacca</v>
      </c>
      <c r="AE17" s="202" t="str" cm="1">
        <f t="array" ref="AE1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=$B17), ""),
   IF(_xlpm.filtered="", "", _xlpm.filtered)
)</f>
        <v/>
      </c>
      <c r="AF17" s="202" t="str" cm="1">
        <f t="array" ref="AF1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=$B17), ""),
   IF(_xlpm.filtered="", "", _xlpm.filtered)
)</f>
        <v/>
      </c>
      <c r="AG17" s="202" t="str" cm="1">
        <f t="array" ref="AG1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=$B17), ""),
   IF(_xlpm.filtered="", "", _xlpm.filtered)
)</f>
        <v/>
      </c>
      <c r="AH17" s="203">
        <f t="shared" si="33"/>
        <v>12</v>
      </c>
      <c r="AI17" s="203">
        <f t="shared" si="34"/>
        <v>96</v>
      </c>
      <c r="AJ17" s="193"/>
      <c r="AL17" s="197" t="str">
        <f t="shared" si="35"/>
        <v>Tai Wan Fortress</v>
      </c>
      <c r="AM17" s="204" t="e">
        <f>IF(C17=".",C17,IF(VLOOKUP($AL17&amp;C$1+C12&amp;C17, 工作表1!$C:$V,1,) &gt; 0,C17,"ERROR"))</f>
        <v>#VALUE!</v>
      </c>
      <c r="AN17" s="204" t="e">
        <f>IF(D17=".",D17,IF(VLOOKUP($AL17&amp;D$1+D12&amp;D17, 工作表1!$C:$V,1,) &gt; 0,D17,"ERROR"))</f>
        <v>#VALUE!</v>
      </c>
      <c r="AO17" s="204" t="e">
        <f>IF(E17=".",E17,IF(VLOOKUP($AL17&amp;E$1+E12&amp;E17, 工作表1!$C:$V,1,) &gt; 0,E17,"ERROR"))</f>
        <v>#VALUE!</v>
      </c>
      <c r="AP17" s="204" t="e">
        <f>IF(F17=".",F17,IF(VLOOKUP($AL17&amp;F$1+F12&amp;F17, 工作表1!$C:$V,1,) &gt; 0,F17,"ERROR"))</f>
        <v>#VALUE!</v>
      </c>
      <c r="AQ17" s="204" t="e">
        <f>IF(G17=".",G17,IF(VLOOKUP($AL17&amp;G$1+G12&amp;G17, 工作表1!$C:$V,1,) &gt; 0,G17,"ERROR"))</f>
        <v>#VALUE!</v>
      </c>
      <c r="AR17" s="204" t="e">
        <f>IF(H17=".",H17,IF(VLOOKUP($AL17&amp;H$1+H12&amp;H17, 工作表1!$C:$V,1,) &gt; 0,H17,"ERROR"))</f>
        <v>#VALUE!</v>
      </c>
      <c r="AS17" s="204" t="e">
        <f>IF(I17=".",I17,IF(VLOOKUP($AL17&amp;I$1+I12&amp;I17, 工作表1!$C:$V,1,) &gt; 0,I17,"ERROR"))</f>
        <v>#VALUE!</v>
      </c>
      <c r="AT17" s="204" t="e">
        <f>IF(J17=".",J17,IF(VLOOKUP($AL17&amp;J$1+J12&amp;J17, 工作表1!$C:$V,1,) &gt; 0,J17,"ERROR"))</f>
        <v>#VALUE!</v>
      </c>
      <c r="AU17" s="204" t="e">
        <f>IF(K17=".",K17,IF(VLOOKUP($AL17&amp;K$1+K12&amp;K17, 工作表1!$C:$V,1,) &gt; 0,K17,"ERROR"))</f>
        <v>#VALUE!</v>
      </c>
      <c r="AV17" s="204" t="e">
        <f>IF(L17=".",L17,IF(VLOOKUP($AL17&amp;L$1+L12&amp;L17, 工作表1!$C:$V,1,) &gt; 0,L17,"ERROR"))</f>
        <v>#VALUE!</v>
      </c>
      <c r="AW17" s="204" t="e">
        <f>IF(M17=".",M17,IF(VLOOKUP($AL17&amp;M$1+M12&amp;M17, 工作表1!$C:$V,1,) &gt; 0,M17,"ERROR"))</f>
        <v>#VALUE!</v>
      </c>
      <c r="AX17" s="204" t="e">
        <f>IF(N17=".",N17,IF(VLOOKUP($AL17&amp;N$1+N12&amp;N17, 工作表1!$C:$V,1,) &gt; 0,N17,"ERROR"))</f>
        <v>#VALUE!</v>
      </c>
      <c r="AY17" s="204" t="e">
        <f>IF(O17=".",O17,IF(VLOOKUP($AL17&amp;O$1+O12&amp;O17, 工作表1!$C:$V,1,) &gt; 0,O17,"ERROR"))</f>
        <v>#VALUE!</v>
      </c>
      <c r="AZ17" s="204" t="e">
        <f>IF(P17=".",P17,IF(VLOOKUP($AL17&amp;P$1+P12&amp;P17, 工作表1!$C:$V,1,) &gt; 0,P17,"ERROR"))</f>
        <v>#VALUE!</v>
      </c>
      <c r="BA17" s="204" t="e">
        <f>IF(Q17=".",Q17,IF(VLOOKUP($AL17&amp;Q$1+Q12&amp;Q17, 工作表1!$C:$V,1,) &gt; 0,Q17,"ERROR"))</f>
        <v>#VALUE!</v>
      </c>
      <c r="BB17" s="204" t="e">
        <f>IF(R17=".",R17,IF(VLOOKUP($AL17&amp;R$1+R12&amp;R17, 工作表1!$C:$V,1,) &gt; 0,R17,"ERROR"))</f>
        <v>#VALUE!</v>
      </c>
      <c r="BC17" s="204" t="e">
        <f>IF(S17=".",S17,IF(VLOOKUP($AL17&amp;S$1+S12&amp;S17, 工作表1!$C:$V,1,) &gt; 0,S17,"ERROR"))</f>
        <v>#VALUE!</v>
      </c>
      <c r="BD17" s="204" t="e">
        <f>IF(T17=".",T17,IF(VLOOKUP($AL17&amp;T$1+T12&amp;T17, 工作表1!$C:$V,1,) &gt; 0,T17,"ERROR"))</f>
        <v>#VALUE!</v>
      </c>
      <c r="BE17" s="204" t="e">
        <f>IF(U17=".",U17,IF(VLOOKUP($AL17&amp;U$1+U12&amp;U17, 工作表1!$C:$V,1,) &gt; 0,U17,"ERROR"))</f>
        <v>#VALUE!</v>
      </c>
      <c r="BF17" s="204" t="e">
        <f>IF(V17=".",V17,IF(VLOOKUP($AL17&amp;V$1+V12&amp;V17, 工作表1!$C:$V,1,) &gt; 0,V17,"ERROR"))</f>
        <v>#VALUE!</v>
      </c>
      <c r="BG17" s="204" t="e">
        <f>IF(W17=".",W17,IF(VLOOKUP($AL17&amp;W$1+W12&amp;W17, 工作表1!$C:$V,1,) &gt; 0,W17,"ERROR"))</f>
        <v>#VALUE!</v>
      </c>
      <c r="BH17" s="204" t="e">
        <f>IF(X17=".",X17,IF(VLOOKUP($AL17&amp;X$1+X12&amp;X17, 工作表1!$C:$V,1,) &gt; 0,X17,"ERROR"))</f>
        <v>#VALUE!</v>
      </c>
      <c r="BI17" s="204" t="e">
        <f>IF(Y17=".",Y17,IF(VLOOKUP($AL17&amp;Y$1+Y12&amp;Y17, 工作表1!$C:$V,1,) &gt; 0,Y17,"ERROR"))</f>
        <v>#VALUE!</v>
      </c>
      <c r="BJ17" s="204" t="e">
        <f>IF(Z17=".",Z17,IF(VLOOKUP($AL17&amp;Z$1+Z12&amp;Z17, 工作表1!$C:$V,1,) &gt; 0,Z17,"ERROR"))</f>
        <v>#VALUE!</v>
      </c>
      <c r="BK17" s="204" t="e">
        <f>IF(AA17=".",AA17,IF(VLOOKUP($AL17&amp;AA$1+AA12&amp;AA17, 工作表1!$C:$V,1,) &gt; 0,AA17,"ERROR"))</f>
        <v>#VALUE!</v>
      </c>
      <c r="BL17" s="204" t="e">
        <f>IF(AB17=".",AB17,IF(VLOOKUP($AL17&amp;AB$1+AB12&amp;AB17, 工作表1!$C:$V,1,) &gt; 0,AB17,"ERROR"))</f>
        <v>#VALUE!</v>
      </c>
      <c r="BM17" s="204" t="e">
        <f>IF(AC17=".",AC17,IF(VLOOKUP($AL17&amp;AC$1+AC12&amp;AC17, 工作表1!$C:$V,1,) &gt; 0,AC17,"ERROR"))</f>
        <v>#VALUE!</v>
      </c>
      <c r="BN17" s="204" t="e">
        <f>IF(AD17=".",AD17,IF(VLOOKUP($AL17&amp;AD$1+AD12&amp;AD17, 工作表1!$C:$V,1,) &gt; 0,AD17,"ERROR"))</f>
        <v>#VALUE!</v>
      </c>
      <c r="BO17" s="204" t="e">
        <f>IF(AE17=".",AE17,IF(VLOOKUP($AL17&amp;AE$1+AE12&amp;AE17, 工作表1!$C:$V,1,) &gt; 0,AE17,"ERROR"))</f>
        <v>#VALUE!</v>
      </c>
      <c r="BP17" s="204" t="e">
        <f>IF(AF17=".",AF17,IF(VLOOKUP($AL17&amp;AF$1+AF12&amp;AF17, 工作表1!$C:$V,1,) &gt; 0,AF17,"ERROR"))</f>
        <v>#VALUE!</v>
      </c>
      <c r="BQ17" s="204" t="e">
        <f>IF(AG17=".",AG17,IF(VLOOKUP($AL17&amp;AG$1+AG12&amp;AG17, 工作表1!$C:$V,1,) &gt; 0,AG17,"ERROR"))</f>
        <v>#VALUE!</v>
      </c>
      <c r="BR17" s="204" t="e">
        <f>IF(#REF!=".",#REF!,IF(VLOOKUP($AL17&amp;#REF!+#REF!&amp;#REF!, 工作表1!$C:$V,1,) &gt; 0,#REF!,"ERROR"))</f>
        <v>#REF!</v>
      </c>
      <c r="BS17" s="204" t="e">
        <f>IF(#REF!=".",#REF!,IF(VLOOKUP($AL17&amp;#REF!+#REF!&amp;#REF!, 工作表1!$C:$V,1,) &gt; 0,#REF!,"ERROR"))</f>
        <v>#REF!</v>
      </c>
    </row>
    <row r="18" spans="1:71">
      <c r="A18" t="str" cm="1">
        <f t="array" ref="A18">_xlfn.LET(
    _xlpm.data, C18:AG18,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Tammy</v>
      </c>
      <c r="B18" s="196" t="str">
        <v>Tsing Yi Fortress</v>
      </c>
      <c r="C18" s="202" t="str" cm="1">
        <f t="array" ref="C1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=$B18), ""),
   IF(_xlpm.filtered="", "", _xlpm.filtered)
)</f>
        <v/>
      </c>
      <c r="D18" s="202" t="str" cm="1">
        <f t="array" ref="D1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=$B18), ""),
   IF(_xlpm.filtered="", "", _xlpm.filtered)
)</f>
        <v/>
      </c>
      <c r="E18" s="202" t="str" cm="1">
        <f t="array" ref="E1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=$B18), ""),
   IF(_xlpm.filtered="", "", _xlpm.filtered)
)</f>
        <v/>
      </c>
      <c r="F18" s="202" t="str" cm="1">
        <f t="array" ref="F1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=$B18), ""),
   IF(_xlpm.filtered="", "", _xlpm.filtered)
)</f>
        <v/>
      </c>
      <c r="G18" s="202" t="str" cm="1">
        <f t="array" ref="G1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=$B18), ""),
   IF(_xlpm.filtered="", "", _xlpm.filtered)
)</f>
        <v>Tammy</v>
      </c>
      <c r="H18" s="202" t="str" cm="1">
        <f t="array" ref="H1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=$B18), ""),
   IF(_xlpm.filtered="", "", _xlpm.filtered)
)</f>
        <v>Tammy</v>
      </c>
      <c r="I18" s="202" t="str" cm="1">
        <f t="array" ref="I1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=$B18), ""),
   IF(_xlpm.filtered="", "", _xlpm.filtered)
)</f>
        <v>Tammy</v>
      </c>
      <c r="J18" s="202" t="str" cm="1">
        <f t="array" ref="J1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=$B18), ""),
   IF(_xlpm.filtered="", "", _xlpm.filtered)
)</f>
        <v/>
      </c>
      <c r="K18" s="202" t="str" cm="1">
        <f t="array" ref="K1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=$B18), ""),
   IF(_xlpm.filtered="", "", _xlpm.filtered)
)</f>
        <v/>
      </c>
      <c r="L18" s="202" t="str" cm="1">
        <f t="array" ref="L1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=$B18), ""),
   IF(_xlpm.filtered="", "", _xlpm.filtered)
)</f>
        <v/>
      </c>
      <c r="M18" s="202" t="str" cm="1">
        <f t="array" ref="M1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=$B18), ""),
   IF(_xlpm.filtered="", "", _xlpm.filtered)
)</f>
        <v/>
      </c>
      <c r="N18" s="202" t="str" cm="1">
        <f t="array" ref="N1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=$B18), ""),
   IF(_xlpm.filtered="", "", _xlpm.filtered)
)</f>
        <v>Tammy</v>
      </c>
      <c r="O18" s="202" t="str" cm="1">
        <f t="array" ref="O1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=$B18), ""),
   IF(_xlpm.filtered="", "", _xlpm.filtered)
)</f>
        <v>Tammy</v>
      </c>
      <c r="P18" s="202" t="str" cm="1">
        <f t="array" ref="P1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=$B18), ""),
   IF(_xlpm.filtered="", "", _xlpm.filtered)
)</f>
        <v>Tammy</v>
      </c>
      <c r="Q18" s="202" t="str" cm="1">
        <f t="array" ref="Q1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=$B18), ""),
   IF(_xlpm.filtered="", "", _xlpm.filtered)
)</f>
        <v/>
      </c>
      <c r="R18" s="202" t="str" cm="1">
        <f t="array" ref="R1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=$B18), ""),
   IF(_xlpm.filtered="", "", _xlpm.filtered)
)</f>
        <v/>
      </c>
      <c r="S18" s="202" t="str" cm="1">
        <f t="array" ref="S1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=$B18), ""),
   IF(_xlpm.filtered="", "", _xlpm.filtered)
)</f>
        <v/>
      </c>
      <c r="T18" s="202" t="str" cm="1">
        <f t="array" ref="T1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=$B18), ""),
   IF(_xlpm.filtered="", "", _xlpm.filtered)
)</f>
        <v/>
      </c>
      <c r="U18" s="202" t="str" cm="1">
        <f t="array" ref="U1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=$B18), ""),
   IF(_xlpm.filtered="", "", _xlpm.filtered)
)</f>
        <v>Tammy</v>
      </c>
      <c r="V18" s="202" t="str" cm="1">
        <f t="array" ref="V1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=$B18), ""),
   IF(_xlpm.filtered="", "", _xlpm.filtered)
)</f>
        <v>Tammy</v>
      </c>
      <c r="W18" s="202" t="str" cm="1">
        <f t="array" ref="W1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=$B18), ""),
   IF(_xlpm.filtered="", "", _xlpm.filtered)
)</f>
        <v>Tammy</v>
      </c>
      <c r="X18" s="202" t="str" cm="1">
        <f t="array" ref="X1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=$B18), ""),
   IF(_xlpm.filtered="", "", _xlpm.filtered)
)</f>
        <v/>
      </c>
      <c r="Y18" s="202" t="str" cm="1">
        <f t="array" ref="Y1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=$B18), ""),
   IF(_xlpm.filtered="", "", _xlpm.filtered)
)</f>
        <v/>
      </c>
      <c r="Z18" s="202" t="str" cm="1">
        <f t="array" ref="Z1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=$B18), ""),
   IF(_xlpm.filtered="", "", _xlpm.filtered)
)</f>
        <v/>
      </c>
      <c r="AA18" s="202" t="str" cm="1">
        <f t="array" ref="AA1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=$B18), ""),
   IF(_xlpm.filtered="", "", _xlpm.filtered)
)</f>
        <v/>
      </c>
      <c r="AB18" s="202" t="str" cm="1">
        <f t="array" ref="AB1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=$B18), ""),
   IF(_xlpm.filtered="", "", _xlpm.filtered)
)</f>
        <v/>
      </c>
      <c r="AC18" s="202" t="str" cm="1">
        <f t="array" ref="AC1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=$B18), ""),
   IF(_xlpm.filtered="", "", _xlpm.filtered)
)</f>
        <v/>
      </c>
      <c r="AD18" s="202" t="str" cm="1">
        <f t="array" ref="AD1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=$B18), ""),
   IF(_xlpm.filtered="", "", _xlpm.filtered)
)</f>
        <v/>
      </c>
      <c r="AE18" s="202" t="str" cm="1">
        <f t="array" ref="AE1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=$B18), ""),
   IF(_xlpm.filtered="", "", _xlpm.filtered)
)</f>
        <v/>
      </c>
      <c r="AF18" s="202" t="str" cm="1">
        <f t="array" ref="AF1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=$B18), ""),
   IF(_xlpm.filtered="", "", _xlpm.filtered)
)</f>
        <v/>
      </c>
      <c r="AG18" s="202" t="str" cm="1">
        <f t="array" ref="AG1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=$B18), ""),
   IF(_xlpm.filtered="", "", _xlpm.filtered)
)</f>
        <v/>
      </c>
      <c r="AH18" s="203">
        <f t="shared" si="33"/>
        <v>9</v>
      </c>
      <c r="AI18" s="203">
        <f t="shared" si="34"/>
        <v>72</v>
      </c>
      <c r="AJ18" s="193"/>
      <c r="AL18" s="197" t="str">
        <f t="shared" si="35"/>
        <v>Tsing Yi Fortress</v>
      </c>
      <c r="AM18" s="204" t="e">
        <f>IF(C18=".",C18,IF(VLOOKUP($AL18&amp;C$1+C13&amp;C18, 工作表1!$C:$V,1,) &gt; 0,C18,"ERROR"))</f>
        <v>#VALUE!</v>
      </c>
      <c r="AN18" s="204" t="e">
        <f>IF(D18=".",D18,IF(VLOOKUP($AL18&amp;D$1+D13&amp;D18, 工作表1!$C:$V,1,) &gt; 0,D18,"ERROR"))</f>
        <v>#VALUE!</v>
      </c>
      <c r="AO18" s="204" t="e">
        <f>IF(E18=".",E18,IF(VLOOKUP($AL18&amp;E$1+E13&amp;E18, 工作表1!$C:$V,1,) &gt; 0,E18,"ERROR"))</f>
        <v>#VALUE!</v>
      </c>
      <c r="AP18" s="204" t="e">
        <f>IF(F18=".",F18,IF(VLOOKUP($AL18&amp;F$1+F13&amp;F18, 工作表1!$C:$V,1,) &gt; 0,F18,"ERROR"))</f>
        <v>#VALUE!</v>
      </c>
      <c r="AQ18" s="204" t="e">
        <f>IF(G18=".",G18,IF(VLOOKUP($AL18&amp;G$1+G13&amp;G18, 工作表1!$C:$V,1,) &gt; 0,G18,"ERROR"))</f>
        <v>#VALUE!</v>
      </c>
      <c r="AR18" s="204" t="e">
        <f>IF(H18=".",H18,IF(VLOOKUP($AL18&amp;H$1+H13&amp;H18, 工作表1!$C:$V,1,) &gt; 0,H18,"ERROR"))</f>
        <v>#VALUE!</v>
      </c>
      <c r="AS18" s="204" t="e">
        <f>IF(I18=".",I18,IF(VLOOKUP($AL18&amp;I$1+I13&amp;I18, 工作表1!$C:$V,1,) &gt; 0,I18,"ERROR"))</f>
        <v>#VALUE!</v>
      </c>
      <c r="AT18" s="204" t="e">
        <f>IF(J18=".",J18,IF(VLOOKUP($AL18&amp;J$1+J13&amp;J18, 工作表1!$C:$V,1,) &gt; 0,J18,"ERROR"))</f>
        <v>#VALUE!</v>
      </c>
      <c r="AU18" s="204" t="e">
        <f>IF(K18=".",K18,IF(VLOOKUP($AL18&amp;K$1+K13&amp;K18, 工作表1!$C:$V,1,) &gt; 0,K18,"ERROR"))</f>
        <v>#VALUE!</v>
      </c>
      <c r="AV18" s="204" t="e">
        <f>IF(L18=".",L18,IF(VLOOKUP($AL18&amp;L$1+L13&amp;L18, 工作表1!$C:$V,1,) &gt; 0,L18,"ERROR"))</f>
        <v>#VALUE!</v>
      </c>
      <c r="AW18" s="204" t="e">
        <f>IF(M18=".",M18,IF(VLOOKUP($AL18&amp;M$1+M13&amp;M18, 工作表1!$C:$V,1,) &gt; 0,M18,"ERROR"))</f>
        <v>#VALUE!</v>
      </c>
      <c r="AX18" s="204" t="e">
        <f>IF(N18=".",N18,IF(VLOOKUP($AL18&amp;N$1+N13&amp;N18, 工作表1!$C:$V,1,) &gt; 0,N18,"ERROR"))</f>
        <v>#VALUE!</v>
      </c>
      <c r="AY18" s="204" t="e">
        <f>IF(O18=".",O18,IF(VLOOKUP($AL18&amp;O$1+O13&amp;O18, 工作表1!$C:$V,1,) &gt; 0,O18,"ERROR"))</f>
        <v>#VALUE!</v>
      </c>
      <c r="AZ18" s="204" t="e">
        <f>IF(P18=".",P18,IF(VLOOKUP($AL18&amp;P$1+P13&amp;P18, 工作表1!$C:$V,1,) &gt; 0,P18,"ERROR"))</f>
        <v>#VALUE!</v>
      </c>
      <c r="BA18" s="204" t="e">
        <f>IF(Q18=".",Q18,IF(VLOOKUP($AL18&amp;Q$1+Q13&amp;Q18, 工作表1!$C:$V,1,) &gt; 0,Q18,"ERROR"))</f>
        <v>#VALUE!</v>
      </c>
      <c r="BB18" s="204" t="e">
        <f>IF(R18=".",R18,IF(VLOOKUP($AL18&amp;R$1+R13&amp;R18, 工作表1!$C:$V,1,) &gt; 0,R18,"ERROR"))</f>
        <v>#VALUE!</v>
      </c>
      <c r="BC18" s="204" t="e">
        <f>IF(S18=".",S18,IF(VLOOKUP($AL18&amp;S$1+S13&amp;S18, 工作表1!$C:$V,1,) &gt; 0,S18,"ERROR"))</f>
        <v>#VALUE!</v>
      </c>
      <c r="BD18" s="204" t="e">
        <f>IF(T18=".",T18,IF(VLOOKUP($AL18&amp;T$1+T13&amp;T18, 工作表1!$C:$V,1,) &gt; 0,T18,"ERROR"))</f>
        <v>#VALUE!</v>
      </c>
      <c r="BE18" s="204" t="e">
        <f>IF(U18=".",U18,IF(VLOOKUP($AL18&amp;U$1+U13&amp;U18, 工作表1!$C:$V,1,) &gt; 0,U18,"ERROR"))</f>
        <v>#VALUE!</v>
      </c>
      <c r="BF18" s="204" t="e">
        <f>IF(V18=".",V18,IF(VLOOKUP($AL18&amp;V$1+V13&amp;V18, 工作表1!$C:$V,1,) &gt; 0,V18,"ERROR"))</f>
        <v>#VALUE!</v>
      </c>
      <c r="BG18" s="204" t="e">
        <f>IF(W18=".",W18,IF(VLOOKUP($AL18&amp;W$1+W13&amp;W18, 工作表1!$C:$V,1,) &gt; 0,W18,"ERROR"))</f>
        <v>#VALUE!</v>
      </c>
      <c r="BH18" s="204" t="e">
        <f>IF(X18=".",X18,IF(VLOOKUP($AL18&amp;X$1+X13&amp;X18, 工作表1!$C:$V,1,) &gt; 0,X18,"ERROR"))</f>
        <v>#VALUE!</v>
      </c>
      <c r="BI18" s="204" t="e">
        <f>IF(Y18=".",Y18,IF(VLOOKUP($AL18&amp;Y$1+Y13&amp;Y18, 工作表1!$C:$V,1,) &gt; 0,Y18,"ERROR"))</f>
        <v>#VALUE!</v>
      </c>
      <c r="BJ18" s="204" t="e">
        <f>IF(Z18=".",Z18,IF(VLOOKUP($AL18&amp;Z$1+Z13&amp;Z18, 工作表1!$C:$V,1,) &gt; 0,Z18,"ERROR"))</f>
        <v>#VALUE!</v>
      </c>
      <c r="BK18" s="204" t="e">
        <f>IF(AA18=".",AA18,IF(VLOOKUP($AL18&amp;AA$1+AA13&amp;AA18, 工作表1!$C:$V,1,) &gt; 0,AA18,"ERROR"))</f>
        <v>#VALUE!</v>
      </c>
      <c r="BL18" s="204" t="e">
        <f>IF(AB18=".",AB18,IF(VLOOKUP($AL18&amp;AB$1+AB13&amp;AB18, 工作表1!$C:$V,1,) &gt; 0,AB18,"ERROR"))</f>
        <v>#VALUE!</v>
      </c>
      <c r="BM18" s="204" t="e">
        <f>IF(AC18=".",AC18,IF(VLOOKUP($AL18&amp;AC$1+AC13&amp;AC18, 工作表1!$C:$V,1,) &gt; 0,AC18,"ERROR"))</f>
        <v>#VALUE!</v>
      </c>
      <c r="BN18" s="204" t="e">
        <f>IF(AD18=".",AD18,IF(VLOOKUP($AL18&amp;AD$1+AD13&amp;AD18, 工作表1!$C:$V,1,) &gt; 0,AD18,"ERROR"))</f>
        <v>#VALUE!</v>
      </c>
      <c r="BO18" s="204" t="e">
        <f>IF(AE18=".",AE18,IF(VLOOKUP($AL18&amp;AE$1+AE13&amp;AE18, 工作表1!$C:$V,1,) &gt; 0,AE18,"ERROR"))</f>
        <v>#VALUE!</v>
      </c>
      <c r="BP18" s="204" t="e">
        <f>IF(AF18=".",AF18,IF(VLOOKUP($AL18&amp;AF$1+AF13&amp;AF18, 工作表1!$C:$V,1,) &gt; 0,AF18,"ERROR"))</f>
        <v>#VALUE!</v>
      </c>
      <c r="BQ18" s="204" t="e">
        <f>IF(AG18=".",AG18,IF(VLOOKUP($AL18&amp;AG$1+AG13&amp;AG18, 工作表1!$C:$V,1,) &gt; 0,AG18,"ERROR"))</f>
        <v>#VALUE!</v>
      </c>
      <c r="BR18" s="204" t="e">
        <f>IF(#REF!=".",#REF!,IF(VLOOKUP($AL18&amp;#REF!+#REF!&amp;#REF!, 工作表1!$C:$V,1,) &gt; 0,#REF!,"ERROR"))</f>
        <v>#REF!</v>
      </c>
      <c r="BS18" s="204" t="e">
        <f>IF(#REF!=".",#REF!,IF(VLOOKUP($AL18&amp;#REF!+#REF!&amp;#REF!, 工作表1!$C:$V,1,) &gt; 0,#REF!,"ERROR"))</f>
        <v>#REF!</v>
      </c>
    </row>
    <row r="19" spans="1:71">
      <c r="A19" t="str" cm="1">
        <f t="array" ref="A19">_xlfn.LET(
    _xlpm.data, C19:AG19,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May M</v>
      </c>
      <c r="B19" s="196" t="str">
        <v>Tuen Mun Broadway</v>
      </c>
      <c r="C19" s="202" t="str" cm="1">
        <f t="array" ref="C1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=$B19), ""),
   IF(_xlpm.filtered="", "", _xlpm.filtered)
)</f>
        <v/>
      </c>
      <c r="D19" s="202" t="str" cm="1">
        <f t="array" ref="D1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=$B19), ""),
   IF(_xlpm.filtered="", "", _xlpm.filtered)
)</f>
        <v/>
      </c>
      <c r="E19" s="202" t="str" cm="1">
        <f t="array" ref="E1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=$B19), ""),
   IF(_xlpm.filtered="", "", _xlpm.filtered)
)</f>
        <v/>
      </c>
      <c r="F19" s="202" t="str" cm="1">
        <f t="array" ref="F1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=$B19), ""),
   IF(_xlpm.filtered="", "", _xlpm.filtered)
)</f>
        <v>May M</v>
      </c>
      <c r="G19" s="202" t="str" cm="1">
        <f t="array" ref="G1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=$B19), ""),
   IF(_xlpm.filtered="", "", _xlpm.filtered)
)</f>
        <v>May M</v>
      </c>
      <c r="H19" s="202" t="str" cm="1">
        <f t="array" ref="H1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=$B19), ""),
   IF(_xlpm.filtered="", "", _xlpm.filtered)
)</f>
        <v>May M</v>
      </c>
      <c r="I19" s="202" t="str" cm="1">
        <f t="array" ref="I1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=$B19), ""),
   IF(_xlpm.filtered="", "", _xlpm.filtered)
)</f>
        <v>May M</v>
      </c>
      <c r="J19" s="202" t="str" cm="1">
        <f t="array" ref="J1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=$B19), ""),
   IF(_xlpm.filtered="", "", _xlpm.filtered)
)</f>
        <v/>
      </c>
      <c r="K19" s="202" t="str" cm="1">
        <f t="array" ref="K1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=$B19), ""),
   IF(_xlpm.filtered="", "", _xlpm.filtered)
)</f>
        <v/>
      </c>
      <c r="L19" s="202" t="str" cm="1">
        <f t="array" ref="L1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=$B19), ""),
   IF(_xlpm.filtered="", "", _xlpm.filtered)
)</f>
        <v/>
      </c>
      <c r="M19" s="202" t="str" cm="1">
        <f t="array" ref="M1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=$B19), ""),
   IF(_xlpm.filtered="", "", _xlpm.filtered)
)</f>
        <v>May M</v>
      </c>
      <c r="N19" s="202" t="str" cm="1">
        <f t="array" ref="N1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=$B19), ""),
   IF(_xlpm.filtered="", "", _xlpm.filtered)
)</f>
        <v>May M</v>
      </c>
      <c r="O19" s="202" t="str" cm="1">
        <f t="array" ref="O1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=$B19), ""),
   IF(_xlpm.filtered="", "", _xlpm.filtered)
)</f>
        <v>May M</v>
      </c>
      <c r="P19" s="202" t="str" cm="1">
        <f t="array" ref="P1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=$B19), ""),
   IF(_xlpm.filtered="", "", _xlpm.filtered)
)</f>
        <v>May M</v>
      </c>
      <c r="Q19" s="202" t="str" cm="1">
        <f t="array" ref="Q1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=$B19), ""),
   IF(_xlpm.filtered="", "", _xlpm.filtered)
)</f>
        <v/>
      </c>
      <c r="R19" s="202" t="str" cm="1">
        <f t="array" ref="R1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=$B19), ""),
   IF(_xlpm.filtered="", "", _xlpm.filtered)
)</f>
        <v/>
      </c>
      <c r="S19" s="202" t="str" cm="1">
        <f t="array" ref="S1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=$B19), ""),
   IF(_xlpm.filtered="", "", _xlpm.filtered)
)</f>
        <v/>
      </c>
      <c r="T19" s="202" t="str" cm="1">
        <f t="array" ref="T1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=$B19), ""),
   IF(_xlpm.filtered="", "", _xlpm.filtered)
)</f>
        <v>May M</v>
      </c>
      <c r="U19" s="202" t="str" cm="1">
        <f t="array" ref="U1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=$B19), ""),
   IF(_xlpm.filtered="", "", _xlpm.filtered)
)</f>
        <v>May M</v>
      </c>
      <c r="V19" s="202" t="str" cm="1">
        <f t="array" ref="V1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=$B19), ""),
   IF(_xlpm.filtered="", "", _xlpm.filtered)
)</f>
        <v>May M</v>
      </c>
      <c r="W19" s="202" t="str" cm="1">
        <f t="array" ref="W1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=$B19), ""),
   IF(_xlpm.filtered="", "", _xlpm.filtered)
)</f>
        <v>May M</v>
      </c>
      <c r="X19" s="202" t="str" cm="1">
        <f t="array" ref="X1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=$B19), ""),
   IF(_xlpm.filtered="", "", _xlpm.filtered)
)</f>
        <v/>
      </c>
      <c r="Y19" s="202" t="str" cm="1">
        <f t="array" ref="Y1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=$B19), ""),
   IF(_xlpm.filtered="", "", _xlpm.filtered)
)</f>
        <v/>
      </c>
      <c r="Z19" s="202" t="str" cm="1">
        <f t="array" ref="Z1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=$B19), ""),
   IF(_xlpm.filtered="", "", _xlpm.filtered)
)</f>
        <v/>
      </c>
      <c r="AA19" s="202" t="str" cm="1">
        <f t="array" ref="AA1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=$B19), ""),
   IF(_xlpm.filtered="", "", _xlpm.filtered)
)</f>
        <v>May M</v>
      </c>
      <c r="AB19" s="202" t="str" cm="1">
        <f t="array" ref="AB1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=$B19), ""),
   IF(_xlpm.filtered="", "", _xlpm.filtered)
)</f>
        <v>May M</v>
      </c>
      <c r="AC19" s="202" t="str" cm="1">
        <f t="array" ref="AC1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=$B19), ""),
   IF(_xlpm.filtered="", "", _xlpm.filtered)
)</f>
        <v>May M</v>
      </c>
      <c r="AD19" s="202" t="str" cm="1">
        <f t="array" ref="AD1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=$B19), ""),
   IF(_xlpm.filtered="", "", _xlpm.filtered)
)</f>
        <v>May M</v>
      </c>
      <c r="AE19" s="202" t="str" cm="1">
        <f t="array" ref="AE1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=$B19), ""),
   IF(_xlpm.filtered="", "", _xlpm.filtered)
)</f>
        <v/>
      </c>
      <c r="AF19" s="202" t="str" cm="1">
        <f t="array" ref="AF1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=$B19), ""),
   IF(_xlpm.filtered="", "", _xlpm.filtered)
)</f>
        <v/>
      </c>
      <c r="AG19" s="202" t="str" cm="1">
        <f t="array" ref="AG1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=$B19), ""),
   IF(_xlpm.filtered="", "", _xlpm.filtered)
)</f>
        <v/>
      </c>
      <c r="AH19" s="203">
        <f t="shared" si="33"/>
        <v>16</v>
      </c>
      <c r="AI19" s="203">
        <f t="shared" si="34"/>
        <v>128</v>
      </c>
      <c r="AJ19" s="193"/>
      <c r="AL19" s="197" t="str">
        <f t="shared" si="35"/>
        <v>Tuen Mun Broadway</v>
      </c>
      <c r="AM19" s="204" t="e">
        <f>IF(C19=".",C19,IF(VLOOKUP($AL19&amp;C$1+C14&amp;C19, 工作表1!$C:$V,1,) &gt; 0,C19,"ERROR"))</f>
        <v>#VALUE!</v>
      </c>
      <c r="AN19" s="204" t="e">
        <f>IF(D19=".",D19,IF(VLOOKUP($AL19&amp;D$1+D14&amp;D19, 工作表1!$C:$V,1,) &gt; 0,D19,"ERROR"))</f>
        <v>#VALUE!</v>
      </c>
      <c r="AO19" s="204" t="e">
        <f>IF(E19=".",E19,IF(VLOOKUP($AL19&amp;E$1+E14&amp;E19, 工作表1!$C:$V,1,) &gt; 0,E19,"ERROR"))</f>
        <v>#VALUE!</v>
      </c>
      <c r="AP19" s="204" t="e">
        <f>IF(F19=".",F19,IF(VLOOKUP($AL19&amp;F$1+F14&amp;F19, 工作表1!$C:$V,1,) &gt; 0,F19,"ERROR"))</f>
        <v>#VALUE!</v>
      </c>
      <c r="AQ19" s="204" t="e">
        <f>IF(G19=".",G19,IF(VLOOKUP($AL19&amp;G$1+G14&amp;G19, 工作表1!$C:$V,1,) &gt; 0,G19,"ERROR"))</f>
        <v>#VALUE!</v>
      </c>
      <c r="AR19" s="204" t="e">
        <f>IF(H19=".",H19,IF(VLOOKUP($AL19&amp;H$1+H14&amp;H19, 工作表1!$C:$V,1,) &gt; 0,H19,"ERROR"))</f>
        <v>#VALUE!</v>
      </c>
      <c r="AS19" s="204" t="e">
        <f>IF(I19=".",I19,IF(VLOOKUP($AL19&amp;I$1+I14&amp;I19, 工作表1!$C:$V,1,) &gt; 0,I19,"ERROR"))</f>
        <v>#VALUE!</v>
      </c>
      <c r="AT19" s="204" t="e">
        <f>IF(J19=".",J19,IF(VLOOKUP($AL19&amp;J$1+J14&amp;J19, 工作表1!$C:$V,1,) &gt; 0,J19,"ERROR"))</f>
        <v>#VALUE!</v>
      </c>
      <c r="AU19" s="204" t="e">
        <f>IF(K19=".",K19,IF(VLOOKUP($AL19&amp;K$1+K14&amp;K19, 工作表1!$C:$V,1,) &gt; 0,K19,"ERROR"))</f>
        <v>#VALUE!</v>
      </c>
      <c r="AV19" s="204" t="e">
        <f>IF(L19=".",L19,IF(VLOOKUP($AL19&amp;L$1+L14&amp;L19, 工作表1!$C:$V,1,) &gt; 0,L19,"ERROR"))</f>
        <v>#VALUE!</v>
      </c>
      <c r="AW19" s="204" t="e">
        <f>IF(M19=".",M19,IF(VLOOKUP($AL19&amp;M$1+M14&amp;M19, 工作表1!$C:$V,1,) &gt; 0,M19,"ERROR"))</f>
        <v>#VALUE!</v>
      </c>
      <c r="AX19" s="204" t="e">
        <f>IF(N19=".",N19,IF(VLOOKUP($AL19&amp;N$1+N14&amp;N19, 工作表1!$C:$V,1,) &gt; 0,N19,"ERROR"))</f>
        <v>#VALUE!</v>
      </c>
      <c r="AY19" s="204" t="e">
        <f>IF(O19=".",O19,IF(VLOOKUP($AL19&amp;O$1+O14&amp;O19, 工作表1!$C:$V,1,) &gt; 0,O19,"ERROR"))</f>
        <v>#VALUE!</v>
      </c>
      <c r="AZ19" s="204" t="e">
        <f>IF(P19=".",P19,IF(VLOOKUP($AL19&amp;P$1+P14&amp;P19, 工作表1!$C:$V,1,) &gt; 0,P19,"ERROR"))</f>
        <v>#VALUE!</v>
      </c>
      <c r="BA19" s="204" t="e">
        <f>IF(Q19=".",Q19,IF(VLOOKUP($AL19&amp;Q$1+Q14&amp;Q19, 工作表1!$C:$V,1,) &gt; 0,Q19,"ERROR"))</f>
        <v>#VALUE!</v>
      </c>
      <c r="BB19" s="204" t="e">
        <f>IF(R19=".",R19,IF(VLOOKUP($AL19&amp;R$1+R14&amp;R19, 工作表1!$C:$V,1,) &gt; 0,R19,"ERROR"))</f>
        <v>#VALUE!</v>
      </c>
      <c r="BC19" s="204" t="e">
        <f>IF(S19=".",S19,IF(VLOOKUP($AL19&amp;S$1+S14&amp;S19, 工作表1!$C:$V,1,) &gt; 0,S19,"ERROR"))</f>
        <v>#VALUE!</v>
      </c>
      <c r="BD19" s="204" t="e">
        <f>IF(T19=".",T19,IF(VLOOKUP($AL19&amp;T$1+T14&amp;T19, 工作表1!$C:$V,1,) &gt; 0,T19,"ERROR"))</f>
        <v>#VALUE!</v>
      </c>
      <c r="BE19" s="204" t="e">
        <f>IF(U19=".",U19,IF(VLOOKUP($AL19&amp;U$1+U14&amp;U19, 工作表1!$C:$V,1,) &gt; 0,U19,"ERROR"))</f>
        <v>#VALUE!</v>
      </c>
      <c r="BF19" s="204" t="e">
        <f>IF(V19=".",V19,IF(VLOOKUP($AL19&amp;V$1+V14&amp;V19, 工作表1!$C:$V,1,) &gt; 0,V19,"ERROR"))</f>
        <v>#VALUE!</v>
      </c>
      <c r="BG19" s="204" t="e">
        <f>IF(W19=".",W19,IF(VLOOKUP($AL19&amp;W$1+W14&amp;W19, 工作表1!$C:$V,1,) &gt; 0,W19,"ERROR"))</f>
        <v>#VALUE!</v>
      </c>
      <c r="BH19" s="204" t="e">
        <f>IF(X19=".",X19,IF(VLOOKUP($AL19&amp;X$1+X14&amp;X19, 工作表1!$C:$V,1,) &gt; 0,X19,"ERROR"))</f>
        <v>#VALUE!</v>
      </c>
      <c r="BI19" s="204" t="e">
        <f>IF(Y19=".",Y19,IF(VLOOKUP($AL19&amp;Y$1+Y14&amp;Y19, 工作表1!$C:$V,1,) &gt; 0,Y19,"ERROR"))</f>
        <v>#VALUE!</v>
      </c>
      <c r="BJ19" s="204" t="e">
        <f>IF(Z19=".",Z19,IF(VLOOKUP($AL19&amp;Z$1+Z14&amp;Z19, 工作表1!$C:$V,1,) &gt; 0,Z19,"ERROR"))</f>
        <v>#VALUE!</v>
      </c>
      <c r="BK19" s="204" t="e">
        <f>IF(AA19=".",AA19,IF(VLOOKUP($AL19&amp;AA$1+AA14&amp;AA19, 工作表1!$C:$V,1,) &gt; 0,AA19,"ERROR"))</f>
        <v>#VALUE!</v>
      </c>
      <c r="BL19" s="204" t="e">
        <f>IF(AB19=".",AB19,IF(VLOOKUP($AL19&amp;AB$1+AB14&amp;AB19, 工作表1!$C:$V,1,) &gt; 0,AB19,"ERROR"))</f>
        <v>#VALUE!</v>
      </c>
      <c r="BM19" s="204" t="e">
        <f>IF(AC19=".",AC19,IF(VLOOKUP($AL19&amp;AC$1+AC14&amp;AC19, 工作表1!$C:$V,1,) &gt; 0,AC19,"ERROR"))</f>
        <v>#VALUE!</v>
      </c>
      <c r="BN19" s="204" t="e">
        <f>IF(AD19=".",AD19,IF(VLOOKUP($AL19&amp;AD$1+AD14&amp;AD19, 工作表1!$C:$V,1,) &gt; 0,AD19,"ERROR"))</f>
        <v>#VALUE!</v>
      </c>
      <c r="BO19" s="204" t="e">
        <f>IF(AE19=".",AE19,IF(VLOOKUP($AL19&amp;AE$1+AE14&amp;AE19, 工作表1!$C:$V,1,) &gt; 0,AE19,"ERROR"))</f>
        <v>#VALUE!</v>
      </c>
      <c r="BP19" s="204" t="e">
        <f>IF(AF19=".",AF19,IF(VLOOKUP($AL19&amp;AF$1+AF14&amp;AF19, 工作表1!$C:$V,1,) &gt; 0,AF19,"ERROR"))</f>
        <v>#VALUE!</v>
      </c>
      <c r="BQ19" s="204" t="e">
        <f>IF(AG19=".",AG19,IF(VLOOKUP($AL19&amp;AG$1+AG14&amp;AG19, 工作表1!$C:$V,1,) &gt; 0,AG19,"ERROR"))</f>
        <v>#VALUE!</v>
      </c>
      <c r="BR19" s="204" t="e">
        <f>IF(#REF!=".",#REF!,IF(VLOOKUP($AL19&amp;#REF!+#REF!&amp;#REF!, 工作表1!$C:$V,1,) &gt; 0,#REF!,"ERROR"))</f>
        <v>#REF!</v>
      </c>
      <c r="BS19" s="204" t="e">
        <f>IF(#REF!=".",#REF!,IF(VLOOKUP($AL19&amp;#REF!+#REF!&amp;#REF!, 工作表1!$C:$V,1,) &gt; 0,#REF!,"ERROR"))</f>
        <v>#REF!</v>
      </c>
    </row>
    <row r="20" spans="1:71">
      <c r="A20" t="str" cm="1">
        <f t="array" ref="A20">_xlfn.LET(
    _xlpm.data, C20:AG20,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Fan</v>
      </c>
      <c r="B20" s="196" t="str">
        <v>TW Aeon</v>
      </c>
      <c r="C20" s="202" t="str" cm="1">
        <f t="array" ref="C2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=$B20), ""),
   IF(_xlpm.filtered="", "", _xlpm.filtered)
)</f>
        <v/>
      </c>
      <c r="D20" s="202" t="str" cm="1">
        <f t="array" ref="D2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=$B20), ""),
   IF(_xlpm.filtered="", "", _xlpm.filtered)
)</f>
        <v/>
      </c>
      <c r="E20" s="202" t="str" cm="1">
        <f t="array" ref="E2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=$B20), ""),
   IF(_xlpm.filtered="", "", _xlpm.filtered)
)</f>
        <v/>
      </c>
      <c r="F20" s="202" t="str" cm="1">
        <f t="array" ref="F2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=$B20), ""),
   IF(_xlpm.filtered="", "", _xlpm.filtered)
)</f>
        <v/>
      </c>
      <c r="G20" s="202" t="str" cm="1">
        <f t="array" ref="G2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=$B20), ""),
   IF(_xlpm.filtered="", "", _xlpm.filtered)
)</f>
        <v/>
      </c>
      <c r="H20" s="202" t="str" cm="1">
        <f t="array" ref="H2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=$B20), ""),
   IF(_xlpm.filtered="", "", _xlpm.filtered)
)</f>
        <v>Fan</v>
      </c>
      <c r="I20" s="202" t="str" cm="1">
        <f t="array" ref="I2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=$B20), ""),
   IF(_xlpm.filtered="", "", _xlpm.filtered)
)</f>
        <v>Fan</v>
      </c>
      <c r="J20" s="202" t="str" cm="1">
        <f t="array" ref="J2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=$B20), ""),
   IF(_xlpm.filtered="", "", _xlpm.filtered)
)</f>
        <v/>
      </c>
      <c r="K20" s="202" t="str" cm="1">
        <f t="array" ref="K2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=$B20), ""),
   IF(_xlpm.filtered="", "", _xlpm.filtered)
)</f>
        <v/>
      </c>
      <c r="L20" s="202" t="str" cm="1">
        <f t="array" ref="L2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=$B20), ""),
   IF(_xlpm.filtered="", "", _xlpm.filtered)
)</f>
        <v/>
      </c>
      <c r="M20" s="202" t="str" cm="1">
        <f t="array" ref="M2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=$B20), ""),
   IF(_xlpm.filtered="", "", _xlpm.filtered)
)</f>
        <v/>
      </c>
      <c r="N20" s="202" t="str" cm="1">
        <f t="array" ref="N2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=$B20), ""),
   IF(_xlpm.filtered="", "", _xlpm.filtered)
)</f>
        <v/>
      </c>
      <c r="O20" s="202" t="str" cm="1">
        <f t="array" ref="O2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=$B20), ""),
   IF(_xlpm.filtered="", "", _xlpm.filtered)
)</f>
        <v>Fan</v>
      </c>
      <c r="P20" s="202" t="str" cm="1">
        <f t="array" ref="P2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=$B20), ""),
   IF(_xlpm.filtered="", "", _xlpm.filtered)
)</f>
        <v>Fan</v>
      </c>
      <c r="Q20" s="202" t="str" cm="1">
        <f t="array" ref="Q2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=$B20), ""),
   IF(_xlpm.filtered="", "", _xlpm.filtered)
)</f>
        <v/>
      </c>
      <c r="R20" s="202" t="str" cm="1">
        <f t="array" ref="R2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=$B20), ""),
   IF(_xlpm.filtered="", "", _xlpm.filtered)
)</f>
        <v/>
      </c>
      <c r="S20" s="202" t="str" cm="1">
        <f t="array" ref="S2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=$B20), ""),
   IF(_xlpm.filtered="", "", _xlpm.filtered)
)</f>
        <v/>
      </c>
      <c r="T20" s="202" t="str" cm="1">
        <f t="array" ref="T2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=$B20), ""),
   IF(_xlpm.filtered="", "", _xlpm.filtered)
)</f>
        <v/>
      </c>
      <c r="U20" s="202" t="str" cm="1">
        <f t="array" ref="U2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=$B20), ""),
   IF(_xlpm.filtered="", "", _xlpm.filtered)
)</f>
        <v/>
      </c>
      <c r="V20" s="202" t="str" cm="1">
        <f t="array" ref="V2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=$B20), ""),
   IF(_xlpm.filtered="", "", _xlpm.filtered)
)</f>
        <v>Apple</v>
      </c>
      <c r="W20" s="202" t="str" cm="1">
        <f t="array" ref="W2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=$B20), ""),
   IF(_xlpm.filtered="", "", _xlpm.filtered)
)</f>
        <v>Apple</v>
      </c>
      <c r="X20" s="202" t="str" cm="1">
        <f t="array" ref="X2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=$B20), ""),
   IF(_xlpm.filtered="", "", _xlpm.filtered)
)</f>
        <v/>
      </c>
      <c r="Y20" s="202" t="str" cm="1">
        <f t="array" ref="Y2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=$B20), ""),
   IF(_xlpm.filtered="", "", _xlpm.filtered)
)</f>
        <v/>
      </c>
      <c r="Z20" s="202" t="str" cm="1">
        <f t="array" ref="Z2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=$B20), ""),
   IF(_xlpm.filtered="", "", _xlpm.filtered)
)</f>
        <v/>
      </c>
      <c r="AA20" s="202" t="str" cm="1">
        <f t="array" ref="AA2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=$B20), ""),
   IF(_xlpm.filtered="", "", _xlpm.filtered)
)</f>
        <v/>
      </c>
      <c r="AB20" s="202" t="str" cm="1">
        <f t="array" ref="AB2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=$B20), ""),
   IF(_xlpm.filtered="", "", _xlpm.filtered)
)</f>
        <v/>
      </c>
      <c r="AC20" s="202" t="str" cm="1">
        <f t="array" ref="AC2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=$B20), ""),
   IF(_xlpm.filtered="", "", _xlpm.filtered)
)</f>
        <v>Fan</v>
      </c>
      <c r="AD20" s="202" t="str" cm="1">
        <f t="array" ref="AD2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=$B20), ""),
   IF(_xlpm.filtered="", "", _xlpm.filtered)
)</f>
        <v>Fan</v>
      </c>
      <c r="AE20" s="202" t="str" cm="1">
        <f t="array" ref="AE2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=$B20), ""),
   IF(_xlpm.filtered="", "", _xlpm.filtered)
)</f>
        <v/>
      </c>
      <c r="AF20" s="202" t="str" cm="1">
        <f t="array" ref="AF2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=$B20), ""),
   IF(_xlpm.filtered="", "", _xlpm.filtered)
)</f>
        <v/>
      </c>
      <c r="AG20" s="202" t="str" cm="1">
        <f t="array" ref="AG2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=$B20), ""),
   IF(_xlpm.filtered="", "", _xlpm.filtered)
)</f>
        <v/>
      </c>
      <c r="AH20" s="203">
        <f t="shared" si="33"/>
        <v>8</v>
      </c>
      <c r="AI20" s="203">
        <f t="shared" si="34"/>
        <v>64</v>
      </c>
      <c r="AJ20" s="193"/>
      <c r="AL20" s="197" t="str">
        <f t="shared" si="35"/>
        <v>TW Aeon</v>
      </c>
      <c r="AM20" s="204" t="e">
        <f>IF(C20=".",C20,IF(VLOOKUP($AL20&amp;C$1+C15&amp;C20, 工作表1!$C:$V,1,) &gt; 0,C20,"ERROR"))</f>
        <v>#VALUE!</v>
      </c>
      <c r="AN20" s="204" t="e">
        <f>IF(D20=".",D20,IF(VLOOKUP($AL20&amp;D$1+D15&amp;D20, 工作表1!$C:$V,1,) &gt; 0,D20,"ERROR"))</f>
        <v>#VALUE!</v>
      </c>
      <c r="AO20" s="204" t="e">
        <f>IF(E20=".",E20,IF(VLOOKUP($AL20&amp;E$1+E15&amp;E20, 工作表1!$C:$V,1,) &gt; 0,E20,"ERROR"))</f>
        <v>#VALUE!</v>
      </c>
      <c r="AP20" s="204" t="e">
        <f>IF(F20=".",F20,IF(VLOOKUP($AL20&amp;F$1+F15&amp;F20, 工作表1!$C:$V,1,) &gt; 0,F20,"ERROR"))</f>
        <v>#VALUE!</v>
      </c>
      <c r="AQ20" s="204" t="e">
        <f>IF(G20=".",G20,IF(VLOOKUP($AL20&amp;G$1+G15&amp;G20, 工作表1!$C:$V,1,) &gt; 0,G20,"ERROR"))</f>
        <v>#VALUE!</v>
      </c>
      <c r="AR20" s="204" t="e">
        <f>IF(H20=".",H20,IF(VLOOKUP($AL20&amp;H$1+H15&amp;H20, 工作表1!$C:$V,1,) &gt; 0,H20,"ERROR"))</f>
        <v>#VALUE!</v>
      </c>
      <c r="AS20" s="204" t="e">
        <f>IF(I20=".",I20,IF(VLOOKUP($AL20&amp;I$1+I15&amp;I20, 工作表1!$C:$V,1,) &gt; 0,I20,"ERROR"))</f>
        <v>#VALUE!</v>
      </c>
      <c r="AT20" s="204" t="e">
        <f>IF(J20=".",J20,IF(VLOOKUP($AL20&amp;J$1+J15&amp;J20, 工作表1!$C:$V,1,) &gt; 0,J20,"ERROR"))</f>
        <v>#VALUE!</v>
      </c>
      <c r="AU20" s="204" t="e">
        <f>IF(K20=".",K20,IF(VLOOKUP($AL20&amp;K$1+K15&amp;K20, 工作表1!$C:$V,1,) &gt; 0,K20,"ERROR"))</f>
        <v>#VALUE!</v>
      </c>
      <c r="AV20" s="204" t="e">
        <f>IF(L20=".",L20,IF(VLOOKUP($AL20&amp;L$1+L15&amp;L20, 工作表1!$C:$V,1,) &gt; 0,L20,"ERROR"))</f>
        <v>#VALUE!</v>
      </c>
      <c r="AW20" s="204" t="e">
        <f>IF(M20=".",M20,IF(VLOOKUP($AL20&amp;M$1+M15&amp;M20, 工作表1!$C:$V,1,) &gt; 0,M20,"ERROR"))</f>
        <v>#VALUE!</v>
      </c>
      <c r="AX20" s="204" t="e">
        <f>IF(N20=".",N20,IF(VLOOKUP($AL20&amp;N$1+N15&amp;N20, 工作表1!$C:$V,1,) &gt; 0,N20,"ERROR"))</f>
        <v>#VALUE!</v>
      </c>
      <c r="AY20" s="204" t="e">
        <f>IF(O20=".",O20,IF(VLOOKUP($AL20&amp;O$1+O15&amp;O20, 工作表1!$C:$V,1,) &gt; 0,O20,"ERROR"))</f>
        <v>#VALUE!</v>
      </c>
      <c r="AZ20" s="204" t="e">
        <f>IF(P20=".",P20,IF(VLOOKUP($AL20&amp;P$1+P15&amp;P20, 工作表1!$C:$V,1,) &gt; 0,P20,"ERROR"))</f>
        <v>#VALUE!</v>
      </c>
      <c r="BA20" s="204" t="e">
        <f>IF(Q20=".",Q20,IF(VLOOKUP($AL20&amp;Q$1+Q15&amp;Q20, 工作表1!$C:$V,1,) &gt; 0,Q20,"ERROR"))</f>
        <v>#VALUE!</v>
      </c>
      <c r="BB20" s="204" t="e">
        <f>IF(R20=".",R20,IF(VLOOKUP($AL20&amp;R$1+R15&amp;R20, 工作表1!$C:$V,1,) &gt; 0,R20,"ERROR"))</f>
        <v>#VALUE!</v>
      </c>
      <c r="BC20" s="204" t="e">
        <f>IF(S20=".",S20,IF(VLOOKUP($AL20&amp;S$1+S15&amp;S20, 工作表1!$C:$V,1,) &gt; 0,S20,"ERROR"))</f>
        <v>#VALUE!</v>
      </c>
      <c r="BD20" s="204" t="e">
        <f>IF(T20=".",T20,IF(VLOOKUP($AL20&amp;T$1+T15&amp;T20, 工作表1!$C:$V,1,) &gt; 0,T20,"ERROR"))</f>
        <v>#VALUE!</v>
      </c>
      <c r="BE20" s="204" t="e">
        <f>IF(U20=".",U20,IF(VLOOKUP($AL20&amp;U$1+U15&amp;U20, 工作表1!$C:$V,1,) &gt; 0,U20,"ERROR"))</f>
        <v>#VALUE!</v>
      </c>
      <c r="BF20" s="204" t="e">
        <f>IF(V20=".",V20,IF(VLOOKUP($AL20&amp;V$1+V15&amp;V20, 工作表1!$C:$V,1,) &gt; 0,V20,"ERROR"))</f>
        <v>#VALUE!</v>
      </c>
      <c r="BG20" s="204" t="e">
        <f>IF(W20=".",W20,IF(VLOOKUP($AL20&amp;W$1+W15&amp;W20, 工作表1!$C:$V,1,) &gt; 0,W20,"ERROR"))</f>
        <v>#VALUE!</v>
      </c>
      <c r="BH20" s="204" t="e">
        <f>IF(X20=".",X20,IF(VLOOKUP($AL20&amp;X$1+X15&amp;X20, 工作表1!$C:$V,1,) &gt; 0,X20,"ERROR"))</f>
        <v>#VALUE!</v>
      </c>
      <c r="BI20" s="204" t="e">
        <f>IF(Y20=".",Y20,IF(VLOOKUP($AL20&amp;Y$1+Y15&amp;Y20, 工作表1!$C:$V,1,) &gt; 0,Y20,"ERROR"))</f>
        <v>#VALUE!</v>
      </c>
      <c r="BJ20" s="204" t="e">
        <f>IF(Z20=".",Z20,IF(VLOOKUP($AL20&amp;Z$1+Z15&amp;Z20, 工作表1!$C:$V,1,) &gt; 0,Z20,"ERROR"))</f>
        <v>#VALUE!</v>
      </c>
      <c r="BK20" s="204" t="e">
        <f>IF(AA20=".",AA20,IF(VLOOKUP($AL20&amp;AA$1+AA15&amp;AA20, 工作表1!$C:$V,1,) &gt; 0,AA20,"ERROR"))</f>
        <v>#VALUE!</v>
      </c>
      <c r="BL20" s="204" t="e">
        <f>IF(AB20=".",AB20,IF(VLOOKUP($AL20&amp;AB$1+AB15&amp;AB20, 工作表1!$C:$V,1,) &gt; 0,AB20,"ERROR"))</f>
        <v>#VALUE!</v>
      </c>
      <c r="BM20" s="204" t="e">
        <f>IF(AC20=".",AC20,IF(VLOOKUP($AL20&amp;AC$1+AC15&amp;AC20, 工作表1!$C:$V,1,) &gt; 0,AC20,"ERROR"))</f>
        <v>#VALUE!</v>
      </c>
      <c r="BN20" s="204" t="e">
        <f>IF(AD20=".",AD20,IF(VLOOKUP($AL20&amp;AD$1+AD15&amp;AD20, 工作表1!$C:$V,1,) &gt; 0,AD20,"ERROR"))</f>
        <v>#VALUE!</v>
      </c>
      <c r="BO20" s="204" t="e">
        <f>IF(AE20=".",AE20,IF(VLOOKUP($AL20&amp;AE$1+AE15&amp;AE20, 工作表1!$C:$V,1,) &gt; 0,AE20,"ERROR"))</f>
        <v>#VALUE!</v>
      </c>
      <c r="BP20" s="204" t="e">
        <f>IF(AF20=".",AF20,IF(VLOOKUP($AL20&amp;AF$1+AF15&amp;AF20, 工作表1!$C:$V,1,) &gt; 0,AF20,"ERROR"))</f>
        <v>#VALUE!</v>
      </c>
      <c r="BQ20" s="204" t="e">
        <f>IF(AG20=".",AG20,IF(VLOOKUP($AL20&amp;AG$1+AG15&amp;AG20, 工作表1!$C:$V,1,) &gt; 0,AG20,"ERROR"))</f>
        <v>#VALUE!</v>
      </c>
      <c r="BR20" s="204" t="e">
        <f>IF(#REF!=".",#REF!,IF(VLOOKUP($AL20&amp;#REF!+#REF!&amp;#REF!, 工作表1!$C:$V,1,) &gt; 0,#REF!,"ERROR"))</f>
        <v>#REF!</v>
      </c>
      <c r="BS20" s="204" t="e">
        <f>IF(#REF!=".",#REF!,IF(VLOOKUP($AL20&amp;#REF!+#REF!&amp;#REF!, 工作表1!$C:$V,1,) &gt; 0,#REF!,"ERROR"))</f>
        <v>#REF!</v>
      </c>
    </row>
    <row r="21" spans="1:71">
      <c r="A21" t="str" cm="1">
        <f t="array" ref="A21">_xlfn.LET(
    _xlpm.data, C21:AG21,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Mei Kiu</v>
      </c>
      <c r="B21" s="196" t="str">
        <v xml:space="preserve">TW YATA </v>
      </c>
      <c r="C21" s="202" t="str" cm="1">
        <f t="array" ref="C2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=$B21), ""),
   IF(_xlpm.filtered="", "", _xlpm.filtered)
)</f>
        <v/>
      </c>
      <c r="D21" s="202" t="str" cm="1">
        <f t="array" ref="D2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=$B21), ""),
   IF(_xlpm.filtered="", "", _xlpm.filtered)
)</f>
        <v/>
      </c>
      <c r="E21" s="202" t="str" cm="1">
        <f t="array" ref="E2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=$B21), ""),
   IF(_xlpm.filtered="", "", _xlpm.filtered)
)</f>
        <v/>
      </c>
      <c r="F21" s="202" t="str" cm="1">
        <f t="array" ref="F2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=$B21), ""),
   IF(_xlpm.filtered="", "", _xlpm.filtered)
)</f>
        <v/>
      </c>
      <c r="G21" s="202" t="str" cm="1">
        <f t="array" ref="G2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=$B21), ""),
   IF(_xlpm.filtered="", "", _xlpm.filtered)
)</f>
        <v/>
      </c>
      <c r="H21" s="202" t="str" cm="1">
        <f t="array" ref="H2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=$B21), ""),
   IF(_xlpm.filtered="", "", _xlpm.filtered)
)</f>
        <v>Mei Kiu</v>
      </c>
      <c r="I21" s="202" t="str" cm="1">
        <f t="array" ref="I2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=$B21), ""),
   IF(_xlpm.filtered="", "", _xlpm.filtered)
)</f>
        <v>Mei Kiu</v>
      </c>
      <c r="J21" s="202" t="str" cm="1">
        <f t="array" ref="J2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=$B21), ""),
   IF(_xlpm.filtered="", "", _xlpm.filtered)
)</f>
        <v/>
      </c>
      <c r="K21" s="202" t="str" cm="1">
        <f t="array" ref="K2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=$B21), ""),
   IF(_xlpm.filtered="", "", _xlpm.filtered)
)</f>
        <v/>
      </c>
      <c r="L21" s="202" t="str" cm="1">
        <f t="array" ref="L2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=$B21), ""),
   IF(_xlpm.filtered="", "", _xlpm.filtered)
)</f>
        <v/>
      </c>
      <c r="M21" s="202" t="str" cm="1">
        <f t="array" ref="M2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=$B21), ""),
   IF(_xlpm.filtered="", "", _xlpm.filtered)
)</f>
        <v/>
      </c>
      <c r="N21" s="202" t="str" cm="1">
        <f t="array" ref="N2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=$B21), ""),
   IF(_xlpm.filtered="", "", _xlpm.filtered)
)</f>
        <v/>
      </c>
      <c r="O21" s="202" t="str" cm="1">
        <f t="array" ref="O2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=$B21), ""),
   IF(_xlpm.filtered="", "", _xlpm.filtered)
)</f>
        <v>Mei Kiu</v>
      </c>
      <c r="P21" s="202" t="str" cm="1">
        <f t="array" ref="P2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=$B21), ""),
   IF(_xlpm.filtered="", "", _xlpm.filtered)
)</f>
        <v>Mei Kiu</v>
      </c>
      <c r="Q21" s="202" t="str" cm="1">
        <f t="array" ref="Q2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=$B21), ""),
   IF(_xlpm.filtered="", "", _xlpm.filtered)
)</f>
        <v/>
      </c>
      <c r="R21" s="202" t="str" cm="1">
        <f t="array" ref="R2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=$B21), ""),
   IF(_xlpm.filtered="", "", _xlpm.filtered)
)</f>
        <v/>
      </c>
      <c r="S21" s="202" t="str" cm="1">
        <f t="array" ref="S2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=$B21), ""),
   IF(_xlpm.filtered="", "", _xlpm.filtered)
)</f>
        <v/>
      </c>
      <c r="T21" s="202" t="str" cm="1">
        <f t="array" ref="T2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=$B21), ""),
   IF(_xlpm.filtered="", "", _xlpm.filtered)
)</f>
        <v/>
      </c>
      <c r="U21" s="202" t="str" cm="1">
        <f t="array" ref="U2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=$B21), ""),
   IF(_xlpm.filtered="", "", _xlpm.filtered)
)</f>
        <v/>
      </c>
      <c r="V21" s="202" t="str" cm="1">
        <f t="array" ref="V2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=$B21), ""),
   IF(_xlpm.filtered="", "", _xlpm.filtered)
)</f>
        <v>Mei Kiu</v>
      </c>
      <c r="W21" s="202" t="str" cm="1">
        <f t="array" ref="W2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=$B21), ""),
   IF(_xlpm.filtered="", "", _xlpm.filtered)
)</f>
        <v>Mei Kiu</v>
      </c>
      <c r="X21" s="202" t="str" cm="1">
        <f t="array" ref="X2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=$B21), ""),
   IF(_xlpm.filtered="", "", _xlpm.filtered)
)</f>
        <v/>
      </c>
      <c r="Y21" s="202" t="str" cm="1">
        <f t="array" ref="Y2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=$B21), ""),
   IF(_xlpm.filtered="", "", _xlpm.filtered)
)</f>
        <v/>
      </c>
      <c r="Z21" s="202" t="str" cm="1">
        <f t="array" ref="Z2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=$B21), ""),
   IF(_xlpm.filtered="", "", _xlpm.filtered)
)</f>
        <v/>
      </c>
      <c r="AA21" s="202" t="str" cm="1">
        <f t="array" ref="AA2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=$B21), ""),
   IF(_xlpm.filtered="", "", _xlpm.filtered)
)</f>
        <v/>
      </c>
      <c r="AB21" s="202" t="str" cm="1">
        <f t="array" ref="AB2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=$B21), ""),
   IF(_xlpm.filtered="", "", _xlpm.filtered)
)</f>
        <v/>
      </c>
      <c r="AC21" s="202" t="str" cm="1">
        <f t="array" ref="AC2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=$B21), ""),
   IF(_xlpm.filtered="", "", _xlpm.filtered)
)</f>
        <v>Mei Kiu</v>
      </c>
      <c r="AD21" s="202" t="str" cm="1">
        <f t="array" ref="AD2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=$B21), ""),
   IF(_xlpm.filtered="", "", _xlpm.filtered)
)</f>
        <v>Mei Kiu</v>
      </c>
      <c r="AE21" s="202" t="str" cm="1">
        <f t="array" ref="AE2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=$B21), ""),
   IF(_xlpm.filtered="", "", _xlpm.filtered)
)</f>
        <v/>
      </c>
      <c r="AF21" s="202" t="str" cm="1">
        <f t="array" ref="AF2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=$B21), ""),
   IF(_xlpm.filtered="", "", _xlpm.filtered)
)</f>
        <v/>
      </c>
      <c r="AG21" s="202" t="str" cm="1">
        <f t="array" ref="AG2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=$B21), ""),
   IF(_xlpm.filtered="", "", _xlpm.filtered)
)</f>
        <v/>
      </c>
      <c r="AH21" s="203">
        <f t="shared" si="33"/>
        <v>8</v>
      </c>
      <c r="AI21" s="203">
        <f t="shared" ref="AI21:AI31" si="36">AH21*8</f>
        <v>64</v>
      </c>
    </row>
    <row r="22" spans="1:71">
      <c r="A22" t="str" cm="1">
        <f t="array" ref="A22">_xlfn.LET(
    _xlpm.data, C22:AG22,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Ling</v>
      </c>
      <c r="B22" s="196" t="str">
        <v>YL Citistore</v>
      </c>
      <c r="C22" s="202" t="str" cm="1">
        <f t="array" ref="C2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=$B22), ""),
   IF(_xlpm.filtered="", "", _xlpm.filtered)
)</f>
        <v/>
      </c>
      <c r="D22" s="202" t="str" cm="1">
        <f t="array" ref="D2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=$B22), ""),
   IF(_xlpm.filtered="", "", _xlpm.filtered)
)</f>
        <v/>
      </c>
      <c r="E22" s="202" t="str" cm="1">
        <f t="array" ref="E2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=$B22), ""),
   IF(_xlpm.filtered="", "", _xlpm.filtered)
)</f>
        <v/>
      </c>
      <c r="F22" s="202" t="str" cm="1">
        <f t="array" ref="F2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=$B22), ""),
   IF(_xlpm.filtered="", "", _xlpm.filtered)
)</f>
        <v>Ling</v>
      </c>
      <c r="G22" s="202" t="str" cm="1">
        <f t="array" ref="G2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=$B22), ""),
   IF(_xlpm.filtered="", "", _xlpm.filtered)
)</f>
        <v>Ling</v>
      </c>
      <c r="H22" s="202" t="str" cm="1">
        <f t="array" ref="H2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=$B22), ""),
   IF(_xlpm.filtered="", "", _xlpm.filtered)
)</f>
        <v>Ling</v>
      </c>
      <c r="I22" s="202" t="str" cm="1">
        <f t="array" ref="I2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=$B22), ""),
   IF(_xlpm.filtered="", "", _xlpm.filtered)
)</f>
        <v>Ling</v>
      </c>
      <c r="J22" s="202" t="str" cm="1">
        <f t="array" ref="J2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=$B22), ""),
   IF(_xlpm.filtered="", "", _xlpm.filtered)
)</f>
        <v/>
      </c>
      <c r="K22" s="202" t="str" cm="1">
        <f t="array" ref="K2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=$B22), ""),
   IF(_xlpm.filtered="", "", _xlpm.filtered)
)</f>
        <v/>
      </c>
      <c r="L22" s="202" t="str" cm="1">
        <f t="array" ref="L2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=$B22), ""),
   IF(_xlpm.filtered="", "", _xlpm.filtered)
)</f>
        <v/>
      </c>
      <c r="M22" s="202" t="str" cm="1">
        <f t="array" ref="M2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=$B22), ""),
   IF(_xlpm.filtered="", "", _xlpm.filtered)
)</f>
        <v>Ling</v>
      </c>
      <c r="N22" s="202" t="str" cm="1">
        <f t="array" ref="N2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=$B22), ""),
   IF(_xlpm.filtered="", "", _xlpm.filtered)
)</f>
        <v>Ling</v>
      </c>
      <c r="O22" s="202" t="str" cm="1">
        <f t="array" ref="O2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=$B22), ""),
   IF(_xlpm.filtered="", "", _xlpm.filtered)
)</f>
        <v>Ling</v>
      </c>
      <c r="P22" s="202" t="str" cm="1">
        <f t="array" ref="P2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=$B22), ""),
   IF(_xlpm.filtered="", "", _xlpm.filtered)
)</f>
        <v>Ling</v>
      </c>
      <c r="Q22" s="202" t="str" cm="1">
        <f t="array" ref="Q2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=$B22), ""),
   IF(_xlpm.filtered="", "", _xlpm.filtered)
)</f>
        <v/>
      </c>
      <c r="R22" s="202" t="str" cm="1">
        <f t="array" ref="R2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=$B22), ""),
   IF(_xlpm.filtered="", "", _xlpm.filtered)
)</f>
        <v/>
      </c>
      <c r="S22" s="202" t="str" cm="1">
        <f t="array" ref="S2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=$B22), ""),
   IF(_xlpm.filtered="", "", _xlpm.filtered)
)</f>
        <v/>
      </c>
      <c r="T22" s="202" t="str" cm="1">
        <f t="array" ref="T2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=$B22), ""),
   IF(_xlpm.filtered="", "", _xlpm.filtered)
)</f>
        <v>Ling</v>
      </c>
      <c r="U22" s="202" t="str" cm="1">
        <f t="array" ref="U2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=$B22), ""),
   IF(_xlpm.filtered="", "", _xlpm.filtered)
)</f>
        <v>Ling</v>
      </c>
      <c r="V22" s="202" t="str" cm="1">
        <f t="array" ref="V2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=$B22), ""),
   IF(_xlpm.filtered="", "", _xlpm.filtered)
)</f>
        <v>Ling</v>
      </c>
      <c r="W22" s="202" t="str" cm="1">
        <f t="array" ref="W2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=$B22), ""),
   IF(_xlpm.filtered="", "", _xlpm.filtered)
)</f>
        <v>Ling</v>
      </c>
      <c r="X22" s="202" t="str" cm="1">
        <f t="array" ref="X2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=$B22), ""),
   IF(_xlpm.filtered="", "", _xlpm.filtered)
)</f>
        <v/>
      </c>
      <c r="Y22" s="202" t="str" cm="1">
        <f t="array" ref="Y2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=$B22), ""),
   IF(_xlpm.filtered="", "", _xlpm.filtered)
)</f>
        <v/>
      </c>
      <c r="Z22" s="202" t="str" cm="1">
        <f t="array" ref="Z2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=$B22), ""),
   IF(_xlpm.filtered="", "", _xlpm.filtered)
)</f>
        <v/>
      </c>
      <c r="AA22" s="202" t="str" cm="1">
        <f t="array" ref="AA2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=$B22), ""),
   IF(_xlpm.filtered="", "", _xlpm.filtered)
)</f>
        <v>Ling</v>
      </c>
      <c r="AB22" s="202" t="str" cm="1">
        <f t="array" ref="AB2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=$B22), ""),
   IF(_xlpm.filtered="", "", _xlpm.filtered)
)</f>
        <v>Ling</v>
      </c>
      <c r="AC22" s="202" t="str" cm="1">
        <f t="array" ref="AC2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=$B22), ""),
   IF(_xlpm.filtered="", "", _xlpm.filtered)
)</f>
        <v>Ling</v>
      </c>
      <c r="AD22" s="202" t="str" cm="1">
        <f t="array" ref="AD2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=$B22), ""),
   IF(_xlpm.filtered="", "", _xlpm.filtered)
)</f>
        <v>Ling</v>
      </c>
      <c r="AE22" s="202" t="str" cm="1">
        <f t="array" ref="AE2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=$B22), ""),
   IF(_xlpm.filtered="", "", _xlpm.filtered)
)</f>
        <v/>
      </c>
      <c r="AF22" s="202" t="str" cm="1">
        <f t="array" ref="AF2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=$B22), ""),
   IF(_xlpm.filtered="", "", _xlpm.filtered)
)</f>
        <v/>
      </c>
      <c r="AG22" s="202" t="str" cm="1">
        <f t="array" ref="AG2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=$B22), ""),
   IF(_xlpm.filtered="", "", _xlpm.filtered)
)</f>
        <v/>
      </c>
      <c r="AH22" s="203">
        <f t="shared" si="33"/>
        <v>16</v>
      </c>
      <c r="AI22" s="203">
        <f t="shared" si="36"/>
        <v>128</v>
      </c>
      <c r="AM22" t="str">
        <f>IF(OR(C8="."), C8,"ERROR")</f>
        <v>ERROR</v>
      </c>
    </row>
    <row r="23" spans="1:71">
      <c r="A23" t="e" cm="1" vm="1">
        <f t="array" ref="A23">_xlfn.LET(
    _xlpm.data, C23:AG23,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3" s="196"/>
      <c r="C23" s="202" t="str" cm="1">
        <f t="array" ref="C2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=$B23), ""),
   IF(_xlpm.filtered="", "", _xlpm.filtered)
)</f>
        <v/>
      </c>
      <c r="D23" s="202" t="str" cm="1">
        <f t="array" ref="D2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=$B23), ""),
   IF(_xlpm.filtered="", "", _xlpm.filtered)
)</f>
        <v/>
      </c>
      <c r="E23" s="202" t="str" cm="1">
        <f t="array" ref="E2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=$B23), ""),
   IF(_xlpm.filtered="", "", _xlpm.filtered)
)</f>
        <v/>
      </c>
      <c r="F23" s="202" t="str" cm="1">
        <f t="array" ref="F2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=$B23), ""),
   IF(_xlpm.filtered="", "", _xlpm.filtered)
)</f>
        <v/>
      </c>
      <c r="G23" s="202" t="str" cm="1">
        <f t="array" ref="G2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=$B23), ""),
   IF(_xlpm.filtered="", "", _xlpm.filtered)
)</f>
        <v/>
      </c>
      <c r="H23" s="202" t="str" cm="1">
        <f t="array" ref="H2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=$B23), ""),
   IF(_xlpm.filtered="", "", _xlpm.filtered)
)</f>
        <v/>
      </c>
      <c r="I23" s="202" t="str" cm="1">
        <f t="array" ref="I2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=$B23), ""),
   IF(_xlpm.filtered="", "", _xlpm.filtered)
)</f>
        <v/>
      </c>
      <c r="J23" s="202" t="str" cm="1">
        <f t="array" ref="J2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=$B23), ""),
   IF(_xlpm.filtered="", "", _xlpm.filtered)
)</f>
        <v/>
      </c>
      <c r="K23" s="202" t="str" cm="1">
        <f t="array" ref="K2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=$B23), ""),
   IF(_xlpm.filtered="", "", _xlpm.filtered)
)</f>
        <v/>
      </c>
      <c r="L23" s="202" t="str" cm="1">
        <f t="array" ref="L2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=$B23), ""),
   IF(_xlpm.filtered="", "", _xlpm.filtered)
)</f>
        <v/>
      </c>
      <c r="M23" s="202" t="str" cm="1">
        <f t="array" ref="M2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=$B23), ""),
   IF(_xlpm.filtered="", "", _xlpm.filtered)
)</f>
        <v/>
      </c>
      <c r="N23" s="202" t="str" cm="1">
        <f t="array" ref="N2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=$B23), ""),
   IF(_xlpm.filtered="", "", _xlpm.filtered)
)</f>
        <v/>
      </c>
      <c r="O23" s="202" t="str" cm="1">
        <f t="array" ref="O2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=$B23), ""),
   IF(_xlpm.filtered="", "", _xlpm.filtered)
)</f>
        <v/>
      </c>
      <c r="P23" s="202" t="str" cm="1">
        <f t="array" ref="P2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=$B23), ""),
   IF(_xlpm.filtered="", "", _xlpm.filtered)
)</f>
        <v/>
      </c>
      <c r="Q23" s="202" t="str" cm="1">
        <f t="array" ref="Q2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=$B23), ""),
   IF(_xlpm.filtered="", "", _xlpm.filtered)
)</f>
        <v/>
      </c>
      <c r="R23" s="202" t="str" cm="1">
        <f t="array" ref="R2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=$B23), ""),
   IF(_xlpm.filtered="", "", _xlpm.filtered)
)</f>
        <v/>
      </c>
      <c r="S23" s="202" t="str" cm="1">
        <f t="array" ref="S2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=$B23), ""),
   IF(_xlpm.filtered="", "", _xlpm.filtered)
)</f>
        <v/>
      </c>
      <c r="T23" s="202" t="str" cm="1">
        <f t="array" ref="T2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=$B23), ""),
   IF(_xlpm.filtered="", "", _xlpm.filtered)
)</f>
        <v/>
      </c>
      <c r="U23" s="202" t="str" cm="1">
        <f t="array" ref="U2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=$B23), ""),
   IF(_xlpm.filtered="", "", _xlpm.filtered)
)</f>
        <v/>
      </c>
      <c r="V23" s="202" t="str" cm="1">
        <f t="array" ref="V2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=$B23), ""),
   IF(_xlpm.filtered="", "", _xlpm.filtered)
)</f>
        <v/>
      </c>
      <c r="W23" s="202" t="str" cm="1">
        <f t="array" ref="W2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=$B23), ""),
   IF(_xlpm.filtered="", "", _xlpm.filtered)
)</f>
        <v/>
      </c>
      <c r="X23" s="202" t="str" cm="1">
        <f t="array" ref="X2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=$B23), ""),
   IF(_xlpm.filtered="", "", _xlpm.filtered)
)</f>
        <v/>
      </c>
      <c r="Y23" s="202" t="str" cm="1">
        <f t="array" ref="Y2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=$B23), ""),
   IF(_xlpm.filtered="", "", _xlpm.filtered)
)</f>
        <v/>
      </c>
      <c r="Z23" s="202" t="str" cm="1">
        <f t="array" ref="Z2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=$B23), ""),
   IF(_xlpm.filtered="", "", _xlpm.filtered)
)</f>
        <v/>
      </c>
      <c r="AA23" s="202" t="str" cm="1">
        <f t="array" ref="AA2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=$B23), ""),
   IF(_xlpm.filtered="", "", _xlpm.filtered)
)</f>
        <v/>
      </c>
      <c r="AB23" s="202" t="str" cm="1">
        <f t="array" ref="AB2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=$B23), ""),
   IF(_xlpm.filtered="", "", _xlpm.filtered)
)</f>
        <v/>
      </c>
      <c r="AC23" s="202" t="str" cm="1">
        <f t="array" ref="AC2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=$B23), ""),
   IF(_xlpm.filtered="", "", _xlpm.filtered)
)</f>
        <v/>
      </c>
      <c r="AD23" s="202" t="str" cm="1">
        <f t="array" ref="AD2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=$B23), ""),
   IF(_xlpm.filtered="", "", _xlpm.filtered)
)</f>
        <v/>
      </c>
      <c r="AE23" s="202" t="str" cm="1">
        <f t="array" ref="AE2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=$B23), ""),
   IF(_xlpm.filtered="", "", _xlpm.filtered)
)</f>
        <v/>
      </c>
      <c r="AF23" s="202" t="str" cm="1">
        <f t="array" ref="AF2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=$B23), ""),
   IF(_xlpm.filtered="", "", _xlpm.filtered)
)</f>
        <v/>
      </c>
      <c r="AG23" s="202" t="str" cm="1">
        <f t="array" ref="AG2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=$B23), ""),
   IF(_xlpm.filtered="", "", _xlpm.filtered)
)</f>
        <v/>
      </c>
      <c r="AH23" s="203">
        <f t="shared" si="33"/>
        <v>0</v>
      </c>
      <c r="AI23" s="203">
        <f t="shared" si="36"/>
        <v>0</v>
      </c>
    </row>
    <row r="24" spans="1:71">
      <c r="A24" t="e" cm="1" vm="1">
        <f t="array" ref="A24">_xlfn.LET(
    _xlpm.data, C24:AG24,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4" s="196"/>
      <c r="C24" s="202" t="str" cm="1">
        <f t="array" ref="C2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=$B24), ""),
   IF(_xlpm.filtered="", "", _xlpm.filtered)
)</f>
        <v/>
      </c>
      <c r="D24" s="202" t="str" cm="1">
        <f t="array" ref="D2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=$B24), ""),
   IF(_xlpm.filtered="", "", _xlpm.filtered)
)</f>
        <v/>
      </c>
      <c r="E24" s="202" t="str" cm="1">
        <f t="array" ref="E2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=$B24), ""),
   IF(_xlpm.filtered="", "", _xlpm.filtered)
)</f>
        <v/>
      </c>
      <c r="F24" s="202" t="str" cm="1">
        <f t="array" ref="F2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=$B24), ""),
   IF(_xlpm.filtered="", "", _xlpm.filtered)
)</f>
        <v/>
      </c>
      <c r="G24" s="202" t="str" cm="1">
        <f t="array" ref="G2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=$B24), ""),
   IF(_xlpm.filtered="", "", _xlpm.filtered)
)</f>
        <v/>
      </c>
      <c r="H24" s="202" t="str" cm="1">
        <f t="array" ref="H2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=$B24), ""),
   IF(_xlpm.filtered="", "", _xlpm.filtered)
)</f>
        <v/>
      </c>
      <c r="I24" s="202" t="str" cm="1">
        <f t="array" ref="I2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=$B24), ""),
   IF(_xlpm.filtered="", "", _xlpm.filtered)
)</f>
        <v/>
      </c>
      <c r="J24" s="202" t="str" cm="1">
        <f t="array" ref="J2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=$B24), ""),
   IF(_xlpm.filtered="", "", _xlpm.filtered)
)</f>
        <v/>
      </c>
      <c r="K24" s="202" t="str" cm="1">
        <f t="array" ref="K2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=$B24), ""),
   IF(_xlpm.filtered="", "", _xlpm.filtered)
)</f>
        <v/>
      </c>
      <c r="L24" s="202" t="str" cm="1">
        <f t="array" ref="L2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=$B24), ""),
   IF(_xlpm.filtered="", "", _xlpm.filtered)
)</f>
        <v/>
      </c>
      <c r="M24" s="202" t="str" cm="1">
        <f t="array" ref="M2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=$B24), ""),
   IF(_xlpm.filtered="", "", _xlpm.filtered)
)</f>
        <v/>
      </c>
      <c r="N24" s="202" t="str" cm="1">
        <f t="array" ref="N2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=$B24), ""),
   IF(_xlpm.filtered="", "", _xlpm.filtered)
)</f>
        <v/>
      </c>
      <c r="O24" s="202" t="str" cm="1">
        <f t="array" ref="O2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=$B24), ""),
   IF(_xlpm.filtered="", "", _xlpm.filtered)
)</f>
        <v/>
      </c>
      <c r="P24" s="202" t="str" cm="1">
        <f t="array" ref="P2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=$B24), ""),
   IF(_xlpm.filtered="", "", _xlpm.filtered)
)</f>
        <v/>
      </c>
      <c r="Q24" s="202" t="str" cm="1">
        <f t="array" ref="Q2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=$B24), ""),
   IF(_xlpm.filtered="", "", _xlpm.filtered)
)</f>
        <v/>
      </c>
      <c r="R24" s="202" t="str" cm="1">
        <f t="array" ref="R2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=$B24), ""),
   IF(_xlpm.filtered="", "", _xlpm.filtered)
)</f>
        <v/>
      </c>
      <c r="S24" s="202" t="str" cm="1">
        <f t="array" ref="S2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=$B24), ""),
   IF(_xlpm.filtered="", "", _xlpm.filtered)
)</f>
        <v/>
      </c>
      <c r="T24" s="202" t="str" cm="1">
        <f t="array" ref="T2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=$B24), ""),
   IF(_xlpm.filtered="", "", _xlpm.filtered)
)</f>
        <v/>
      </c>
      <c r="U24" s="202" t="str" cm="1">
        <f t="array" ref="U2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=$B24), ""),
   IF(_xlpm.filtered="", "", _xlpm.filtered)
)</f>
        <v/>
      </c>
      <c r="V24" s="202" t="str" cm="1">
        <f t="array" ref="V2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=$B24), ""),
   IF(_xlpm.filtered="", "", _xlpm.filtered)
)</f>
        <v/>
      </c>
      <c r="W24" s="202" t="str" cm="1">
        <f t="array" ref="W2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=$B24), ""),
   IF(_xlpm.filtered="", "", _xlpm.filtered)
)</f>
        <v/>
      </c>
      <c r="X24" s="202" t="str" cm="1">
        <f t="array" ref="X2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=$B24), ""),
   IF(_xlpm.filtered="", "", _xlpm.filtered)
)</f>
        <v/>
      </c>
      <c r="Y24" s="202" t="str" cm="1">
        <f t="array" ref="Y2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=$B24), ""),
   IF(_xlpm.filtered="", "", _xlpm.filtered)
)</f>
        <v/>
      </c>
      <c r="Z24" s="202" t="str" cm="1">
        <f t="array" ref="Z2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=$B24), ""),
   IF(_xlpm.filtered="", "", _xlpm.filtered)
)</f>
        <v/>
      </c>
      <c r="AA24" s="202" t="str" cm="1">
        <f t="array" ref="AA2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=$B24), ""),
   IF(_xlpm.filtered="", "", _xlpm.filtered)
)</f>
        <v/>
      </c>
      <c r="AB24" s="202" t="str" cm="1">
        <f t="array" ref="AB2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=$B24), ""),
   IF(_xlpm.filtered="", "", _xlpm.filtered)
)</f>
        <v/>
      </c>
      <c r="AC24" s="202" t="str" cm="1">
        <f t="array" ref="AC2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=$B24), ""),
   IF(_xlpm.filtered="", "", _xlpm.filtered)
)</f>
        <v/>
      </c>
      <c r="AD24" s="202" t="str" cm="1">
        <f t="array" ref="AD2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=$B24), ""),
   IF(_xlpm.filtered="", "", _xlpm.filtered)
)</f>
        <v/>
      </c>
      <c r="AE24" s="202" t="str" cm="1">
        <f t="array" ref="AE2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=$B24), ""),
   IF(_xlpm.filtered="", "", _xlpm.filtered)
)</f>
        <v/>
      </c>
      <c r="AF24" s="202" t="str" cm="1">
        <f t="array" ref="AF2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=$B24), ""),
   IF(_xlpm.filtered="", "", _xlpm.filtered)
)</f>
        <v/>
      </c>
      <c r="AG24" s="202" t="str" cm="1">
        <f t="array" ref="AG2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=$B24), ""),
   IF(_xlpm.filtered="", "", _xlpm.filtered)
)</f>
        <v/>
      </c>
      <c r="AH24" s="203">
        <f t="shared" si="33"/>
        <v>0</v>
      </c>
      <c r="AI24" s="203">
        <f t="shared" si="36"/>
        <v>0</v>
      </c>
    </row>
    <row r="25" spans="1:71">
      <c r="A25" t="e" cm="1" vm="1">
        <f t="array" ref="A25">_xlfn.LET(
    _xlpm.data, C25:AG25,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5" s="196"/>
      <c r="C25" s="202" t="str" cm="1">
        <f t="array" ref="C2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=$B25), ""),
   IF(_xlpm.filtered="", "", _xlpm.filtered)
)</f>
        <v/>
      </c>
      <c r="D25" s="202" t="str" cm="1">
        <f t="array" ref="D2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=$B25), ""),
   IF(_xlpm.filtered="", "", _xlpm.filtered)
)</f>
        <v/>
      </c>
      <c r="E25" s="202" t="str" cm="1">
        <f t="array" ref="E2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=$B25), ""),
   IF(_xlpm.filtered="", "", _xlpm.filtered)
)</f>
        <v/>
      </c>
      <c r="F25" s="202" t="str" cm="1">
        <f t="array" ref="F2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=$B25), ""),
   IF(_xlpm.filtered="", "", _xlpm.filtered)
)</f>
        <v/>
      </c>
      <c r="G25" s="202" t="str" cm="1">
        <f t="array" ref="G2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=$B25), ""),
   IF(_xlpm.filtered="", "", _xlpm.filtered)
)</f>
        <v/>
      </c>
      <c r="H25" s="202" t="str" cm="1">
        <f t="array" ref="H2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=$B25), ""),
   IF(_xlpm.filtered="", "", _xlpm.filtered)
)</f>
        <v/>
      </c>
      <c r="I25" s="202" t="str" cm="1">
        <f t="array" ref="I2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=$B25), ""),
   IF(_xlpm.filtered="", "", _xlpm.filtered)
)</f>
        <v/>
      </c>
      <c r="J25" s="202" t="str" cm="1">
        <f t="array" ref="J2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=$B25), ""),
   IF(_xlpm.filtered="", "", _xlpm.filtered)
)</f>
        <v/>
      </c>
      <c r="K25" s="202" t="str" cm="1">
        <f t="array" ref="K2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=$B25), ""),
   IF(_xlpm.filtered="", "", _xlpm.filtered)
)</f>
        <v/>
      </c>
      <c r="L25" s="202" t="str" cm="1">
        <f t="array" ref="L2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=$B25), ""),
   IF(_xlpm.filtered="", "", _xlpm.filtered)
)</f>
        <v/>
      </c>
      <c r="M25" s="202" t="str" cm="1">
        <f t="array" ref="M2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=$B25), ""),
   IF(_xlpm.filtered="", "", _xlpm.filtered)
)</f>
        <v/>
      </c>
      <c r="N25" s="202" t="str" cm="1">
        <f t="array" ref="N2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=$B25), ""),
   IF(_xlpm.filtered="", "", _xlpm.filtered)
)</f>
        <v/>
      </c>
      <c r="O25" s="202" t="str" cm="1">
        <f t="array" ref="O2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=$B25), ""),
   IF(_xlpm.filtered="", "", _xlpm.filtered)
)</f>
        <v/>
      </c>
      <c r="P25" s="202" t="str" cm="1">
        <f t="array" ref="P2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=$B25), ""),
   IF(_xlpm.filtered="", "", _xlpm.filtered)
)</f>
        <v/>
      </c>
      <c r="Q25" s="202" t="str" cm="1">
        <f t="array" ref="Q2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=$B25), ""),
   IF(_xlpm.filtered="", "", _xlpm.filtered)
)</f>
        <v/>
      </c>
      <c r="R25" s="202" t="str" cm="1">
        <f t="array" ref="R2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=$B25), ""),
   IF(_xlpm.filtered="", "", _xlpm.filtered)
)</f>
        <v/>
      </c>
      <c r="S25" s="202" t="str" cm="1">
        <f t="array" ref="S2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=$B25), ""),
   IF(_xlpm.filtered="", "", _xlpm.filtered)
)</f>
        <v/>
      </c>
      <c r="T25" s="202" t="str" cm="1">
        <f t="array" ref="T2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=$B25), ""),
   IF(_xlpm.filtered="", "", _xlpm.filtered)
)</f>
        <v/>
      </c>
      <c r="U25" s="202" t="str" cm="1">
        <f t="array" ref="U2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=$B25), ""),
   IF(_xlpm.filtered="", "", _xlpm.filtered)
)</f>
        <v/>
      </c>
      <c r="V25" s="202" t="str" cm="1">
        <f t="array" ref="V2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=$B25), ""),
   IF(_xlpm.filtered="", "", _xlpm.filtered)
)</f>
        <v/>
      </c>
      <c r="W25" s="202" t="str" cm="1">
        <f t="array" ref="W2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=$B25), ""),
   IF(_xlpm.filtered="", "", _xlpm.filtered)
)</f>
        <v/>
      </c>
      <c r="X25" s="202" t="str" cm="1">
        <f t="array" ref="X2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=$B25), ""),
   IF(_xlpm.filtered="", "", _xlpm.filtered)
)</f>
        <v/>
      </c>
      <c r="Y25" s="202" t="str" cm="1">
        <f t="array" ref="Y2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=$B25), ""),
   IF(_xlpm.filtered="", "", _xlpm.filtered)
)</f>
        <v/>
      </c>
      <c r="Z25" s="202" t="str" cm="1">
        <f t="array" ref="Z2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=$B25), ""),
   IF(_xlpm.filtered="", "", _xlpm.filtered)
)</f>
        <v/>
      </c>
      <c r="AA25" s="202" t="str" cm="1">
        <f t="array" ref="AA2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=$B25), ""),
   IF(_xlpm.filtered="", "", _xlpm.filtered)
)</f>
        <v/>
      </c>
      <c r="AB25" s="202" t="str" cm="1">
        <f t="array" ref="AB2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=$B25), ""),
   IF(_xlpm.filtered="", "", _xlpm.filtered)
)</f>
        <v/>
      </c>
      <c r="AC25" s="202" t="str" cm="1">
        <f t="array" ref="AC2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=$B25), ""),
   IF(_xlpm.filtered="", "", _xlpm.filtered)
)</f>
        <v/>
      </c>
      <c r="AD25" s="202" t="str" cm="1">
        <f t="array" ref="AD2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=$B25), ""),
   IF(_xlpm.filtered="", "", _xlpm.filtered)
)</f>
        <v/>
      </c>
      <c r="AE25" s="202" t="str" cm="1">
        <f t="array" ref="AE2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=$B25), ""),
   IF(_xlpm.filtered="", "", _xlpm.filtered)
)</f>
        <v/>
      </c>
      <c r="AF25" s="202" t="str" cm="1">
        <f t="array" ref="AF2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=$B25), ""),
   IF(_xlpm.filtered="", "", _xlpm.filtered)
)</f>
        <v/>
      </c>
      <c r="AG25" s="202" t="str" cm="1">
        <f t="array" ref="AG2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=$B25), ""),
   IF(_xlpm.filtered="", "", _xlpm.filtered)
)</f>
        <v/>
      </c>
      <c r="AH25" s="203">
        <f t="shared" si="33"/>
        <v>0</v>
      </c>
      <c r="AI25" s="203">
        <f t="shared" si="36"/>
        <v>0</v>
      </c>
    </row>
    <row r="26" spans="1:71">
      <c r="A26" t="e" cm="1" vm="1">
        <f t="array" ref="A26">_xlfn.LET(
    _xlpm.data, C26:AG26,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6" s="196"/>
      <c r="C26" s="202" t="str" cm="1">
        <f t="array" ref="C2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=$B26), ""),
   IF(_xlpm.filtered="", "", _xlpm.filtered)
)</f>
        <v/>
      </c>
      <c r="D26" s="202" t="str" cm="1">
        <f t="array" ref="D2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=$B26), ""),
   IF(_xlpm.filtered="", "", _xlpm.filtered)
)</f>
        <v/>
      </c>
      <c r="E26" s="202" t="str" cm="1">
        <f t="array" ref="E2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=$B26), ""),
   IF(_xlpm.filtered="", "", _xlpm.filtered)
)</f>
        <v/>
      </c>
      <c r="F26" s="202" t="str" cm="1">
        <f t="array" ref="F2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=$B26), ""),
   IF(_xlpm.filtered="", "", _xlpm.filtered)
)</f>
        <v/>
      </c>
      <c r="G26" s="202" t="str" cm="1">
        <f t="array" ref="G2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=$B26), ""),
   IF(_xlpm.filtered="", "", _xlpm.filtered)
)</f>
        <v/>
      </c>
      <c r="H26" s="202" t="str" cm="1">
        <f t="array" ref="H2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=$B26), ""),
   IF(_xlpm.filtered="", "", _xlpm.filtered)
)</f>
        <v/>
      </c>
      <c r="I26" s="202" t="str" cm="1">
        <f t="array" ref="I2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=$B26), ""),
   IF(_xlpm.filtered="", "", _xlpm.filtered)
)</f>
        <v/>
      </c>
      <c r="J26" s="202" t="str" cm="1">
        <f t="array" ref="J2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=$B26), ""),
   IF(_xlpm.filtered="", "", _xlpm.filtered)
)</f>
        <v/>
      </c>
      <c r="K26" s="202" t="str" cm="1">
        <f t="array" ref="K2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=$B26), ""),
   IF(_xlpm.filtered="", "", _xlpm.filtered)
)</f>
        <v/>
      </c>
      <c r="L26" s="202" t="str" cm="1">
        <f t="array" ref="L2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=$B26), ""),
   IF(_xlpm.filtered="", "", _xlpm.filtered)
)</f>
        <v/>
      </c>
      <c r="M26" s="202" t="str" cm="1">
        <f t="array" ref="M2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=$B26), ""),
   IF(_xlpm.filtered="", "", _xlpm.filtered)
)</f>
        <v/>
      </c>
      <c r="N26" s="202" t="str" cm="1">
        <f t="array" ref="N2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=$B26), ""),
   IF(_xlpm.filtered="", "", _xlpm.filtered)
)</f>
        <v/>
      </c>
      <c r="O26" s="202" t="str" cm="1">
        <f t="array" ref="O2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=$B26), ""),
   IF(_xlpm.filtered="", "", _xlpm.filtered)
)</f>
        <v/>
      </c>
      <c r="P26" s="202" t="str" cm="1">
        <f t="array" ref="P2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=$B26), ""),
   IF(_xlpm.filtered="", "", _xlpm.filtered)
)</f>
        <v/>
      </c>
      <c r="Q26" s="202" t="str" cm="1">
        <f t="array" ref="Q2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=$B26), ""),
   IF(_xlpm.filtered="", "", _xlpm.filtered)
)</f>
        <v/>
      </c>
      <c r="R26" s="202" t="str" cm="1">
        <f t="array" ref="R2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=$B26), ""),
   IF(_xlpm.filtered="", "", _xlpm.filtered)
)</f>
        <v/>
      </c>
      <c r="S26" s="202" t="str" cm="1">
        <f t="array" ref="S2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=$B26), ""),
   IF(_xlpm.filtered="", "", _xlpm.filtered)
)</f>
        <v/>
      </c>
      <c r="T26" s="202" t="str" cm="1">
        <f t="array" ref="T2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=$B26), ""),
   IF(_xlpm.filtered="", "", _xlpm.filtered)
)</f>
        <v/>
      </c>
      <c r="U26" s="202" t="str" cm="1">
        <f t="array" ref="U2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=$B26), ""),
   IF(_xlpm.filtered="", "", _xlpm.filtered)
)</f>
        <v/>
      </c>
      <c r="V26" s="202" t="str" cm="1">
        <f t="array" ref="V2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=$B26), ""),
   IF(_xlpm.filtered="", "", _xlpm.filtered)
)</f>
        <v/>
      </c>
      <c r="W26" s="202" t="str" cm="1">
        <f t="array" ref="W2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=$B26), ""),
   IF(_xlpm.filtered="", "", _xlpm.filtered)
)</f>
        <v/>
      </c>
      <c r="X26" s="202" t="str" cm="1">
        <f t="array" ref="X2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=$B26), ""),
   IF(_xlpm.filtered="", "", _xlpm.filtered)
)</f>
        <v/>
      </c>
      <c r="Y26" s="202" t="str" cm="1">
        <f t="array" ref="Y2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=$B26), ""),
   IF(_xlpm.filtered="", "", _xlpm.filtered)
)</f>
        <v/>
      </c>
      <c r="Z26" s="202" t="str" cm="1">
        <f t="array" ref="Z2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=$B26), ""),
   IF(_xlpm.filtered="", "", _xlpm.filtered)
)</f>
        <v/>
      </c>
      <c r="AA26" s="202" t="str" cm="1">
        <f t="array" ref="AA2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=$B26), ""),
   IF(_xlpm.filtered="", "", _xlpm.filtered)
)</f>
        <v/>
      </c>
      <c r="AB26" s="202" t="str" cm="1">
        <f t="array" ref="AB2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=$B26), ""),
   IF(_xlpm.filtered="", "", _xlpm.filtered)
)</f>
        <v/>
      </c>
      <c r="AC26" s="202" t="str" cm="1">
        <f t="array" ref="AC2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=$B26), ""),
   IF(_xlpm.filtered="", "", _xlpm.filtered)
)</f>
        <v/>
      </c>
      <c r="AD26" s="202" t="str" cm="1">
        <f t="array" ref="AD2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=$B26), ""),
   IF(_xlpm.filtered="", "", _xlpm.filtered)
)</f>
        <v/>
      </c>
      <c r="AE26" s="202" t="str" cm="1">
        <f t="array" ref="AE2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=$B26), ""),
   IF(_xlpm.filtered="", "", _xlpm.filtered)
)</f>
        <v/>
      </c>
      <c r="AF26" s="202" t="str" cm="1">
        <f t="array" ref="AF2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=$B26), ""),
   IF(_xlpm.filtered="", "", _xlpm.filtered)
)</f>
        <v/>
      </c>
      <c r="AG26" s="202" t="str" cm="1">
        <f t="array" ref="AG2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=$B26), ""),
   IF(_xlpm.filtered="", "", _xlpm.filtered)
)</f>
        <v/>
      </c>
      <c r="AH26" s="203">
        <f t="shared" si="33"/>
        <v>0</v>
      </c>
      <c r="AI26" s="203">
        <f t="shared" si="36"/>
        <v>0</v>
      </c>
    </row>
    <row r="27" spans="1:71">
      <c r="A27" t="e" cm="1" vm="1">
        <f t="array" ref="A27">_xlfn.LET(
    _xlpm.data, C27:AG27,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7" s="196"/>
      <c r="C27" s="202" t="str" cm="1">
        <f t="array" ref="C2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=$B27), ""),
   IF(_xlpm.filtered="", "", _xlpm.filtered)
)</f>
        <v/>
      </c>
      <c r="D27" s="202" t="str" cm="1">
        <f t="array" ref="D2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=$B27), ""),
   IF(_xlpm.filtered="", "", _xlpm.filtered)
)</f>
        <v/>
      </c>
      <c r="E27" s="202" t="str" cm="1">
        <f t="array" ref="E2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=$B27), ""),
   IF(_xlpm.filtered="", "", _xlpm.filtered)
)</f>
        <v/>
      </c>
      <c r="F27" s="202" t="str" cm="1">
        <f t="array" ref="F2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=$B27), ""),
   IF(_xlpm.filtered="", "", _xlpm.filtered)
)</f>
        <v/>
      </c>
      <c r="G27" s="202" t="str" cm="1">
        <f t="array" ref="G2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=$B27), ""),
   IF(_xlpm.filtered="", "", _xlpm.filtered)
)</f>
        <v/>
      </c>
      <c r="H27" s="202" t="str" cm="1">
        <f t="array" ref="H2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=$B27), ""),
   IF(_xlpm.filtered="", "", _xlpm.filtered)
)</f>
        <v/>
      </c>
      <c r="I27" s="202" t="str" cm="1">
        <f t="array" ref="I2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=$B27), ""),
   IF(_xlpm.filtered="", "", _xlpm.filtered)
)</f>
        <v/>
      </c>
      <c r="J27" s="202" t="str" cm="1">
        <f t="array" ref="J2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=$B27), ""),
   IF(_xlpm.filtered="", "", _xlpm.filtered)
)</f>
        <v/>
      </c>
      <c r="K27" s="202" t="str" cm="1">
        <f t="array" ref="K2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=$B27), ""),
   IF(_xlpm.filtered="", "", _xlpm.filtered)
)</f>
        <v/>
      </c>
      <c r="L27" s="202" t="str" cm="1">
        <f t="array" ref="L2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=$B27), ""),
   IF(_xlpm.filtered="", "", _xlpm.filtered)
)</f>
        <v/>
      </c>
      <c r="M27" s="202" t="str" cm="1">
        <f t="array" ref="M2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=$B27), ""),
   IF(_xlpm.filtered="", "", _xlpm.filtered)
)</f>
        <v/>
      </c>
      <c r="N27" s="202" t="str" cm="1">
        <f t="array" ref="N2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=$B27), ""),
   IF(_xlpm.filtered="", "", _xlpm.filtered)
)</f>
        <v/>
      </c>
      <c r="O27" s="202" t="str" cm="1">
        <f t="array" ref="O2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=$B27), ""),
   IF(_xlpm.filtered="", "", _xlpm.filtered)
)</f>
        <v/>
      </c>
      <c r="P27" s="202" t="str" cm="1">
        <f t="array" ref="P2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=$B27), ""),
   IF(_xlpm.filtered="", "", _xlpm.filtered)
)</f>
        <v/>
      </c>
      <c r="Q27" s="202" t="str" cm="1">
        <f t="array" ref="Q2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=$B27), ""),
   IF(_xlpm.filtered="", "", _xlpm.filtered)
)</f>
        <v/>
      </c>
      <c r="R27" s="202" t="str" cm="1">
        <f t="array" ref="R2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=$B27), ""),
   IF(_xlpm.filtered="", "", _xlpm.filtered)
)</f>
        <v/>
      </c>
      <c r="S27" s="202" t="str" cm="1">
        <f t="array" ref="S2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=$B27), ""),
   IF(_xlpm.filtered="", "", _xlpm.filtered)
)</f>
        <v/>
      </c>
      <c r="T27" s="202" t="str" cm="1">
        <f t="array" ref="T2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=$B27), ""),
   IF(_xlpm.filtered="", "", _xlpm.filtered)
)</f>
        <v/>
      </c>
      <c r="U27" s="202" t="str" cm="1">
        <f t="array" ref="U2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=$B27), ""),
   IF(_xlpm.filtered="", "", _xlpm.filtered)
)</f>
        <v/>
      </c>
      <c r="V27" s="202" t="str" cm="1">
        <f t="array" ref="V2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=$B27), ""),
   IF(_xlpm.filtered="", "", _xlpm.filtered)
)</f>
        <v/>
      </c>
      <c r="W27" s="202" t="str" cm="1">
        <f t="array" ref="W2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=$B27), ""),
   IF(_xlpm.filtered="", "", _xlpm.filtered)
)</f>
        <v/>
      </c>
      <c r="X27" s="202" t="str" cm="1">
        <f t="array" ref="X2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=$B27), ""),
   IF(_xlpm.filtered="", "", _xlpm.filtered)
)</f>
        <v/>
      </c>
      <c r="Y27" s="202" t="str" cm="1">
        <f t="array" ref="Y2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=$B27), ""),
   IF(_xlpm.filtered="", "", _xlpm.filtered)
)</f>
        <v/>
      </c>
      <c r="Z27" s="202" t="str" cm="1">
        <f t="array" ref="Z2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=$B27), ""),
   IF(_xlpm.filtered="", "", _xlpm.filtered)
)</f>
        <v/>
      </c>
      <c r="AA27" s="202" t="str" cm="1">
        <f t="array" ref="AA2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=$B27), ""),
   IF(_xlpm.filtered="", "", _xlpm.filtered)
)</f>
        <v/>
      </c>
      <c r="AB27" s="202" t="str" cm="1">
        <f t="array" ref="AB2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=$B27), ""),
   IF(_xlpm.filtered="", "", _xlpm.filtered)
)</f>
        <v/>
      </c>
      <c r="AC27" s="202" t="str" cm="1">
        <f t="array" ref="AC2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=$B27), ""),
   IF(_xlpm.filtered="", "", _xlpm.filtered)
)</f>
        <v/>
      </c>
      <c r="AD27" s="202" t="str" cm="1">
        <f t="array" ref="AD2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=$B27), ""),
   IF(_xlpm.filtered="", "", _xlpm.filtered)
)</f>
        <v/>
      </c>
      <c r="AE27" s="202" t="str" cm="1">
        <f t="array" ref="AE2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=$B27), ""),
   IF(_xlpm.filtered="", "", _xlpm.filtered)
)</f>
        <v/>
      </c>
      <c r="AF27" s="202" t="str" cm="1">
        <f t="array" ref="AF2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=$B27), ""),
   IF(_xlpm.filtered="", "", _xlpm.filtered)
)</f>
        <v/>
      </c>
      <c r="AG27" s="202" t="str" cm="1">
        <f t="array" ref="AG2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=$B27), ""),
   IF(_xlpm.filtered="", "", _xlpm.filtered)
)</f>
        <v/>
      </c>
      <c r="AH27" s="203">
        <f t="shared" si="33"/>
        <v>0</v>
      </c>
      <c r="AI27" s="203">
        <f t="shared" si="36"/>
        <v>0</v>
      </c>
    </row>
    <row r="28" spans="1:71">
      <c r="A28" t="e" cm="1" vm="1">
        <f t="array" ref="A28">_xlfn.LET(
    _xlpm.data, C28:AG28,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8" s="196"/>
      <c r="C28" s="202" t="str" cm="1">
        <f t="array" ref="C2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=$B28), ""),
   IF(_xlpm.filtered="", "", _xlpm.filtered)
)</f>
        <v/>
      </c>
      <c r="D28" s="202" t="str" cm="1">
        <f t="array" ref="D2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=$B28), ""),
   IF(_xlpm.filtered="", "", _xlpm.filtered)
)</f>
        <v/>
      </c>
      <c r="E28" s="202" t="str" cm="1">
        <f t="array" ref="E2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=$B28), ""),
   IF(_xlpm.filtered="", "", _xlpm.filtered)
)</f>
        <v/>
      </c>
      <c r="F28" s="202" t="str" cm="1">
        <f t="array" ref="F2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=$B28), ""),
   IF(_xlpm.filtered="", "", _xlpm.filtered)
)</f>
        <v/>
      </c>
      <c r="G28" s="202" t="str" cm="1">
        <f t="array" ref="G2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=$B28), ""),
   IF(_xlpm.filtered="", "", _xlpm.filtered)
)</f>
        <v/>
      </c>
      <c r="H28" s="202" t="str" cm="1">
        <f t="array" ref="H2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=$B28), ""),
   IF(_xlpm.filtered="", "", _xlpm.filtered)
)</f>
        <v/>
      </c>
      <c r="I28" s="202" t="str" cm="1">
        <f t="array" ref="I2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=$B28), ""),
   IF(_xlpm.filtered="", "", _xlpm.filtered)
)</f>
        <v/>
      </c>
      <c r="J28" s="202" t="str" cm="1">
        <f t="array" ref="J2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=$B28), ""),
   IF(_xlpm.filtered="", "", _xlpm.filtered)
)</f>
        <v/>
      </c>
      <c r="K28" s="202" t="str" cm="1">
        <f t="array" ref="K2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=$B28), ""),
   IF(_xlpm.filtered="", "", _xlpm.filtered)
)</f>
        <v/>
      </c>
      <c r="L28" s="202" t="str" cm="1">
        <f t="array" ref="L2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=$B28), ""),
   IF(_xlpm.filtered="", "", _xlpm.filtered)
)</f>
        <v/>
      </c>
      <c r="M28" s="202" t="str" cm="1">
        <f t="array" ref="M2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=$B28), ""),
   IF(_xlpm.filtered="", "", _xlpm.filtered)
)</f>
        <v/>
      </c>
      <c r="N28" s="202" t="str" cm="1">
        <f t="array" ref="N2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=$B28), ""),
   IF(_xlpm.filtered="", "", _xlpm.filtered)
)</f>
        <v/>
      </c>
      <c r="O28" s="202" t="str" cm="1">
        <f t="array" ref="O2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=$B28), ""),
   IF(_xlpm.filtered="", "", _xlpm.filtered)
)</f>
        <v/>
      </c>
      <c r="P28" s="202" t="str" cm="1">
        <f t="array" ref="P2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=$B28), ""),
   IF(_xlpm.filtered="", "", _xlpm.filtered)
)</f>
        <v/>
      </c>
      <c r="Q28" s="202" t="str" cm="1">
        <f t="array" ref="Q2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=$B28), ""),
   IF(_xlpm.filtered="", "", _xlpm.filtered)
)</f>
        <v/>
      </c>
      <c r="R28" s="202" t="str" cm="1">
        <f t="array" ref="R2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=$B28), ""),
   IF(_xlpm.filtered="", "", _xlpm.filtered)
)</f>
        <v/>
      </c>
      <c r="S28" s="202" t="str" cm="1">
        <f t="array" ref="S2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=$B28), ""),
   IF(_xlpm.filtered="", "", _xlpm.filtered)
)</f>
        <v/>
      </c>
      <c r="T28" s="202" t="str" cm="1">
        <f t="array" ref="T2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=$B28), ""),
   IF(_xlpm.filtered="", "", _xlpm.filtered)
)</f>
        <v/>
      </c>
      <c r="U28" s="202" t="str" cm="1">
        <f t="array" ref="U2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=$B28), ""),
   IF(_xlpm.filtered="", "", _xlpm.filtered)
)</f>
        <v/>
      </c>
      <c r="V28" s="202" t="str" cm="1">
        <f t="array" ref="V2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=$B28), ""),
   IF(_xlpm.filtered="", "", _xlpm.filtered)
)</f>
        <v/>
      </c>
      <c r="W28" s="202" t="str" cm="1">
        <f t="array" ref="W2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=$B28), ""),
   IF(_xlpm.filtered="", "", _xlpm.filtered)
)</f>
        <v/>
      </c>
      <c r="X28" s="202" t="str" cm="1">
        <f t="array" ref="X2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=$B28), ""),
   IF(_xlpm.filtered="", "", _xlpm.filtered)
)</f>
        <v/>
      </c>
      <c r="Y28" s="202" t="str" cm="1">
        <f t="array" ref="Y2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=$B28), ""),
   IF(_xlpm.filtered="", "", _xlpm.filtered)
)</f>
        <v/>
      </c>
      <c r="Z28" s="202" t="str" cm="1">
        <f t="array" ref="Z2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=$B28), ""),
   IF(_xlpm.filtered="", "", _xlpm.filtered)
)</f>
        <v/>
      </c>
      <c r="AA28" s="202" t="str" cm="1">
        <f t="array" ref="AA2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=$B28), ""),
   IF(_xlpm.filtered="", "", _xlpm.filtered)
)</f>
        <v/>
      </c>
      <c r="AB28" s="202" t="str" cm="1">
        <f t="array" ref="AB2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=$B28), ""),
   IF(_xlpm.filtered="", "", _xlpm.filtered)
)</f>
        <v/>
      </c>
      <c r="AC28" s="202" t="str" cm="1">
        <f t="array" ref="AC2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=$B28), ""),
   IF(_xlpm.filtered="", "", _xlpm.filtered)
)</f>
        <v/>
      </c>
      <c r="AD28" s="202" t="str" cm="1">
        <f t="array" ref="AD2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=$B28), ""),
   IF(_xlpm.filtered="", "", _xlpm.filtered)
)</f>
        <v/>
      </c>
      <c r="AE28" s="202" t="str" cm="1">
        <f t="array" ref="AE2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=$B28), ""),
   IF(_xlpm.filtered="", "", _xlpm.filtered)
)</f>
        <v/>
      </c>
      <c r="AF28" s="202" t="str" cm="1">
        <f t="array" ref="AF2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=$B28), ""),
   IF(_xlpm.filtered="", "", _xlpm.filtered)
)</f>
        <v/>
      </c>
      <c r="AG28" s="202" t="str" cm="1">
        <f t="array" ref="AG2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=$B28), ""),
   IF(_xlpm.filtered="", "", _xlpm.filtered)
)</f>
        <v/>
      </c>
      <c r="AH28" s="203">
        <f t="shared" si="33"/>
        <v>0</v>
      </c>
      <c r="AI28" s="203">
        <f t="shared" si="36"/>
        <v>0</v>
      </c>
    </row>
    <row r="29" spans="1:71">
      <c r="A29" t="e" cm="1" vm="1">
        <f t="array" ref="A29">_xlfn.LET(
    _xlpm.data, C29:AG29,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9" s="196"/>
      <c r="C29" s="202" t="str" cm="1">
        <f t="array" ref="C2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=$B29), ""),
   IF(_xlpm.filtered="", "", _xlpm.filtered)
)</f>
        <v/>
      </c>
      <c r="D29" s="202" t="str" cm="1">
        <f t="array" ref="D2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=$B29), ""),
   IF(_xlpm.filtered="", "", _xlpm.filtered)
)</f>
        <v/>
      </c>
      <c r="E29" s="202" t="str" cm="1">
        <f t="array" ref="E2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=$B29), ""),
   IF(_xlpm.filtered="", "", _xlpm.filtered)
)</f>
        <v/>
      </c>
      <c r="F29" s="202" t="str" cm="1">
        <f t="array" ref="F2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=$B29), ""),
   IF(_xlpm.filtered="", "", _xlpm.filtered)
)</f>
        <v/>
      </c>
      <c r="G29" s="202" t="str" cm="1">
        <f t="array" ref="G2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=$B29), ""),
   IF(_xlpm.filtered="", "", _xlpm.filtered)
)</f>
        <v/>
      </c>
      <c r="H29" s="202" t="str" cm="1">
        <f t="array" ref="H2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=$B29), ""),
   IF(_xlpm.filtered="", "", _xlpm.filtered)
)</f>
        <v/>
      </c>
      <c r="I29" s="202" t="str" cm="1">
        <f t="array" ref="I2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=$B29), ""),
   IF(_xlpm.filtered="", "", _xlpm.filtered)
)</f>
        <v/>
      </c>
      <c r="J29" s="202" t="str" cm="1">
        <f t="array" ref="J2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=$B29), ""),
   IF(_xlpm.filtered="", "", _xlpm.filtered)
)</f>
        <v/>
      </c>
      <c r="K29" s="202" t="str" cm="1">
        <f t="array" ref="K2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=$B29), ""),
   IF(_xlpm.filtered="", "", _xlpm.filtered)
)</f>
        <v/>
      </c>
      <c r="L29" s="202" t="str" cm="1">
        <f t="array" ref="L2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=$B29), ""),
   IF(_xlpm.filtered="", "", _xlpm.filtered)
)</f>
        <v/>
      </c>
      <c r="M29" s="202" t="str" cm="1">
        <f t="array" ref="M2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=$B29), ""),
   IF(_xlpm.filtered="", "", _xlpm.filtered)
)</f>
        <v/>
      </c>
      <c r="N29" s="202" t="str" cm="1">
        <f t="array" ref="N2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=$B29), ""),
   IF(_xlpm.filtered="", "", _xlpm.filtered)
)</f>
        <v/>
      </c>
      <c r="O29" s="202" t="str" cm="1">
        <f t="array" ref="O2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=$B29), ""),
   IF(_xlpm.filtered="", "", _xlpm.filtered)
)</f>
        <v/>
      </c>
      <c r="P29" s="202" t="str" cm="1">
        <f t="array" ref="P2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=$B29), ""),
   IF(_xlpm.filtered="", "", _xlpm.filtered)
)</f>
        <v/>
      </c>
      <c r="Q29" s="202" t="str" cm="1">
        <f t="array" ref="Q2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=$B29), ""),
   IF(_xlpm.filtered="", "", _xlpm.filtered)
)</f>
        <v/>
      </c>
      <c r="R29" s="202" t="str" cm="1">
        <f t="array" ref="R2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=$B29), ""),
   IF(_xlpm.filtered="", "", _xlpm.filtered)
)</f>
        <v/>
      </c>
      <c r="S29" s="202" t="str" cm="1">
        <f t="array" ref="S2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=$B29), ""),
   IF(_xlpm.filtered="", "", _xlpm.filtered)
)</f>
        <v/>
      </c>
      <c r="T29" s="202" t="str" cm="1">
        <f t="array" ref="T2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=$B29), ""),
   IF(_xlpm.filtered="", "", _xlpm.filtered)
)</f>
        <v/>
      </c>
      <c r="U29" s="202" t="str" cm="1">
        <f t="array" ref="U2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=$B29), ""),
   IF(_xlpm.filtered="", "", _xlpm.filtered)
)</f>
        <v/>
      </c>
      <c r="V29" s="202" t="str" cm="1">
        <f t="array" ref="V2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=$B29), ""),
   IF(_xlpm.filtered="", "", _xlpm.filtered)
)</f>
        <v/>
      </c>
      <c r="W29" s="202" t="str" cm="1">
        <f t="array" ref="W2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=$B29), ""),
   IF(_xlpm.filtered="", "", _xlpm.filtered)
)</f>
        <v/>
      </c>
      <c r="X29" s="202" t="str" cm="1">
        <f t="array" ref="X2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=$B29), ""),
   IF(_xlpm.filtered="", "", _xlpm.filtered)
)</f>
        <v/>
      </c>
      <c r="Y29" s="202" t="str" cm="1">
        <f t="array" ref="Y2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=$B29), ""),
   IF(_xlpm.filtered="", "", _xlpm.filtered)
)</f>
        <v/>
      </c>
      <c r="Z29" s="202" t="str" cm="1">
        <f t="array" ref="Z2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=$B29), ""),
   IF(_xlpm.filtered="", "", _xlpm.filtered)
)</f>
        <v/>
      </c>
      <c r="AA29" s="202" t="str" cm="1">
        <f t="array" ref="AA2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=$B29), ""),
   IF(_xlpm.filtered="", "", _xlpm.filtered)
)</f>
        <v/>
      </c>
      <c r="AB29" s="202" t="str" cm="1">
        <f t="array" ref="AB2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=$B29), ""),
   IF(_xlpm.filtered="", "", _xlpm.filtered)
)</f>
        <v/>
      </c>
      <c r="AC29" s="202" t="str" cm="1">
        <f t="array" ref="AC2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=$B29), ""),
   IF(_xlpm.filtered="", "", _xlpm.filtered)
)</f>
        <v/>
      </c>
      <c r="AD29" s="202" t="str" cm="1">
        <f t="array" ref="AD2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=$B29), ""),
   IF(_xlpm.filtered="", "", _xlpm.filtered)
)</f>
        <v/>
      </c>
      <c r="AE29" s="202" t="str" cm="1">
        <f t="array" ref="AE2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=$B29), ""),
   IF(_xlpm.filtered="", "", _xlpm.filtered)
)</f>
        <v/>
      </c>
      <c r="AF29" s="202" t="str" cm="1">
        <f t="array" ref="AF2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=$B29), ""),
   IF(_xlpm.filtered="", "", _xlpm.filtered)
)</f>
        <v/>
      </c>
      <c r="AG29" s="202" t="str" cm="1">
        <f t="array" ref="AG2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=$B29), ""),
   IF(_xlpm.filtered="", "", _xlpm.filtered)
)</f>
        <v/>
      </c>
      <c r="AH29" s="203">
        <f t="shared" si="33"/>
        <v>0</v>
      </c>
      <c r="AI29" s="203">
        <f t="shared" si="36"/>
        <v>0</v>
      </c>
    </row>
    <row r="30" spans="1:71">
      <c r="A30" t="e" cm="1" vm="1">
        <f t="array" ref="A30">_xlfn.LET(
    _xlpm.data, C30:AG30,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0" s="196"/>
      <c r="C30" s="202" t="str" cm="1">
        <f t="array" ref="C3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=$B30), ""),
   IF(_xlpm.filtered="", "", _xlpm.filtered)
)</f>
        <v/>
      </c>
      <c r="D30" s="202" t="str" cm="1">
        <f t="array" ref="D3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=$B30), ""),
   IF(_xlpm.filtered="", "", _xlpm.filtered)
)</f>
        <v/>
      </c>
      <c r="E30" s="202" t="str" cm="1">
        <f t="array" ref="E3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=$B30), ""),
   IF(_xlpm.filtered="", "", _xlpm.filtered)
)</f>
        <v/>
      </c>
      <c r="F30" s="202" t="str" cm="1">
        <f t="array" ref="F3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=$B30), ""),
   IF(_xlpm.filtered="", "", _xlpm.filtered)
)</f>
        <v/>
      </c>
      <c r="G30" s="202" t="str" cm="1">
        <f t="array" ref="G3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=$B30), ""),
   IF(_xlpm.filtered="", "", _xlpm.filtered)
)</f>
        <v/>
      </c>
      <c r="H30" s="202" t="str" cm="1">
        <f t="array" ref="H3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=$B30), ""),
   IF(_xlpm.filtered="", "", _xlpm.filtered)
)</f>
        <v/>
      </c>
      <c r="I30" s="202" t="str" cm="1">
        <f t="array" ref="I3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=$B30), ""),
   IF(_xlpm.filtered="", "", _xlpm.filtered)
)</f>
        <v/>
      </c>
      <c r="J30" s="202" t="str" cm="1">
        <f t="array" ref="J3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=$B30), ""),
   IF(_xlpm.filtered="", "", _xlpm.filtered)
)</f>
        <v/>
      </c>
      <c r="K30" s="202" t="str" cm="1">
        <f t="array" ref="K3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=$B30), ""),
   IF(_xlpm.filtered="", "", _xlpm.filtered)
)</f>
        <v/>
      </c>
      <c r="L30" s="202" t="str" cm="1">
        <f t="array" ref="L3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=$B30), ""),
   IF(_xlpm.filtered="", "", _xlpm.filtered)
)</f>
        <v/>
      </c>
      <c r="M30" s="202" t="str" cm="1">
        <f t="array" ref="M3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=$B30), ""),
   IF(_xlpm.filtered="", "", _xlpm.filtered)
)</f>
        <v/>
      </c>
      <c r="N30" s="202" t="str" cm="1">
        <f t="array" ref="N3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=$B30), ""),
   IF(_xlpm.filtered="", "", _xlpm.filtered)
)</f>
        <v/>
      </c>
      <c r="O30" s="202" t="str" cm="1">
        <f t="array" ref="O3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=$B30), ""),
   IF(_xlpm.filtered="", "", _xlpm.filtered)
)</f>
        <v/>
      </c>
      <c r="P30" s="202" t="str" cm="1">
        <f t="array" ref="P3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=$B30), ""),
   IF(_xlpm.filtered="", "", _xlpm.filtered)
)</f>
        <v/>
      </c>
      <c r="Q30" s="202" t="str" cm="1">
        <f t="array" ref="Q3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=$B30), ""),
   IF(_xlpm.filtered="", "", _xlpm.filtered)
)</f>
        <v/>
      </c>
      <c r="R30" s="202" t="str" cm="1">
        <f t="array" ref="R3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=$B30), ""),
   IF(_xlpm.filtered="", "", _xlpm.filtered)
)</f>
        <v/>
      </c>
      <c r="S30" s="202" t="str" cm="1">
        <f t="array" ref="S3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=$B30), ""),
   IF(_xlpm.filtered="", "", _xlpm.filtered)
)</f>
        <v/>
      </c>
      <c r="T30" s="202" t="str" cm="1">
        <f t="array" ref="T3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=$B30), ""),
   IF(_xlpm.filtered="", "", _xlpm.filtered)
)</f>
        <v/>
      </c>
      <c r="U30" s="202" t="str" cm="1">
        <f t="array" ref="U3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=$B30), ""),
   IF(_xlpm.filtered="", "", _xlpm.filtered)
)</f>
        <v/>
      </c>
      <c r="V30" s="202" t="str" cm="1">
        <f t="array" ref="V3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=$B30), ""),
   IF(_xlpm.filtered="", "", _xlpm.filtered)
)</f>
        <v/>
      </c>
      <c r="W30" s="202" t="str" cm="1">
        <f t="array" ref="W3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=$B30), ""),
   IF(_xlpm.filtered="", "", _xlpm.filtered)
)</f>
        <v/>
      </c>
      <c r="X30" s="202" t="str" cm="1">
        <f t="array" ref="X3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=$B30), ""),
   IF(_xlpm.filtered="", "", _xlpm.filtered)
)</f>
        <v/>
      </c>
      <c r="Y30" s="202" t="str" cm="1">
        <f t="array" ref="Y3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=$B30), ""),
   IF(_xlpm.filtered="", "", _xlpm.filtered)
)</f>
        <v/>
      </c>
      <c r="Z30" s="202" t="str" cm="1">
        <f t="array" ref="Z3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=$B30), ""),
   IF(_xlpm.filtered="", "", _xlpm.filtered)
)</f>
        <v/>
      </c>
      <c r="AA30" s="202" t="str" cm="1">
        <f t="array" ref="AA3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=$B30), ""),
   IF(_xlpm.filtered="", "", _xlpm.filtered)
)</f>
        <v/>
      </c>
      <c r="AB30" s="202" t="str" cm="1">
        <f t="array" ref="AB3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=$B30), ""),
   IF(_xlpm.filtered="", "", _xlpm.filtered)
)</f>
        <v/>
      </c>
      <c r="AC30" s="202" t="str" cm="1">
        <f t="array" ref="AC3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=$B30), ""),
   IF(_xlpm.filtered="", "", _xlpm.filtered)
)</f>
        <v/>
      </c>
      <c r="AD30" s="202" t="str" cm="1">
        <f t="array" ref="AD3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=$B30), ""),
   IF(_xlpm.filtered="", "", _xlpm.filtered)
)</f>
        <v/>
      </c>
      <c r="AE30" s="202" t="str" cm="1">
        <f t="array" ref="AE3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=$B30), ""),
   IF(_xlpm.filtered="", "", _xlpm.filtered)
)</f>
        <v/>
      </c>
      <c r="AF30" s="202" t="str" cm="1">
        <f t="array" ref="AF3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=$B30), ""),
   IF(_xlpm.filtered="", "", _xlpm.filtered)
)</f>
        <v/>
      </c>
      <c r="AG30" s="202" t="str" cm="1">
        <f t="array" ref="AG3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=$B30), ""),
   IF(_xlpm.filtered="", "", _xlpm.filtered)
)</f>
        <v/>
      </c>
      <c r="AH30" s="203">
        <f t="shared" si="33"/>
        <v>0</v>
      </c>
      <c r="AI30" s="203">
        <f t="shared" si="36"/>
        <v>0</v>
      </c>
    </row>
    <row r="31" spans="1:71">
      <c r="A31" t="e" cm="1" vm="1">
        <f t="array" ref="A31">_xlfn.LET(
    _xlpm.data, C31:AG31,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1" s="196"/>
      <c r="C31" s="202" t="str" cm="1">
        <f t="array" ref="C3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=$B31), ""),
   IF(_xlpm.filtered="", "", _xlpm.filtered)
)</f>
        <v/>
      </c>
      <c r="D31" s="202" t="str" cm="1">
        <f t="array" ref="D3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=$B31), ""),
   IF(_xlpm.filtered="", "", _xlpm.filtered)
)</f>
        <v/>
      </c>
      <c r="E31" s="202" t="str" cm="1">
        <f t="array" ref="E3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=$B31), ""),
   IF(_xlpm.filtered="", "", _xlpm.filtered)
)</f>
        <v/>
      </c>
      <c r="F31" s="202" t="str" cm="1">
        <f t="array" ref="F3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=$B31), ""),
   IF(_xlpm.filtered="", "", _xlpm.filtered)
)</f>
        <v/>
      </c>
      <c r="G31" s="202" t="str" cm="1">
        <f t="array" ref="G3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=$B31), ""),
   IF(_xlpm.filtered="", "", _xlpm.filtered)
)</f>
        <v/>
      </c>
      <c r="H31" s="202" t="str" cm="1">
        <f t="array" ref="H3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=$B31), ""),
   IF(_xlpm.filtered="", "", _xlpm.filtered)
)</f>
        <v/>
      </c>
      <c r="I31" s="202" t="str" cm="1">
        <f t="array" ref="I3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=$B31), ""),
   IF(_xlpm.filtered="", "", _xlpm.filtered)
)</f>
        <v/>
      </c>
      <c r="J31" s="202" t="str" cm="1">
        <f t="array" ref="J3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=$B31), ""),
   IF(_xlpm.filtered="", "", _xlpm.filtered)
)</f>
        <v/>
      </c>
      <c r="K31" s="202" t="str" cm="1">
        <f t="array" ref="K3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=$B31), ""),
   IF(_xlpm.filtered="", "", _xlpm.filtered)
)</f>
        <v/>
      </c>
      <c r="L31" s="202" t="str" cm="1">
        <f t="array" ref="L3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=$B31), ""),
   IF(_xlpm.filtered="", "", _xlpm.filtered)
)</f>
        <v/>
      </c>
      <c r="M31" s="202" t="str" cm="1">
        <f t="array" ref="M3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=$B31), ""),
   IF(_xlpm.filtered="", "", _xlpm.filtered)
)</f>
        <v/>
      </c>
      <c r="N31" s="202" t="str" cm="1">
        <f t="array" ref="N3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=$B31), ""),
   IF(_xlpm.filtered="", "", _xlpm.filtered)
)</f>
        <v/>
      </c>
      <c r="O31" s="202" t="str" cm="1">
        <f t="array" ref="O3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=$B31), ""),
   IF(_xlpm.filtered="", "", _xlpm.filtered)
)</f>
        <v/>
      </c>
      <c r="P31" s="202" t="str" cm="1">
        <f t="array" ref="P3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=$B31), ""),
   IF(_xlpm.filtered="", "", _xlpm.filtered)
)</f>
        <v/>
      </c>
      <c r="Q31" s="202" t="str" cm="1">
        <f t="array" ref="Q3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=$B31), ""),
   IF(_xlpm.filtered="", "", _xlpm.filtered)
)</f>
        <v/>
      </c>
      <c r="R31" s="202" t="str" cm="1">
        <f t="array" ref="R3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=$B31), ""),
   IF(_xlpm.filtered="", "", _xlpm.filtered)
)</f>
        <v/>
      </c>
      <c r="S31" s="202" t="str" cm="1">
        <f t="array" ref="S3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=$B31), ""),
   IF(_xlpm.filtered="", "", _xlpm.filtered)
)</f>
        <v/>
      </c>
      <c r="T31" s="202" t="str" cm="1">
        <f t="array" ref="T3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=$B31), ""),
   IF(_xlpm.filtered="", "", _xlpm.filtered)
)</f>
        <v/>
      </c>
      <c r="U31" s="202" t="str" cm="1">
        <f t="array" ref="U3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=$B31), ""),
   IF(_xlpm.filtered="", "", _xlpm.filtered)
)</f>
        <v/>
      </c>
      <c r="V31" s="202" t="str" cm="1">
        <f t="array" ref="V3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=$B31), ""),
   IF(_xlpm.filtered="", "", _xlpm.filtered)
)</f>
        <v/>
      </c>
      <c r="W31" s="202" t="str" cm="1">
        <f t="array" ref="W3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=$B31), ""),
   IF(_xlpm.filtered="", "", _xlpm.filtered)
)</f>
        <v/>
      </c>
      <c r="X31" s="202" t="str" cm="1">
        <f t="array" ref="X3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=$B31), ""),
   IF(_xlpm.filtered="", "", _xlpm.filtered)
)</f>
        <v/>
      </c>
      <c r="Y31" s="202" t="str" cm="1">
        <f t="array" ref="Y3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=$B31), ""),
   IF(_xlpm.filtered="", "", _xlpm.filtered)
)</f>
        <v/>
      </c>
      <c r="Z31" s="202" t="str" cm="1">
        <f t="array" ref="Z3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=$B31), ""),
   IF(_xlpm.filtered="", "", _xlpm.filtered)
)</f>
        <v/>
      </c>
      <c r="AA31" s="202" t="str" cm="1">
        <f t="array" ref="AA3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=$B31), ""),
   IF(_xlpm.filtered="", "", _xlpm.filtered)
)</f>
        <v/>
      </c>
      <c r="AB31" s="202" t="str" cm="1">
        <f t="array" ref="AB3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=$B31), ""),
   IF(_xlpm.filtered="", "", _xlpm.filtered)
)</f>
        <v/>
      </c>
      <c r="AC31" s="202" t="str" cm="1">
        <f t="array" ref="AC3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=$B31), ""),
   IF(_xlpm.filtered="", "", _xlpm.filtered)
)</f>
        <v/>
      </c>
      <c r="AD31" s="202" t="str" cm="1">
        <f t="array" ref="AD3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=$B31), ""),
   IF(_xlpm.filtered="", "", _xlpm.filtered)
)</f>
        <v/>
      </c>
      <c r="AE31" s="202" t="str" cm="1">
        <f t="array" ref="AE3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=$B31), ""),
   IF(_xlpm.filtered="", "", _xlpm.filtered)
)</f>
        <v/>
      </c>
      <c r="AF31" s="202" t="str" cm="1">
        <f t="array" ref="AF3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=$B31), ""),
   IF(_xlpm.filtered="", "", _xlpm.filtered)
)</f>
        <v/>
      </c>
      <c r="AG31" s="202" t="str" cm="1">
        <f t="array" ref="AG3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=$B31), ""),
   IF(_xlpm.filtered="", "", _xlpm.filtered)
)</f>
        <v/>
      </c>
      <c r="AH31" s="203">
        <f t="shared" si="33"/>
        <v>0</v>
      </c>
      <c r="AI31" s="203">
        <f t="shared" si="36"/>
        <v>0</v>
      </c>
    </row>
  </sheetData>
  <sheetProtection algorithmName="SHA-512" hashValue="Z8W+3m/2cVjS7Szbb8MpUkWajBfRzKDVnTb+RzT8Z/B90W7T83YAaYhcc7vR2AqGuDqgO3p58HN8lEykc0URMw==" saltValue="kav8NfxQnKxnohiDtv+sbQ==" spinCount="100000" sheet="1" scenarios="1" formatCells="0" formatColumns="0" formatRows="0" insertColumns="0" insertRows="0" deleteColumns="0" deleteRows="0" sort="0" pivotTables="0"/>
  <phoneticPr fontId="4" type="noConversion"/>
  <conditionalFormatting sqref="A7">
    <cfRule type="cellIs" dxfId="68" priority="14" operator="equal">
      <formula>"OFF"</formula>
    </cfRule>
  </conditionalFormatting>
  <conditionalFormatting sqref="A8:A31">
    <cfRule type="duplicateValues" dxfId="67" priority="16"/>
  </conditionalFormatting>
  <conditionalFormatting sqref="B4">
    <cfRule type="cellIs" dxfId="66" priority="17" operator="equal">
      <formula>"OFF"</formula>
    </cfRule>
  </conditionalFormatting>
  <conditionalFormatting sqref="B6:B7">
    <cfRule type="cellIs" dxfId="65" priority="81" operator="equal">
      <formula>"OFF"</formula>
    </cfRule>
  </conditionalFormatting>
  <conditionalFormatting sqref="C6:AG6">
    <cfRule type="expression" dxfId="64" priority="9">
      <formula>OR(UPPER(C6)="SAT", UPPER(C6)="SUN")</formula>
    </cfRule>
  </conditionalFormatting>
  <conditionalFormatting sqref="C7:AG7">
    <cfRule type="expression" dxfId="63" priority="7">
      <formula>OR(UPPER(C$6)="SAT", UPPER(C$6)="SUN")</formula>
    </cfRule>
  </conditionalFormatting>
  <conditionalFormatting sqref="C8:AG31">
    <cfRule type="expression" dxfId="62" priority="15">
      <formula>C8=""</formula>
    </cfRule>
  </conditionalFormatting>
  <conditionalFormatting sqref="AM16:AR18 BQ9:BQ17 BL15:BN16 BF16:BK16 BO17:BP17 BR17:BS17 AS17:BN18 BO18:BS18 AM19:BS20">
    <cfRule type="cellIs" dxfId="61" priority="42" operator="equal">
      <formula>0</formula>
    </cfRule>
  </conditionalFormatting>
  <conditionalFormatting sqref="AM8:BS20">
    <cfRule type="beginsWith" dxfId="60" priority="26" operator="beginsWith" text="PH">
      <formula>LEFT(AM8,LEN("PH"))="PH"</formula>
    </cfRule>
    <cfRule type="containsText" dxfId="59" priority="27" operator="containsText" text="AL ">
      <formula>NOT(ISERROR(SEARCH("AL ",AM8)))</formula>
    </cfRule>
    <cfRule type="beginsWith" dxfId="58" priority="28" operator="beginsWith" text="SL">
      <formula>LEFT(AM8,LEN("SL"))="SL"</formula>
    </cfRule>
    <cfRule type="containsText" dxfId="57" priority="29" operator="containsText" text="Off">
      <formula>NOT(ISERROR(SEARCH("Off",AM8)))</formula>
    </cfRule>
    <cfRule type="cellIs" dxfId="56" priority="32" operator="equal">
      <formula>0</formula>
    </cfRule>
    <cfRule type="containsText" dxfId="55" priority="33" operator="containsText" text=".">
      <formula>NOT(ISERROR(SEARCH(".",AM8)))</formula>
    </cfRule>
  </conditionalFormatting>
  <conditionalFormatting sqref="AP16:AR17">
    <cfRule type="beginsWith" dxfId="54" priority="38" operator="beginsWith" text="PH">
      <formula>LEFT(AP16,LEN("PH"))="PH"</formula>
    </cfRule>
    <cfRule type="containsText" dxfId="53" priority="39" operator="containsText" text="AL ">
      <formula>NOT(ISERROR(SEARCH("AL ",AP16)))</formula>
    </cfRule>
    <cfRule type="beginsWith" dxfId="52" priority="40" operator="beginsWith" text="SL">
      <formula>LEFT(AP16,LEN("SL"))="SL"</formula>
    </cfRule>
    <cfRule type="containsText" dxfId="51" priority="41" operator="containsText" text="Off">
      <formula>NOT(ISERROR(SEARCH("Off",AP16)))</formula>
    </cfRule>
  </conditionalFormatting>
  <conditionalFormatting sqref="AZ17:BA17">
    <cfRule type="beginsWith" dxfId="50" priority="22" operator="beginsWith" text="PH">
      <formula>LEFT(AZ17,LEN("PH"))="PH"</formula>
    </cfRule>
    <cfRule type="containsText" dxfId="49" priority="23" operator="containsText" text="AL ">
      <formula>NOT(ISERROR(SEARCH("AL ",AZ17)))</formula>
    </cfRule>
    <cfRule type="beginsWith" dxfId="48" priority="24" operator="beginsWith" text="SL">
      <formula>LEFT(AZ17,LEN("SL"))="SL"</formula>
    </cfRule>
    <cfRule type="containsText" dxfId="47" priority="25" operator="containsText" text="Off">
      <formula>NOT(ISERROR(SEARCH("Off",AZ17)))</formula>
    </cfRule>
  </conditionalFormatting>
  <conditionalFormatting sqref="BL15:BO15 BK16:BN18">
    <cfRule type="cellIs" dxfId="46" priority="44" operator="equal">
      <formula>0</formula>
    </cfRule>
    <cfRule type="containsText" dxfId="45" priority="45" operator="containsText" text=".">
      <formula>NOT(ISERROR(SEARCH(".",BK15)))</formula>
    </cfRule>
  </conditionalFormatting>
  <conditionalFormatting sqref="BM15">
    <cfRule type="containsText" dxfId="44" priority="31" operator="containsText" text=".">
      <formula>NOT(ISERROR(SEARCH(".",BM15)))</formula>
    </cfRule>
    <cfRule type="cellIs" dxfId="43" priority="30" operator="equal">
      <formula>0</formula>
    </cfRule>
  </conditionalFormatting>
  <conditionalFormatting sqref="BN15:BN18 BO17">
    <cfRule type="beginsWith" dxfId="42" priority="18" operator="beginsWith" text="PH">
      <formula>LEFT(BN15,LEN("PH"))="PH"</formula>
    </cfRule>
    <cfRule type="containsText" dxfId="41" priority="19" operator="containsText" text="AL ">
      <formula>NOT(ISERROR(SEARCH("AL ",BN15)))</formula>
    </cfRule>
    <cfRule type="beginsWith" dxfId="40" priority="20" operator="beginsWith" text="SL">
      <formula>LEFT(BN15,LEN("SL"))="SL"</formula>
    </cfRule>
    <cfRule type="containsText" dxfId="39" priority="21" operator="containsText" text="Off">
      <formula>NOT(ISERROR(SEARCH("Off",BN15)))</formula>
    </cfRule>
  </conditionalFormatting>
  <conditionalFormatting sqref="BQ9:BQ17 BL15:BN18 AM16:AO16 AS16:BK16 BR16 BO16:BP17 BR17:BS17 AM17:BK18 BO18:BS18 AM19:BS20">
    <cfRule type="beginsWith" dxfId="38" priority="34" operator="beginsWith" text="PH">
      <formula>LEFT(AM9,LEN("PH"))="PH"</formula>
    </cfRule>
    <cfRule type="containsText" dxfId="37" priority="35" operator="containsText" text="AL ">
      <formula>NOT(ISERROR(SEARCH("AL ",AM9)))</formula>
    </cfRule>
    <cfRule type="beginsWith" dxfId="36" priority="36" operator="beginsWith" text="SL">
      <formula>LEFT(AM9,LEN("SL"))="SL"</formula>
    </cfRule>
    <cfRule type="containsText" dxfId="35" priority="37" operator="containsText" text="Off">
      <formula>NOT(ISERROR(SEARCH("Off",AM9)))</formula>
    </cfRule>
  </conditionalFormatting>
  <conditionalFormatting sqref="BQ9:BQ17 BL15:BN18 BF16:BK16 AM16:AR18 BO17:BP17 BR17:BS17 AS17:BK18 BO18:BS18 AM19:BS20">
    <cfRule type="containsText" dxfId="34" priority="43" operator="containsText" text=".">
      <formula>NOT(ISERROR(SEARCH(".",AM9)))</formula>
    </cfRule>
  </conditionalFormatting>
  <conditionalFormatting sqref="BR9:BS11 BR13:BS15">
    <cfRule type="cellIs" dxfId="33" priority="46" operator="equal">
      <formula>0</formula>
    </cfRule>
    <cfRule type="containsText" dxfId="32" priority="47" operator="containsText" text=".">
      <formula>NOT(ISERROR(SEARCH(".",BR9)))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A673-341A-4C8C-AEE0-963F190334DC}">
  <dimension ref="A1:T184"/>
  <sheetViews>
    <sheetView topLeftCell="B123" zoomScaleNormal="100" workbookViewId="0">
      <selection activeCell="H156" sqref="H156"/>
    </sheetView>
  </sheetViews>
  <sheetFormatPr defaultColWidth="9" defaultRowHeight="16.5"/>
  <cols>
    <col min="1" max="1" width="9" style="183"/>
    <col min="2" max="2" width="24.5" style="183" customWidth="1"/>
    <col min="3" max="3" width="22" style="183" bestFit="1" customWidth="1"/>
    <col min="4" max="4" width="6.75" style="183" customWidth="1"/>
    <col min="5" max="5" width="5.75" style="183" customWidth="1"/>
    <col min="6" max="6" width="19.75" style="223" customWidth="1"/>
    <col min="7" max="7" width="18.25" style="205" customWidth="1"/>
    <col min="8" max="8" width="22.625" style="183" customWidth="1"/>
    <col min="9" max="9" width="23.25" style="206" customWidth="1"/>
    <col min="10" max="10" width="16.875" style="207" bestFit="1" customWidth="1"/>
    <col min="11" max="16" width="13" style="183" customWidth="1"/>
    <col min="17" max="17" width="14.25" style="183" customWidth="1"/>
    <col min="18" max="18" width="17.25" style="188" bestFit="1" customWidth="1"/>
    <col min="19" max="21" width="13" style="183" customWidth="1"/>
    <col min="22" max="16384" width="9" style="183"/>
  </cols>
  <sheetData>
    <row r="1" spans="1:20">
      <c r="F1" s="224">
        <f>SUBTOTAL(3,表格3_5[Date])</f>
        <v>155</v>
      </c>
      <c r="H1" s="206"/>
      <c r="I1" s="207"/>
      <c r="J1" s="183"/>
      <c r="L1">
        <f>SUBTOTAL(9,表格3_5[[ Hours]])</f>
        <v>1249.8999999999999</v>
      </c>
      <c r="Q1" s="224">
        <f>SUBTOTAL(9,表格3_5[Hours Worked])</f>
        <v>1245.5</v>
      </c>
      <c r="R1" s="183"/>
    </row>
    <row r="2" spans="1:20" ht="50.25">
      <c r="A2" s="183" t="s">
        <v>208</v>
      </c>
      <c r="B2" s="183" t="s">
        <v>207</v>
      </c>
      <c r="C2" s="208" t="s">
        <v>203</v>
      </c>
      <c r="D2" s="208" t="s">
        <v>201</v>
      </c>
      <c r="E2" s="208" t="s">
        <v>202</v>
      </c>
      <c r="F2" s="209" t="s">
        <v>185</v>
      </c>
      <c r="G2" s="210" t="s">
        <v>186</v>
      </c>
      <c r="H2" s="211" t="s">
        <v>184</v>
      </c>
      <c r="I2" s="212" t="s">
        <v>118</v>
      </c>
      <c r="J2" s="213" t="s">
        <v>187</v>
      </c>
      <c r="K2" s="213" t="s">
        <v>188</v>
      </c>
      <c r="L2" s="214" t="s">
        <v>189</v>
      </c>
      <c r="M2" s="214" t="s">
        <v>190</v>
      </c>
      <c r="N2" s="213" t="s">
        <v>199</v>
      </c>
      <c r="O2" s="213" t="s">
        <v>200</v>
      </c>
      <c r="P2" s="215" t="s">
        <v>198</v>
      </c>
      <c r="Q2" s="216" t="s">
        <v>191</v>
      </c>
      <c r="R2" s="214" t="s">
        <v>192</v>
      </c>
      <c r="S2" s="183" t="s">
        <v>193</v>
      </c>
      <c r="T2" s="214" t="s">
        <v>194</v>
      </c>
    </row>
    <row r="3" spans="1:20" ht="18">
      <c r="A3" s="217">
        <v>1</v>
      </c>
      <c r="B3" s="225" t="str">
        <f>_xlfn.CONCAT(表格3_5[[#This Row],[Name]],表格3_5[[#This Row],[Location]])</f>
        <v>Lo Chun WahKowloon Bay Fortress</v>
      </c>
      <c r="C3" s="226"/>
      <c r="D3" s="218"/>
      <c r="E3" s="226" t="str">
        <f>DAY(表格3_5[[#This Row],[Date]])&amp;""</f>
        <v>4</v>
      </c>
      <c r="F3" s="236">
        <v>46177</v>
      </c>
      <c r="G3" s="232" t="str">
        <f>_xlfn.XLOOKUP(表格3_5[[#This Row],[Name]],Name_list[Full Name],Name_list[Nick Name])</f>
        <v>Wah</v>
      </c>
      <c r="H3" s="219" t="s">
        <v>974</v>
      </c>
      <c r="I3" s="220" t="s">
        <v>226</v>
      </c>
      <c r="J3" s="221">
        <v>0.5</v>
      </c>
      <c r="K3" s="221">
        <v>0.83333333333333337</v>
      </c>
      <c r="L3" s="227">
        <f>(表格3_5[[#This Row],[Out-Time]] - 表格3_5[[#This Row],[In-Time]])*24</f>
        <v>8</v>
      </c>
      <c r="M3" s="228">
        <f>表格3_5[[#This Row],[ Hours]]-表格3_5[[#This Row],[Normal working
 hours]]</f>
        <v>0</v>
      </c>
      <c r="N3" s="221">
        <v>0.5</v>
      </c>
      <c r="O3" s="221">
        <v>0.83333333333333337</v>
      </c>
      <c r="P3" s="229">
        <f>(表格3_5[[#This Row],[Out-Time2]] - 表格3_5[[#This Row],[In-Time2]])*24</f>
        <v>8</v>
      </c>
      <c r="Q3" s="222">
        <v>8</v>
      </c>
      <c r="R3" s="229">
        <f>_xlfn.XLOOKUP(表格3_5[[#This Row],[Name]],Name_list[Full Name],Name_list[Hourr Rate])</f>
        <v>60</v>
      </c>
      <c r="S3" s="229">
        <f>表格3_5[[#This Row],[Hours Worked]]*表格3_5[[#This Row],[Hourly Rate]]</f>
        <v>480</v>
      </c>
    </row>
    <row r="4" spans="1:20" ht="18">
      <c r="A4" s="217">
        <v>2</v>
      </c>
      <c r="B4" s="225" t="str">
        <f>_xlfn.CONCAT(表格3_5[[#This Row],[Name]],表格3_5[[#This Row],[Location]])</f>
        <v>Lo Chun WahKowloon Bay Fortress</v>
      </c>
      <c r="C4" s="226"/>
      <c r="D4" s="218"/>
      <c r="E4" s="226" t="str">
        <f>DAY(表格3_5[[#This Row],[Date]])&amp;""</f>
        <v>5</v>
      </c>
      <c r="F4" s="236">
        <v>46178</v>
      </c>
      <c r="G4" s="232" t="str">
        <f>_xlfn.XLOOKUP(表格3_5[[#This Row],[Name]],Name_list[Full Name],Name_list[Nick Name])</f>
        <v>Wah</v>
      </c>
      <c r="H4" s="219" t="s">
        <v>974</v>
      </c>
      <c r="I4" s="220" t="s">
        <v>226</v>
      </c>
      <c r="J4" s="221">
        <v>0.5</v>
      </c>
      <c r="K4" s="221">
        <v>0.83333333333333337</v>
      </c>
      <c r="L4" s="227">
        <f>(表格3_5[[#This Row],[Out-Time]] - 表格3_5[[#This Row],[In-Time]])*24</f>
        <v>8</v>
      </c>
      <c r="M4" s="228">
        <f>表格3_5[[#This Row],[ Hours]]-表格3_5[[#This Row],[Normal working
 hours]]</f>
        <v>0</v>
      </c>
      <c r="N4" s="221">
        <v>0.5</v>
      </c>
      <c r="O4" s="221">
        <v>0.83333333333333337</v>
      </c>
      <c r="P4" s="229">
        <f>(表格3_5[[#This Row],[Out-Time2]] - 表格3_5[[#This Row],[In-Time2]])*24</f>
        <v>8</v>
      </c>
      <c r="Q4" s="222">
        <v>8</v>
      </c>
      <c r="R4" s="229">
        <f>_xlfn.XLOOKUP(表格3_5[[#This Row],[Name]],Name_list[Full Name],Name_list[Hourr Rate])</f>
        <v>60</v>
      </c>
      <c r="S4" s="229">
        <f>表格3_5[[#This Row],[Hours Worked]]*表格3_5[[#This Row],[Hourly Rate]]</f>
        <v>480</v>
      </c>
    </row>
    <row r="5" spans="1:20" ht="18">
      <c r="A5" s="217">
        <v>3</v>
      </c>
      <c r="B5" s="225" t="str">
        <f>_xlfn.CONCAT(表格3_5[[#This Row],[Name]],表格3_5[[#This Row],[Location]])</f>
        <v>Lo Chun WahKowloon Bay Fortress</v>
      </c>
      <c r="C5" s="226"/>
      <c r="D5" s="218"/>
      <c r="E5" s="226" t="str">
        <f>DAY(表格3_5[[#This Row],[Date]])&amp;""</f>
        <v>6</v>
      </c>
      <c r="F5" s="236">
        <v>46179</v>
      </c>
      <c r="G5" s="232" t="str">
        <f>_xlfn.XLOOKUP(表格3_5[[#This Row],[Name]],Name_list[Full Name],Name_list[Nick Name])</f>
        <v>Wah</v>
      </c>
      <c r="H5" s="219" t="s">
        <v>974</v>
      </c>
      <c r="I5" s="220" t="s">
        <v>226</v>
      </c>
      <c r="J5" s="221">
        <v>0.5</v>
      </c>
      <c r="K5" s="221">
        <v>0.83333333333333337</v>
      </c>
      <c r="L5" s="227">
        <f>(表格3_5[[#This Row],[Out-Time]] - 表格3_5[[#This Row],[In-Time]])*24</f>
        <v>8</v>
      </c>
      <c r="M5" s="228">
        <f>表格3_5[[#This Row],[ Hours]]-表格3_5[[#This Row],[Normal working
 hours]]</f>
        <v>0</v>
      </c>
      <c r="N5" s="221">
        <v>0.5</v>
      </c>
      <c r="O5" s="221">
        <v>0.83333333333333337</v>
      </c>
      <c r="P5" s="229">
        <f>(表格3_5[[#This Row],[Out-Time2]] - 表格3_5[[#This Row],[In-Time2]])*24</f>
        <v>8</v>
      </c>
      <c r="Q5" s="222">
        <v>8</v>
      </c>
      <c r="R5" s="229">
        <f>_xlfn.XLOOKUP(表格3_5[[#This Row],[Name]],Name_list[Full Name],Name_list[Hourr Rate])</f>
        <v>60</v>
      </c>
      <c r="S5" s="229">
        <f>表格3_5[[#This Row],[Hours Worked]]*表格3_5[[#This Row],[Hourly Rate]]</f>
        <v>480</v>
      </c>
    </row>
    <row r="6" spans="1:20" ht="18">
      <c r="A6" s="217">
        <v>4</v>
      </c>
      <c r="B6" s="225" t="str">
        <f>_xlfn.CONCAT(表格3_5[[#This Row],[Name]],表格3_5[[#This Row],[Location]])</f>
        <v>Lo Chun WahKowloon Bay Fortress</v>
      </c>
      <c r="C6" s="226"/>
      <c r="D6" s="218"/>
      <c r="E6" s="226" t="str">
        <f>DAY(表格3_5[[#This Row],[Date]])&amp;""</f>
        <v>7</v>
      </c>
      <c r="F6" s="236">
        <v>46180</v>
      </c>
      <c r="G6" s="232" t="str">
        <f>_xlfn.XLOOKUP(表格3_5[[#This Row],[Name]],Name_list[Full Name],Name_list[Nick Name])</f>
        <v>Wah</v>
      </c>
      <c r="H6" s="219" t="s">
        <v>974</v>
      </c>
      <c r="I6" s="220" t="s">
        <v>226</v>
      </c>
      <c r="J6" s="221">
        <v>0.5</v>
      </c>
      <c r="K6" s="221">
        <v>0.83333333333333337</v>
      </c>
      <c r="L6" s="227">
        <f>(表格3_5[[#This Row],[Out-Time]] - 表格3_5[[#This Row],[In-Time]])*24</f>
        <v>8</v>
      </c>
      <c r="M6" s="228">
        <f>表格3_5[[#This Row],[ Hours]]-表格3_5[[#This Row],[Normal working
 hours]]</f>
        <v>0</v>
      </c>
      <c r="N6" s="221">
        <v>0.5</v>
      </c>
      <c r="O6" s="221">
        <v>0.83333333333333337</v>
      </c>
      <c r="P6" s="229">
        <f>(表格3_5[[#This Row],[Out-Time2]] - 表格3_5[[#This Row],[In-Time2]])*24</f>
        <v>8</v>
      </c>
      <c r="Q6" s="222">
        <v>8</v>
      </c>
      <c r="R6" s="229">
        <f>_xlfn.XLOOKUP(表格3_5[[#This Row],[Name]],Name_list[Full Name],Name_list[Hourr Rate])</f>
        <v>60</v>
      </c>
      <c r="S6" s="229">
        <f>表格3_5[[#This Row],[Hours Worked]]*表格3_5[[#This Row],[Hourly Rate]]</f>
        <v>480</v>
      </c>
    </row>
    <row r="7" spans="1:20" ht="18">
      <c r="A7" s="217">
        <v>5</v>
      </c>
      <c r="B7" s="225" t="str">
        <f>_xlfn.CONCAT(表格3_5[[#This Row],[Name]],表格3_5[[#This Row],[Location]])</f>
        <v>Lo Chun WahKowloon Bay Fortress</v>
      </c>
      <c r="C7" s="226"/>
      <c r="D7" s="218"/>
      <c r="E7" s="226" t="str">
        <f>DAY(表格3_5[[#This Row],[Date]])&amp;""</f>
        <v>11</v>
      </c>
      <c r="F7" s="236">
        <v>46184</v>
      </c>
      <c r="G7" s="232" t="str">
        <f>_xlfn.XLOOKUP(表格3_5[[#This Row],[Name]],Name_list[Full Name],Name_list[Nick Name])</f>
        <v>Wah</v>
      </c>
      <c r="H7" s="219" t="s">
        <v>974</v>
      </c>
      <c r="I7" s="220" t="s">
        <v>226</v>
      </c>
      <c r="J7" s="221">
        <v>0.5</v>
      </c>
      <c r="K7" s="221">
        <v>0.83333333333333337</v>
      </c>
      <c r="L7" s="227">
        <f>(表格3_5[[#This Row],[Out-Time]] - 表格3_5[[#This Row],[In-Time]])*24</f>
        <v>8</v>
      </c>
      <c r="M7" s="228">
        <f>表格3_5[[#This Row],[ Hours]]-表格3_5[[#This Row],[Normal working
 hours]]</f>
        <v>0</v>
      </c>
      <c r="N7" s="221">
        <v>0.5</v>
      </c>
      <c r="O7" s="221">
        <v>0.83333333333333337</v>
      </c>
      <c r="P7" s="229">
        <f>(表格3_5[[#This Row],[Out-Time2]] - 表格3_5[[#This Row],[In-Time2]])*24</f>
        <v>8</v>
      </c>
      <c r="Q7" s="222">
        <v>8</v>
      </c>
      <c r="R7" s="229">
        <f>_xlfn.XLOOKUP(表格3_5[[#This Row],[Name]],Name_list[Full Name],Name_list[Hourr Rate])</f>
        <v>60</v>
      </c>
      <c r="S7" s="229">
        <f>表格3_5[[#This Row],[Hours Worked]]*表格3_5[[#This Row],[Hourly Rate]]</f>
        <v>480</v>
      </c>
    </row>
    <row r="8" spans="1:20" ht="18">
      <c r="A8" s="217">
        <v>6</v>
      </c>
      <c r="B8" s="225" t="str">
        <f>_xlfn.CONCAT(表格3_5[[#This Row],[Name]],表格3_5[[#This Row],[Location]])</f>
        <v>Lo Chun WahKowloon Bay Fortress</v>
      </c>
      <c r="C8" s="226"/>
      <c r="D8" s="218"/>
      <c r="E8" s="226" t="str">
        <f>DAY(表格3_5[[#This Row],[Date]])&amp;""</f>
        <v>12</v>
      </c>
      <c r="F8" s="236">
        <v>46185</v>
      </c>
      <c r="G8" s="232" t="str">
        <f>_xlfn.XLOOKUP(表格3_5[[#This Row],[Name]],Name_list[Full Name],Name_list[Nick Name])</f>
        <v>Wah</v>
      </c>
      <c r="H8" s="219" t="s">
        <v>974</v>
      </c>
      <c r="I8" s="220" t="s">
        <v>226</v>
      </c>
      <c r="J8" s="221">
        <v>0.5</v>
      </c>
      <c r="K8" s="221">
        <v>0.83333333333333304</v>
      </c>
      <c r="L8" s="227">
        <f>(表格3_5[[#This Row],[Out-Time]] - 表格3_5[[#This Row],[In-Time]])*24</f>
        <v>7.9999999999999929</v>
      </c>
      <c r="M8" s="228">
        <f>表格3_5[[#This Row],[ Hours]]-表格3_5[[#This Row],[Normal working
 hours]]</f>
        <v>0</v>
      </c>
      <c r="N8" s="221">
        <v>0.5</v>
      </c>
      <c r="O8" s="221">
        <v>0.83333333333333304</v>
      </c>
      <c r="P8" s="229">
        <f>(表格3_5[[#This Row],[Out-Time2]] - 表格3_5[[#This Row],[In-Time2]])*24</f>
        <v>7.9999999999999929</v>
      </c>
      <c r="Q8" s="222">
        <v>8</v>
      </c>
      <c r="R8" s="229">
        <f>_xlfn.XLOOKUP(表格3_5[[#This Row],[Name]],Name_list[Full Name],Name_list[Hourr Rate])</f>
        <v>60</v>
      </c>
      <c r="S8" s="229">
        <f>表格3_5[[#This Row],[Hours Worked]]*表格3_5[[#This Row],[Hourly Rate]]</f>
        <v>480</v>
      </c>
    </row>
    <row r="9" spans="1:20" ht="18">
      <c r="A9" s="217">
        <v>7</v>
      </c>
      <c r="B9" s="225" t="str">
        <f>_xlfn.CONCAT(表格3_5[[#This Row],[Name]],表格3_5[[#This Row],[Location]])</f>
        <v>Lo Chun WahKowloon Bay Fortress</v>
      </c>
      <c r="C9" s="226"/>
      <c r="D9" s="218"/>
      <c r="E9" s="226" t="str">
        <f>DAY(表格3_5[[#This Row],[Date]])&amp;""</f>
        <v>13</v>
      </c>
      <c r="F9" s="236">
        <v>46186</v>
      </c>
      <c r="G9" s="232" t="str">
        <f>_xlfn.XLOOKUP(表格3_5[[#This Row],[Name]],Name_list[Full Name],Name_list[Nick Name])</f>
        <v>Wah</v>
      </c>
      <c r="H9" s="219" t="s">
        <v>974</v>
      </c>
      <c r="I9" s="220" t="s">
        <v>226</v>
      </c>
      <c r="J9" s="221">
        <v>0.5</v>
      </c>
      <c r="K9" s="221">
        <v>0.83333333333333304</v>
      </c>
      <c r="L9" s="227">
        <f>(表格3_5[[#This Row],[Out-Time]] - 表格3_5[[#This Row],[In-Time]])*24</f>
        <v>7.9999999999999929</v>
      </c>
      <c r="M9" s="228">
        <f>表格3_5[[#This Row],[ Hours]]-表格3_5[[#This Row],[Normal working
 hours]]</f>
        <v>0</v>
      </c>
      <c r="N9" s="221">
        <v>0.5</v>
      </c>
      <c r="O9" s="221">
        <v>0.83333333333333304</v>
      </c>
      <c r="P9" s="229">
        <f>(表格3_5[[#This Row],[Out-Time2]] - 表格3_5[[#This Row],[In-Time2]])*24</f>
        <v>7.9999999999999929</v>
      </c>
      <c r="Q9" s="222">
        <v>8</v>
      </c>
      <c r="R9" s="229">
        <f>_xlfn.XLOOKUP(表格3_5[[#This Row],[Name]],Name_list[Full Name],Name_list[Hourr Rate])</f>
        <v>60</v>
      </c>
      <c r="S9" s="229">
        <f>表格3_5[[#This Row],[Hours Worked]]*表格3_5[[#This Row],[Hourly Rate]]</f>
        <v>480</v>
      </c>
    </row>
    <row r="10" spans="1:20" ht="18">
      <c r="A10" s="217">
        <v>8</v>
      </c>
      <c r="B10" s="225" t="str">
        <f>_xlfn.CONCAT(表格3_5[[#This Row],[Name]],表格3_5[[#This Row],[Location]])</f>
        <v>Lo Chun WahKowloon Bay Fortress</v>
      </c>
      <c r="C10" s="226"/>
      <c r="D10" s="218"/>
      <c r="E10" s="226" t="str">
        <f>DAY(表格3_5[[#This Row],[Date]])&amp;""</f>
        <v>14</v>
      </c>
      <c r="F10" s="236">
        <v>46187</v>
      </c>
      <c r="G10" s="232" t="str">
        <f>_xlfn.XLOOKUP(表格3_5[[#This Row],[Name]],Name_list[Full Name],Name_list[Nick Name])</f>
        <v>Wah</v>
      </c>
      <c r="H10" s="219" t="s">
        <v>974</v>
      </c>
      <c r="I10" s="220" t="s">
        <v>226</v>
      </c>
      <c r="J10" s="221">
        <v>0.5</v>
      </c>
      <c r="K10" s="221">
        <v>0.83333333333333304</v>
      </c>
      <c r="L10" s="227">
        <f>(表格3_5[[#This Row],[Out-Time]] - 表格3_5[[#This Row],[In-Time]])*24</f>
        <v>7.9999999999999929</v>
      </c>
      <c r="M10" s="228">
        <f>表格3_5[[#This Row],[ Hours]]-表格3_5[[#This Row],[Normal working
 hours]]</f>
        <v>0</v>
      </c>
      <c r="N10" s="221">
        <v>0.5</v>
      </c>
      <c r="O10" s="221">
        <v>0.83333333333333304</v>
      </c>
      <c r="P10" s="229">
        <f>(表格3_5[[#This Row],[Out-Time2]] - 表格3_5[[#This Row],[In-Time2]])*24</f>
        <v>7.9999999999999929</v>
      </c>
      <c r="Q10" s="222">
        <v>8</v>
      </c>
      <c r="R10" s="229">
        <f>_xlfn.XLOOKUP(表格3_5[[#This Row],[Name]],Name_list[Full Name],Name_list[Hourr Rate])</f>
        <v>60</v>
      </c>
      <c r="S10" s="229">
        <f>表格3_5[[#This Row],[Hours Worked]]*表格3_5[[#This Row],[Hourly Rate]]</f>
        <v>480</v>
      </c>
    </row>
    <row r="11" spans="1:20" ht="18">
      <c r="A11" s="217">
        <v>9</v>
      </c>
      <c r="B11" s="225" t="str">
        <f>_xlfn.CONCAT(表格3_5[[#This Row],[Name]],表格3_5[[#This Row],[Location]])</f>
        <v>Lo Chun WahKowloon Bay Fortress</v>
      </c>
      <c r="C11" s="226"/>
      <c r="D11" s="218"/>
      <c r="E11" s="226" t="str">
        <f>DAY(表格3_5[[#This Row],[Date]])&amp;""</f>
        <v>18</v>
      </c>
      <c r="F11" s="236">
        <v>46191</v>
      </c>
      <c r="G11" s="232" t="str">
        <f>_xlfn.XLOOKUP(表格3_5[[#This Row],[Name]],Name_list[Full Name],Name_list[Nick Name])</f>
        <v>Wah</v>
      </c>
      <c r="H11" s="219" t="s">
        <v>974</v>
      </c>
      <c r="I11" s="220" t="s">
        <v>226</v>
      </c>
      <c r="J11" s="221">
        <v>0.5</v>
      </c>
      <c r="K11" s="221">
        <v>0.83333333333333304</v>
      </c>
      <c r="L11" s="227">
        <f>(表格3_5[[#This Row],[Out-Time]] - 表格3_5[[#This Row],[In-Time]])*24</f>
        <v>7.9999999999999929</v>
      </c>
      <c r="M11" s="228">
        <f>表格3_5[[#This Row],[ Hours]]-表格3_5[[#This Row],[Normal working
 hours]]</f>
        <v>0</v>
      </c>
      <c r="N11" s="221">
        <v>0.5</v>
      </c>
      <c r="O11" s="221">
        <v>0.83333333333333304</v>
      </c>
      <c r="P11" s="229">
        <f>(表格3_5[[#This Row],[Out-Time2]] - 表格3_5[[#This Row],[In-Time2]])*24</f>
        <v>7.9999999999999929</v>
      </c>
      <c r="Q11" s="222">
        <v>8</v>
      </c>
      <c r="R11" s="229">
        <f>_xlfn.XLOOKUP(表格3_5[[#This Row],[Name]],Name_list[Full Name],Name_list[Hourr Rate])</f>
        <v>60</v>
      </c>
      <c r="S11" s="229">
        <f>表格3_5[[#This Row],[Hours Worked]]*表格3_5[[#This Row],[Hourly Rate]]</f>
        <v>480</v>
      </c>
    </row>
    <row r="12" spans="1:20" ht="18">
      <c r="A12" s="217">
        <v>10</v>
      </c>
      <c r="B12" s="225" t="str">
        <f>_xlfn.CONCAT(表格3_5[[#This Row],[Name]],表格3_5[[#This Row],[Location]])</f>
        <v>Lo Chun WahKowloon Bay Fortress</v>
      </c>
      <c r="C12" s="226"/>
      <c r="D12" s="218"/>
      <c r="E12" s="226" t="str">
        <f>DAY(表格3_5[[#This Row],[Date]])&amp;""</f>
        <v>19</v>
      </c>
      <c r="F12" s="236">
        <v>46192</v>
      </c>
      <c r="G12" s="232" t="str">
        <f>_xlfn.XLOOKUP(表格3_5[[#This Row],[Name]],Name_list[Full Name],Name_list[Nick Name])</f>
        <v>Wah</v>
      </c>
      <c r="H12" s="219" t="s">
        <v>974</v>
      </c>
      <c r="I12" s="220" t="s">
        <v>226</v>
      </c>
      <c r="J12" s="221">
        <v>0.5</v>
      </c>
      <c r="K12" s="221">
        <v>0.83333333333333304</v>
      </c>
      <c r="L12" s="227">
        <f>(表格3_5[[#This Row],[Out-Time]] - 表格3_5[[#This Row],[In-Time]])*24</f>
        <v>7.9999999999999929</v>
      </c>
      <c r="M12" s="228">
        <f>表格3_5[[#This Row],[ Hours]]-表格3_5[[#This Row],[Normal working
 hours]]</f>
        <v>0</v>
      </c>
      <c r="N12" s="221">
        <v>0.5</v>
      </c>
      <c r="O12" s="221">
        <v>0.83333333333333304</v>
      </c>
      <c r="P12" s="229">
        <f>(表格3_5[[#This Row],[Out-Time2]] - 表格3_5[[#This Row],[In-Time2]])*24</f>
        <v>7.9999999999999929</v>
      </c>
      <c r="Q12" s="222">
        <v>8</v>
      </c>
      <c r="R12" s="229">
        <f>_xlfn.XLOOKUP(表格3_5[[#This Row],[Name]],Name_list[Full Name],Name_list[Hourr Rate])</f>
        <v>60</v>
      </c>
      <c r="S12" s="229">
        <f>表格3_5[[#This Row],[Hours Worked]]*表格3_5[[#This Row],[Hourly Rate]]</f>
        <v>480</v>
      </c>
    </row>
    <row r="13" spans="1:20" ht="18">
      <c r="A13" s="217">
        <v>11</v>
      </c>
      <c r="B13" s="225" t="str">
        <f>_xlfn.CONCAT(表格3_5[[#This Row],[Name]],表格3_5[[#This Row],[Location]])</f>
        <v>Lo Chun WahKowloon Bay Fortress</v>
      </c>
      <c r="C13" s="226"/>
      <c r="D13" s="218"/>
      <c r="E13" s="226" t="str">
        <f>DAY(表格3_5[[#This Row],[Date]])&amp;""</f>
        <v>20</v>
      </c>
      <c r="F13" s="236">
        <v>46193</v>
      </c>
      <c r="G13" s="232" t="str">
        <f>_xlfn.XLOOKUP(表格3_5[[#This Row],[Name]],Name_list[Full Name],Name_list[Nick Name])</f>
        <v>Wah</v>
      </c>
      <c r="H13" s="219" t="s">
        <v>974</v>
      </c>
      <c r="I13" s="220" t="s">
        <v>226</v>
      </c>
      <c r="J13" s="221">
        <v>0.5</v>
      </c>
      <c r="K13" s="221">
        <v>0.83333333333333304</v>
      </c>
      <c r="L13" s="227">
        <f>(表格3_5[[#This Row],[Out-Time]] - 表格3_5[[#This Row],[In-Time]])*24</f>
        <v>7.9999999999999929</v>
      </c>
      <c r="M13" s="228">
        <f>表格3_5[[#This Row],[ Hours]]-表格3_5[[#This Row],[Normal working
 hours]]</f>
        <v>0</v>
      </c>
      <c r="N13" s="221">
        <v>0.5</v>
      </c>
      <c r="O13" s="221">
        <v>0.83333333333333304</v>
      </c>
      <c r="P13" s="229">
        <f>(表格3_5[[#This Row],[Out-Time2]] - 表格3_5[[#This Row],[In-Time2]])*24</f>
        <v>7.9999999999999929</v>
      </c>
      <c r="Q13" s="222">
        <v>8</v>
      </c>
      <c r="R13" s="229">
        <f>_xlfn.XLOOKUP(表格3_5[[#This Row],[Name]],Name_list[Full Name],Name_list[Hourr Rate])</f>
        <v>60</v>
      </c>
      <c r="S13" s="229">
        <f>表格3_5[[#This Row],[Hours Worked]]*表格3_5[[#This Row],[Hourly Rate]]</f>
        <v>480</v>
      </c>
    </row>
    <row r="14" spans="1:20" ht="18">
      <c r="A14" s="217">
        <v>12</v>
      </c>
      <c r="B14" s="225" t="str">
        <f>_xlfn.CONCAT(表格3_5[[#This Row],[Name]],表格3_5[[#This Row],[Location]])</f>
        <v>Lo Chun WahKowloon Bay Fortress</v>
      </c>
      <c r="C14" s="226"/>
      <c r="D14" s="218"/>
      <c r="E14" s="226" t="str">
        <f>DAY(表格3_5[[#This Row],[Date]])&amp;""</f>
        <v>21</v>
      </c>
      <c r="F14" s="236">
        <v>46194</v>
      </c>
      <c r="G14" s="232" t="str">
        <f>_xlfn.XLOOKUP(表格3_5[[#This Row],[Name]],Name_list[Full Name],Name_list[Nick Name])</f>
        <v>Wah</v>
      </c>
      <c r="H14" s="219" t="s">
        <v>974</v>
      </c>
      <c r="I14" s="220" t="s">
        <v>226</v>
      </c>
      <c r="J14" s="221">
        <v>0.5</v>
      </c>
      <c r="K14" s="221">
        <v>0.83333333333333304</v>
      </c>
      <c r="L14" s="227">
        <f>(表格3_5[[#This Row],[Out-Time]] - 表格3_5[[#This Row],[In-Time]])*24</f>
        <v>7.9999999999999929</v>
      </c>
      <c r="M14" s="228">
        <f>表格3_5[[#This Row],[ Hours]]-表格3_5[[#This Row],[Normal working
 hours]]</f>
        <v>0</v>
      </c>
      <c r="N14" s="221">
        <v>0.5</v>
      </c>
      <c r="O14" s="221">
        <v>0.83333333333333304</v>
      </c>
      <c r="P14" s="229">
        <f>(表格3_5[[#This Row],[Out-Time2]] - 表格3_5[[#This Row],[In-Time2]])*24</f>
        <v>7.9999999999999929</v>
      </c>
      <c r="Q14" s="222">
        <v>8</v>
      </c>
      <c r="R14" s="229">
        <f>_xlfn.XLOOKUP(表格3_5[[#This Row],[Name]],Name_list[Full Name],Name_list[Hourr Rate])</f>
        <v>60</v>
      </c>
      <c r="S14" s="229">
        <f>表格3_5[[#This Row],[Hours Worked]]*表格3_5[[#This Row],[Hourly Rate]]</f>
        <v>480</v>
      </c>
    </row>
    <row r="15" spans="1:20" ht="18">
      <c r="A15" s="217">
        <v>13</v>
      </c>
      <c r="B15" s="225" t="str">
        <f>_xlfn.CONCAT(表格3_5[[#This Row],[Name]],表格3_5[[#This Row],[Location]])</f>
        <v>Lo Chun WahKowloon Bay Fortress</v>
      </c>
      <c r="C15" s="226"/>
      <c r="D15" s="218"/>
      <c r="E15" s="226" t="str">
        <f>DAY(表格3_5[[#This Row],[Date]])&amp;""</f>
        <v>25</v>
      </c>
      <c r="F15" s="236">
        <v>46198</v>
      </c>
      <c r="G15" s="232" t="str">
        <f>_xlfn.XLOOKUP(表格3_5[[#This Row],[Name]],Name_list[Full Name],Name_list[Nick Name])</f>
        <v>Wah</v>
      </c>
      <c r="H15" s="219" t="s">
        <v>974</v>
      </c>
      <c r="I15" s="220" t="s">
        <v>226</v>
      </c>
      <c r="J15" s="221">
        <v>0.5</v>
      </c>
      <c r="K15" s="221">
        <v>0.83333333333333304</v>
      </c>
      <c r="L15" s="227">
        <f>(表格3_5[[#This Row],[Out-Time]] - 表格3_5[[#This Row],[In-Time]])*24</f>
        <v>7.9999999999999929</v>
      </c>
      <c r="M15" s="228">
        <f>表格3_5[[#This Row],[ Hours]]-表格3_5[[#This Row],[Normal working
 hours]]</f>
        <v>0</v>
      </c>
      <c r="N15" s="221">
        <v>0.5</v>
      </c>
      <c r="O15" s="221">
        <v>0.83333333333333304</v>
      </c>
      <c r="P15" s="229">
        <f>(表格3_5[[#This Row],[Out-Time2]] - 表格3_5[[#This Row],[In-Time2]])*24</f>
        <v>7.9999999999999929</v>
      </c>
      <c r="Q15" s="222">
        <v>8</v>
      </c>
      <c r="R15" s="229">
        <f>_xlfn.XLOOKUP(表格3_5[[#This Row],[Name]],Name_list[Full Name],Name_list[Hourr Rate])</f>
        <v>60</v>
      </c>
      <c r="S15" s="229">
        <f>表格3_5[[#This Row],[Hours Worked]]*表格3_5[[#This Row],[Hourly Rate]]</f>
        <v>480</v>
      </c>
    </row>
    <row r="16" spans="1:20" ht="18">
      <c r="A16" s="217">
        <v>14</v>
      </c>
      <c r="B16" s="225" t="str">
        <f>_xlfn.CONCAT(表格3_5[[#This Row],[Name]],表格3_5[[#This Row],[Location]])</f>
        <v>Lo Chun WahKowloon Bay Fortress</v>
      </c>
      <c r="C16" s="226"/>
      <c r="D16" s="218"/>
      <c r="E16" s="226" t="str">
        <f>DAY(表格3_5[[#This Row],[Date]])&amp;""</f>
        <v>26</v>
      </c>
      <c r="F16" s="236">
        <v>46199</v>
      </c>
      <c r="G16" s="232" t="str">
        <f>_xlfn.XLOOKUP(表格3_5[[#This Row],[Name]],Name_list[Full Name],Name_list[Nick Name])</f>
        <v>Wah</v>
      </c>
      <c r="H16" s="219" t="s">
        <v>974</v>
      </c>
      <c r="I16" s="220" t="s">
        <v>226</v>
      </c>
      <c r="J16" s="221">
        <v>0.5</v>
      </c>
      <c r="K16" s="221">
        <v>0.83333333333333304</v>
      </c>
      <c r="L16" s="227">
        <f>(表格3_5[[#This Row],[Out-Time]] - 表格3_5[[#This Row],[In-Time]])*24</f>
        <v>7.9999999999999929</v>
      </c>
      <c r="M16" s="228">
        <f>表格3_5[[#This Row],[ Hours]]-表格3_5[[#This Row],[Normal working
 hours]]</f>
        <v>0</v>
      </c>
      <c r="N16" s="221">
        <v>0.5</v>
      </c>
      <c r="O16" s="221">
        <v>0.83333333333333304</v>
      </c>
      <c r="P16" s="229">
        <f>(表格3_5[[#This Row],[Out-Time2]] - 表格3_5[[#This Row],[In-Time2]])*24</f>
        <v>7.9999999999999929</v>
      </c>
      <c r="Q16" s="222">
        <v>8</v>
      </c>
      <c r="R16" s="229">
        <f>_xlfn.XLOOKUP(表格3_5[[#This Row],[Name]],Name_list[Full Name],Name_list[Hourr Rate])</f>
        <v>60</v>
      </c>
      <c r="S16" s="229">
        <f>表格3_5[[#This Row],[Hours Worked]]*表格3_5[[#This Row],[Hourly Rate]]</f>
        <v>480</v>
      </c>
    </row>
    <row r="17" spans="1:19" ht="18">
      <c r="A17" s="217">
        <v>15</v>
      </c>
      <c r="B17" s="225" t="str">
        <f>_xlfn.CONCAT(表格3_5[[#This Row],[Name]],表格3_5[[#This Row],[Location]])</f>
        <v>Lo Chun WahKowloon Bay Fortress</v>
      </c>
      <c r="C17" s="226"/>
      <c r="D17" s="218"/>
      <c r="E17" s="226" t="str">
        <f>DAY(表格3_5[[#This Row],[Date]])&amp;""</f>
        <v>27</v>
      </c>
      <c r="F17" s="236">
        <v>46200</v>
      </c>
      <c r="G17" s="232" t="str">
        <f>_xlfn.XLOOKUP(表格3_5[[#This Row],[Name]],Name_list[Full Name],Name_list[Nick Name])</f>
        <v>Wah</v>
      </c>
      <c r="H17" s="219" t="s">
        <v>974</v>
      </c>
      <c r="I17" s="220" t="s">
        <v>226</v>
      </c>
      <c r="J17" s="221">
        <v>0.5</v>
      </c>
      <c r="K17" s="221">
        <v>0.83333333333333304</v>
      </c>
      <c r="L17" s="227">
        <f>(表格3_5[[#This Row],[Out-Time]] - 表格3_5[[#This Row],[In-Time]])*24</f>
        <v>7.9999999999999929</v>
      </c>
      <c r="M17" s="228">
        <f>表格3_5[[#This Row],[ Hours]]-表格3_5[[#This Row],[Normal working
 hours]]</f>
        <v>0</v>
      </c>
      <c r="N17" s="221">
        <v>0.5</v>
      </c>
      <c r="O17" s="221">
        <v>0.83333333333333304</v>
      </c>
      <c r="P17" s="229">
        <f>(表格3_5[[#This Row],[Out-Time2]] - 表格3_5[[#This Row],[In-Time2]])*24</f>
        <v>7.9999999999999929</v>
      </c>
      <c r="Q17" s="222">
        <v>8</v>
      </c>
      <c r="R17" s="229">
        <f>_xlfn.XLOOKUP(表格3_5[[#This Row],[Name]],Name_list[Full Name],Name_list[Hourr Rate])</f>
        <v>60</v>
      </c>
      <c r="S17" s="229">
        <f>表格3_5[[#This Row],[Hours Worked]]*表格3_5[[#This Row],[Hourly Rate]]</f>
        <v>480</v>
      </c>
    </row>
    <row r="18" spans="1:19" ht="18">
      <c r="A18" s="217">
        <v>16</v>
      </c>
      <c r="B18" s="225" t="str">
        <f>_xlfn.CONCAT(表格3_5[[#This Row],[Name]],表格3_5[[#This Row],[Location]])</f>
        <v>Lo Chun WahKowloon Bay Fortress</v>
      </c>
      <c r="C18" s="226"/>
      <c r="D18" s="218"/>
      <c r="E18" s="226" t="str">
        <f>DAY(表格3_5[[#This Row],[Date]])&amp;""</f>
        <v>28</v>
      </c>
      <c r="F18" s="236">
        <v>46201</v>
      </c>
      <c r="G18" s="232" t="str">
        <f>_xlfn.XLOOKUP(表格3_5[[#This Row],[Name]],Name_list[Full Name],Name_list[Nick Name])</f>
        <v>Wah</v>
      </c>
      <c r="H18" s="219" t="s">
        <v>974</v>
      </c>
      <c r="I18" s="220" t="s">
        <v>226</v>
      </c>
      <c r="J18" s="221">
        <v>0.5</v>
      </c>
      <c r="K18" s="221">
        <v>0.83333333333333304</v>
      </c>
      <c r="L18" s="227">
        <f>(表格3_5[[#This Row],[Out-Time]] - 表格3_5[[#This Row],[In-Time]])*24</f>
        <v>7.9999999999999929</v>
      </c>
      <c r="M18" s="228">
        <f>表格3_5[[#This Row],[ Hours]]-表格3_5[[#This Row],[Normal working
 hours]]</f>
        <v>0</v>
      </c>
      <c r="N18" s="221">
        <v>0.5</v>
      </c>
      <c r="O18" s="221">
        <v>0.83333333333333304</v>
      </c>
      <c r="P18" s="229">
        <f>(表格3_5[[#This Row],[Out-Time2]] - 表格3_5[[#This Row],[In-Time2]])*24</f>
        <v>7.9999999999999929</v>
      </c>
      <c r="Q18" s="222">
        <v>8</v>
      </c>
      <c r="R18" s="229">
        <f>_xlfn.XLOOKUP(表格3_5[[#This Row],[Name]],Name_list[Full Name],Name_list[Hourr Rate])</f>
        <v>60</v>
      </c>
      <c r="S18" s="229">
        <f>表格3_5[[#This Row],[Hours Worked]]*表格3_5[[#This Row],[Hourly Rate]]</f>
        <v>480</v>
      </c>
    </row>
    <row r="19" spans="1:19" ht="18">
      <c r="A19" s="217">
        <v>17</v>
      </c>
      <c r="B19" s="225" t="str">
        <f>_xlfn.CONCAT(表格3_5[[#This Row],[Name]],表格3_5[[#This Row],[Location]])</f>
        <v>Lok Yin LingYL Citistore</v>
      </c>
      <c r="C19" s="226"/>
      <c r="D19" s="218"/>
      <c r="E19" s="226" t="str">
        <f>DAY(表格3_5[[#This Row],[Date]])&amp;""</f>
        <v>4</v>
      </c>
      <c r="F19" s="236">
        <v>46177</v>
      </c>
      <c r="G19" s="232" t="str">
        <f>_xlfn.XLOOKUP(表格3_5[[#This Row],[Name]],Name_list[Full Name],Name_list[Nick Name])</f>
        <v>Ling</v>
      </c>
      <c r="H19" s="219" t="s">
        <v>896</v>
      </c>
      <c r="I19" s="220" t="s">
        <v>228</v>
      </c>
      <c r="J19" s="221">
        <v>0.48819444444444443</v>
      </c>
      <c r="K19" s="221">
        <v>0.83333333333333304</v>
      </c>
      <c r="L19" s="227">
        <f>(表格3_5[[#This Row],[Out-Time]] - 表格3_5[[#This Row],[In-Time]])*24</f>
        <v>8.2833333333333261</v>
      </c>
      <c r="M19" s="228">
        <f>表格3_5[[#This Row],[ Hours]]-表格3_5[[#This Row],[Normal working
 hours]]</f>
        <v>0.28333333333333321</v>
      </c>
      <c r="N19" s="221">
        <v>0.5</v>
      </c>
      <c r="O19" s="221">
        <v>0.83333333333333304</v>
      </c>
      <c r="P19" s="229">
        <f>(表格3_5[[#This Row],[Out-Time2]] - 表格3_5[[#This Row],[In-Time2]])*24</f>
        <v>7.9999999999999929</v>
      </c>
      <c r="Q19" s="222">
        <v>8</v>
      </c>
      <c r="R19" s="229">
        <f>_xlfn.XLOOKUP(表格3_5[[#This Row],[Name]],Name_list[Full Name],Name_list[Hourr Rate])</f>
        <v>60</v>
      </c>
      <c r="S19" s="229">
        <f>表格3_5[[#This Row],[Hours Worked]]*表格3_5[[#This Row],[Hourly Rate]]</f>
        <v>480</v>
      </c>
    </row>
    <row r="20" spans="1:19" ht="18">
      <c r="A20" s="217">
        <v>18</v>
      </c>
      <c r="B20" s="225" t="str">
        <f>_xlfn.CONCAT(表格3_5[[#This Row],[Name]],表格3_5[[#This Row],[Location]])</f>
        <v>Lok Yin LingYL Citistore</v>
      </c>
      <c r="C20" s="226"/>
      <c r="D20" s="218"/>
      <c r="E20" s="226" t="str">
        <f>DAY(表格3_5[[#This Row],[Date]])&amp;""</f>
        <v>5</v>
      </c>
      <c r="F20" s="236">
        <v>46178</v>
      </c>
      <c r="G20" s="232" t="str">
        <f>_xlfn.XLOOKUP(表格3_5[[#This Row],[Name]],Name_list[Full Name],Name_list[Nick Name])</f>
        <v>Ling</v>
      </c>
      <c r="H20" s="219" t="s">
        <v>896</v>
      </c>
      <c r="I20" s="220" t="s">
        <v>228</v>
      </c>
      <c r="J20" s="221">
        <v>0.48819444444444443</v>
      </c>
      <c r="K20" s="221">
        <v>0.83333333333333304</v>
      </c>
      <c r="L20" s="227">
        <f>(表格3_5[[#This Row],[Out-Time]] - 表格3_5[[#This Row],[In-Time]])*24</f>
        <v>8.2833333333333261</v>
      </c>
      <c r="M20" s="228">
        <f>表格3_5[[#This Row],[ Hours]]-表格3_5[[#This Row],[Normal working
 hours]]</f>
        <v>0.28333333333333321</v>
      </c>
      <c r="N20" s="221">
        <v>0.5</v>
      </c>
      <c r="O20" s="221">
        <v>0.83333333333333304</v>
      </c>
      <c r="P20" s="229">
        <f>(表格3_5[[#This Row],[Out-Time2]] - 表格3_5[[#This Row],[In-Time2]])*24</f>
        <v>7.9999999999999929</v>
      </c>
      <c r="Q20" s="222">
        <v>8</v>
      </c>
      <c r="R20" s="229">
        <f>_xlfn.XLOOKUP(表格3_5[[#This Row],[Name]],Name_list[Full Name],Name_list[Hourr Rate])</f>
        <v>60</v>
      </c>
      <c r="S20" s="229">
        <f>表格3_5[[#This Row],[Hours Worked]]*表格3_5[[#This Row],[Hourly Rate]]</f>
        <v>480</v>
      </c>
    </row>
    <row r="21" spans="1:19" ht="18">
      <c r="A21" s="217">
        <v>19</v>
      </c>
      <c r="B21" s="225" t="str">
        <f>_xlfn.CONCAT(表格3_5[[#This Row],[Name]],表格3_5[[#This Row],[Location]])</f>
        <v>Lok Yin LingYL Citistore</v>
      </c>
      <c r="C21" s="226"/>
      <c r="D21" s="218"/>
      <c r="E21" s="226" t="str">
        <f>DAY(表格3_5[[#This Row],[Date]])&amp;""</f>
        <v>6</v>
      </c>
      <c r="F21" s="236">
        <v>46179</v>
      </c>
      <c r="G21" s="232" t="str">
        <f>_xlfn.XLOOKUP(表格3_5[[#This Row],[Name]],Name_list[Full Name],Name_list[Nick Name])</f>
        <v>Ling</v>
      </c>
      <c r="H21" s="219" t="s">
        <v>896</v>
      </c>
      <c r="I21" s="220" t="s">
        <v>228</v>
      </c>
      <c r="J21" s="221">
        <v>0.48888888888888887</v>
      </c>
      <c r="K21" s="221">
        <v>0.83333333333333304</v>
      </c>
      <c r="L21" s="227">
        <f>(表格3_5[[#This Row],[Out-Time]] - 表格3_5[[#This Row],[In-Time]])*24</f>
        <v>8.2666666666666604</v>
      </c>
      <c r="M21" s="228">
        <f>表格3_5[[#This Row],[ Hours]]-表格3_5[[#This Row],[Normal working
 hours]]</f>
        <v>0.2666666666666675</v>
      </c>
      <c r="N21" s="221">
        <v>0.5</v>
      </c>
      <c r="O21" s="221">
        <v>0.83333333333333304</v>
      </c>
      <c r="P21" s="229">
        <f>(表格3_5[[#This Row],[Out-Time2]] - 表格3_5[[#This Row],[In-Time2]])*24</f>
        <v>7.9999999999999929</v>
      </c>
      <c r="Q21" s="222">
        <v>8</v>
      </c>
      <c r="R21" s="229">
        <f>_xlfn.XLOOKUP(表格3_5[[#This Row],[Name]],Name_list[Full Name],Name_list[Hourr Rate])</f>
        <v>60</v>
      </c>
      <c r="S21" s="229">
        <f>表格3_5[[#This Row],[Hours Worked]]*表格3_5[[#This Row],[Hourly Rate]]</f>
        <v>480</v>
      </c>
    </row>
    <row r="22" spans="1:19" ht="18">
      <c r="A22" s="217">
        <v>20</v>
      </c>
      <c r="B22" s="225" t="str">
        <f>_xlfn.CONCAT(表格3_5[[#This Row],[Name]],表格3_5[[#This Row],[Location]])</f>
        <v>Lok Yin LingYL Citistore</v>
      </c>
      <c r="C22" s="226"/>
      <c r="D22" s="218"/>
      <c r="E22" s="226" t="str">
        <f>DAY(表格3_5[[#This Row],[Date]])&amp;""</f>
        <v>7</v>
      </c>
      <c r="F22" s="236">
        <v>46180</v>
      </c>
      <c r="G22" s="232" t="str">
        <f>_xlfn.XLOOKUP(表格3_5[[#This Row],[Name]],Name_list[Full Name],Name_list[Nick Name])</f>
        <v>Ling</v>
      </c>
      <c r="H22" s="219" t="s">
        <v>896</v>
      </c>
      <c r="I22" s="220" t="s">
        <v>228</v>
      </c>
      <c r="J22" s="221">
        <v>0.4909722222222222</v>
      </c>
      <c r="K22" s="221">
        <v>0.83333333333333304</v>
      </c>
      <c r="L22" s="227">
        <f>(表格3_5[[#This Row],[Out-Time]] - 表格3_5[[#This Row],[In-Time]])*24</f>
        <v>8.2166666666666597</v>
      </c>
      <c r="M22" s="228">
        <f>表格3_5[[#This Row],[ Hours]]-表格3_5[[#This Row],[Normal working
 hours]]</f>
        <v>0.21666666666666679</v>
      </c>
      <c r="N22" s="221">
        <v>0.5</v>
      </c>
      <c r="O22" s="221">
        <v>0.83333333333333304</v>
      </c>
      <c r="P22" s="229">
        <f>(表格3_5[[#This Row],[Out-Time2]] - 表格3_5[[#This Row],[In-Time2]])*24</f>
        <v>7.9999999999999929</v>
      </c>
      <c r="Q22" s="222">
        <v>8</v>
      </c>
      <c r="R22" s="229">
        <f>_xlfn.XLOOKUP(表格3_5[[#This Row],[Name]],Name_list[Full Name],Name_list[Hourr Rate])</f>
        <v>60</v>
      </c>
      <c r="S22" s="229">
        <f>表格3_5[[#This Row],[Hours Worked]]*表格3_5[[#This Row],[Hourly Rate]]</f>
        <v>480</v>
      </c>
    </row>
    <row r="23" spans="1:19" ht="18">
      <c r="A23" s="217">
        <v>21</v>
      </c>
      <c r="B23" s="225" t="str">
        <f>_xlfn.CONCAT(表格3_5[[#This Row],[Name]],表格3_5[[#This Row],[Location]])</f>
        <v>Lok Yin LingYL Citistore</v>
      </c>
      <c r="C23" s="226"/>
      <c r="D23" s="218"/>
      <c r="E23" s="226" t="str">
        <f>DAY(表格3_5[[#This Row],[Date]])&amp;""</f>
        <v>11</v>
      </c>
      <c r="F23" s="236">
        <v>46184</v>
      </c>
      <c r="G23" s="232" t="str">
        <f>_xlfn.XLOOKUP(表格3_5[[#This Row],[Name]],Name_list[Full Name],Name_list[Nick Name])</f>
        <v>Ling</v>
      </c>
      <c r="H23" s="219" t="s">
        <v>896</v>
      </c>
      <c r="I23" s="220" t="s">
        <v>228</v>
      </c>
      <c r="J23" s="221">
        <v>0.49236111111111114</v>
      </c>
      <c r="K23" s="221">
        <v>0.83333333333333304</v>
      </c>
      <c r="L23" s="227">
        <f>(表格3_5[[#This Row],[Out-Time]] - 表格3_5[[#This Row],[In-Time]])*24</f>
        <v>8.1833333333333265</v>
      </c>
      <c r="M23" s="228">
        <f>表格3_5[[#This Row],[ Hours]]-表格3_5[[#This Row],[Normal working
 hours]]</f>
        <v>0.18333333333333357</v>
      </c>
      <c r="N23" s="221">
        <v>0.5</v>
      </c>
      <c r="O23" s="221">
        <v>0.83333333333333304</v>
      </c>
      <c r="P23" s="229">
        <f>(表格3_5[[#This Row],[Out-Time2]] - 表格3_5[[#This Row],[In-Time2]])*24</f>
        <v>7.9999999999999929</v>
      </c>
      <c r="Q23" s="222">
        <v>8</v>
      </c>
      <c r="R23" s="229">
        <f>_xlfn.XLOOKUP(表格3_5[[#This Row],[Name]],Name_list[Full Name],Name_list[Hourr Rate])</f>
        <v>60</v>
      </c>
      <c r="S23" s="229">
        <f>表格3_5[[#This Row],[Hours Worked]]*表格3_5[[#This Row],[Hourly Rate]]</f>
        <v>480</v>
      </c>
    </row>
    <row r="24" spans="1:19" ht="18">
      <c r="A24" s="217">
        <v>22</v>
      </c>
      <c r="B24" s="225" t="str">
        <f>_xlfn.CONCAT(表格3_5[[#This Row],[Name]],表格3_5[[#This Row],[Location]])</f>
        <v>Lok Yin LingYL Citistore</v>
      </c>
      <c r="C24" s="226"/>
      <c r="D24" s="218"/>
      <c r="E24" s="226" t="str">
        <f>DAY(表格3_5[[#This Row],[Date]])&amp;""</f>
        <v>12</v>
      </c>
      <c r="F24" s="236">
        <v>46185</v>
      </c>
      <c r="G24" s="232" t="str">
        <f>_xlfn.XLOOKUP(表格3_5[[#This Row],[Name]],Name_list[Full Name],Name_list[Nick Name])</f>
        <v>Ling</v>
      </c>
      <c r="H24" s="219" t="s">
        <v>896</v>
      </c>
      <c r="I24" s="220" t="s">
        <v>228</v>
      </c>
      <c r="J24" s="221">
        <v>0.48888888888888887</v>
      </c>
      <c r="K24" s="221">
        <v>0.83333333333333304</v>
      </c>
      <c r="L24" s="227">
        <f>(表格3_5[[#This Row],[Out-Time]] - 表格3_5[[#This Row],[In-Time]])*24</f>
        <v>8.2666666666666604</v>
      </c>
      <c r="M24" s="228">
        <f>表格3_5[[#This Row],[ Hours]]-表格3_5[[#This Row],[Normal working
 hours]]</f>
        <v>0.2666666666666675</v>
      </c>
      <c r="N24" s="221">
        <v>0.5</v>
      </c>
      <c r="O24" s="221">
        <v>0.83333333333333304</v>
      </c>
      <c r="P24" s="229">
        <f>(表格3_5[[#This Row],[Out-Time2]] - 表格3_5[[#This Row],[In-Time2]])*24</f>
        <v>7.9999999999999929</v>
      </c>
      <c r="Q24" s="222">
        <v>8</v>
      </c>
      <c r="R24" s="229">
        <f>_xlfn.XLOOKUP(表格3_5[[#This Row],[Name]],Name_list[Full Name],Name_list[Hourr Rate])</f>
        <v>60</v>
      </c>
      <c r="S24" s="229">
        <f>表格3_5[[#This Row],[Hours Worked]]*表格3_5[[#This Row],[Hourly Rate]]</f>
        <v>480</v>
      </c>
    </row>
    <row r="25" spans="1:19" ht="18">
      <c r="A25" s="217">
        <v>23</v>
      </c>
      <c r="B25" s="225" t="str">
        <f>_xlfn.CONCAT(表格3_5[[#This Row],[Name]],表格3_5[[#This Row],[Location]])</f>
        <v>Lok Yin LingYL Citistore</v>
      </c>
      <c r="C25" s="226"/>
      <c r="D25" s="218"/>
      <c r="E25" s="226" t="str">
        <f>DAY(表格3_5[[#This Row],[Date]])&amp;""</f>
        <v>13</v>
      </c>
      <c r="F25" s="236">
        <v>46186</v>
      </c>
      <c r="G25" s="232" t="str">
        <f>_xlfn.XLOOKUP(表格3_5[[#This Row],[Name]],Name_list[Full Name],Name_list[Nick Name])</f>
        <v>Ling</v>
      </c>
      <c r="H25" s="219" t="s">
        <v>896</v>
      </c>
      <c r="I25" s="220" t="s">
        <v>228</v>
      </c>
      <c r="J25" s="221">
        <v>0.48888888888888887</v>
      </c>
      <c r="K25" s="221">
        <v>0.83333333333333304</v>
      </c>
      <c r="L25" s="227">
        <f>(表格3_5[[#This Row],[Out-Time]] - 表格3_5[[#This Row],[In-Time]])*24</f>
        <v>8.2666666666666604</v>
      </c>
      <c r="M25" s="228">
        <f>表格3_5[[#This Row],[ Hours]]-表格3_5[[#This Row],[Normal working
 hours]]</f>
        <v>0.2666666666666675</v>
      </c>
      <c r="N25" s="221">
        <v>0.5</v>
      </c>
      <c r="O25" s="221">
        <v>0.83333333333333304</v>
      </c>
      <c r="P25" s="229">
        <f>(表格3_5[[#This Row],[Out-Time2]] - 表格3_5[[#This Row],[In-Time2]])*24</f>
        <v>7.9999999999999929</v>
      </c>
      <c r="Q25" s="222">
        <v>8</v>
      </c>
      <c r="R25" s="229">
        <f>_xlfn.XLOOKUP(表格3_5[[#This Row],[Name]],Name_list[Full Name],Name_list[Hourr Rate])</f>
        <v>60</v>
      </c>
      <c r="S25" s="229">
        <f>表格3_5[[#This Row],[Hours Worked]]*表格3_5[[#This Row],[Hourly Rate]]</f>
        <v>480</v>
      </c>
    </row>
    <row r="26" spans="1:19" ht="18">
      <c r="A26" s="217">
        <v>24</v>
      </c>
      <c r="B26" s="225" t="str">
        <f>_xlfn.CONCAT(表格3_5[[#This Row],[Name]],表格3_5[[#This Row],[Location]])</f>
        <v>Lok Yin LingYL Citistore</v>
      </c>
      <c r="C26" s="226"/>
      <c r="D26" s="218"/>
      <c r="E26" s="226" t="str">
        <f>DAY(表格3_5[[#This Row],[Date]])&amp;""</f>
        <v>14</v>
      </c>
      <c r="F26" s="236">
        <v>46187</v>
      </c>
      <c r="G26" s="232" t="str">
        <f>_xlfn.XLOOKUP(表格3_5[[#This Row],[Name]],Name_list[Full Name],Name_list[Nick Name])</f>
        <v>Ling</v>
      </c>
      <c r="H26" s="219" t="s">
        <v>896</v>
      </c>
      <c r="I26" s="220" t="s">
        <v>228</v>
      </c>
      <c r="J26" s="221">
        <v>0.48819444444444443</v>
      </c>
      <c r="K26" s="221">
        <v>0.83333333333333304</v>
      </c>
      <c r="L26" s="227">
        <f>(表格3_5[[#This Row],[Out-Time]] - 表格3_5[[#This Row],[In-Time]])*24</f>
        <v>8.2833333333333261</v>
      </c>
      <c r="M26" s="228">
        <f>表格3_5[[#This Row],[ Hours]]-表格3_5[[#This Row],[Normal working
 hours]]</f>
        <v>0.28333333333333321</v>
      </c>
      <c r="N26" s="221">
        <v>0.5</v>
      </c>
      <c r="O26" s="221">
        <v>0.83333333333333304</v>
      </c>
      <c r="P26" s="229">
        <f>(表格3_5[[#This Row],[Out-Time2]] - 表格3_5[[#This Row],[In-Time2]])*24</f>
        <v>7.9999999999999929</v>
      </c>
      <c r="Q26" s="222">
        <v>8</v>
      </c>
      <c r="R26" s="229">
        <f>_xlfn.XLOOKUP(表格3_5[[#This Row],[Name]],Name_list[Full Name],Name_list[Hourr Rate])</f>
        <v>60</v>
      </c>
      <c r="S26" s="229">
        <f>表格3_5[[#This Row],[Hours Worked]]*表格3_5[[#This Row],[Hourly Rate]]</f>
        <v>480</v>
      </c>
    </row>
    <row r="27" spans="1:19" ht="18">
      <c r="A27" s="217">
        <v>25</v>
      </c>
      <c r="B27" s="225" t="str">
        <f>_xlfn.CONCAT(表格3_5[[#This Row],[Name]],表格3_5[[#This Row],[Location]])</f>
        <v>Lok Yin LingYL Citistore</v>
      </c>
      <c r="C27" s="226"/>
      <c r="D27" s="218"/>
      <c r="E27" s="226" t="str">
        <f>DAY(表格3_5[[#This Row],[Date]])&amp;""</f>
        <v>18</v>
      </c>
      <c r="F27" s="236">
        <v>46191</v>
      </c>
      <c r="G27" s="232" t="str">
        <f>_xlfn.XLOOKUP(表格3_5[[#This Row],[Name]],Name_list[Full Name],Name_list[Nick Name])</f>
        <v>Ling</v>
      </c>
      <c r="H27" s="219" t="s">
        <v>896</v>
      </c>
      <c r="I27" s="220" t="s">
        <v>228</v>
      </c>
      <c r="J27" s="221">
        <v>0.48819444444444443</v>
      </c>
      <c r="K27" s="221">
        <v>0.83333333333333304</v>
      </c>
      <c r="L27" s="227">
        <f>(表格3_5[[#This Row],[Out-Time]] - 表格3_5[[#This Row],[In-Time]])*24</f>
        <v>8.2833333333333261</v>
      </c>
      <c r="M27" s="228">
        <f>表格3_5[[#This Row],[ Hours]]-表格3_5[[#This Row],[Normal working
 hours]]</f>
        <v>0.28333333333333321</v>
      </c>
      <c r="N27" s="221">
        <v>0.5</v>
      </c>
      <c r="O27" s="221">
        <v>0.83333333333333304</v>
      </c>
      <c r="P27" s="229">
        <f>(表格3_5[[#This Row],[Out-Time2]] - 表格3_5[[#This Row],[In-Time2]])*24</f>
        <v>7.9999999999999929</v>
      </c>
      <c r="Q27" s="222">
        <v>8</v>
      </c>
      <c r="R27" s="229">
        <f>_xlfn.XLOOKUP(表格3_5[[#This Row],[Name]],Name_list[Full Name],Name_list[Hourr Rate])</f>
        <v>60</v>
      </c>
      <c r="S27" s="229">
        <f>表格3_5[[#This Row],[Hours Worked]]*表格3_5[[#This Row],[Hourly Rate]]</f>
        <v>480</v>
      </c>
    </row>
    <row r="28" spans="1:19" ht="18">
      <c r="A28" s="217">
        <v>26</v>
      </c>
      <c r="B28" s="225" t="str">
        <f>_xlfn.CONCAT(表格3_5[[#This Row],[Name]],表格3_5[[#This Row],[Location]])</f>
        <v>Lok Yin LingYL Citistore</v>
      </c>
      <c r="C28" s="226"/>
      <c r="D28" s="218"/>
      <c r="E28" s="226" t="str">
        <f>DAY(表格3_5[[#This Row],[Date]])&amp;""</f>
        <v>19</v>
      </c>
      <c r="F28" s="236">
        <v>46192</v>
      </c>
      <c r="G28" s="232" t="str">
        <f>_xlfn.XLOOKUP(表格3_5[[#This Row],[Name]],Name_list[Full Name],Name_list[Nick Name])</f>
        <v>Ling</v>
      </c>
      <c r="H28" s="219" t="s">
        <v>896</v>
      </c>
      <c r="I28" s="220" t="s">
        <v>228</v>
      </c>
      <c r="J28" s="221">
        <v>0.48819444444444443</v>
      </c>
      <c r="K28" s="221">
        <v>0.83333333333333304</v>
      </c>
      <c r="L28" s="227">
        <f>(表格3_5[[#This Row],[Out-Time]] - 表格3_5[[#This Row],[In-Time]])*24</f>
        <v>8.2833333333333261</v>
      </c>
      <c r="M28" s="228">
        <f>表格3_5[[#This Row],[ Hours]]-表格3_5[[#This Row],[Normal working
 hours]]</f>
        <v>0.28333333333333321</v>
      </c>
      <c r="N28" s="221">
        <v>0.5</v>
      </c>
      <c r="O28" s="221">
        <v>0.83333333333333304</v>
      </c>
      <c r="P28" s="229">
        <f>(表格3_5[[#This Row],[Out-Time2]] - 表格3_5[[#This Row],[In-Time2]])*24</f>
        <v>7.9999999999999929</v>
      </c>
      <c r="Q28" s="222">
        <v>8</v>
      </c>
      <c r="R28" s="229">
        <f>_xlfn.XLOOKUP(表格3_5[[#This Row],[Name]],Name_list[Full Name],Name_list[Hourr Rate])</f>
        <v>60</v>
      </c>
      <c r="S28" s="229">
        <f>表格3_5[[#This Row],[Hours Worked]]*表格3_5[[#This Row],[Hourly Rate]]</f>
        <v>480</v>
      </c>
    </row>
    <row r="29" spans="1:19" ht="18">
      <c r="A29" s="217">
        <v>27</v>
      </c>
      <c r="B29" s="225" t="str">
        <f>_xlfn.CONCAT(表格3_5[[#This Row],[Name]],表格3_5[[#This Row],[Location]])</f>
        <v>Lok Yin LingYL Citistore</v>
      </c>
      <c r="C29" s="226"/>
      <c r="D29" s="218"/>
      <c r="E29" s="226" t="str">
        <f>DAY(表格3_5[[#This Row],[Date]])&amp;""</f>
        <v>20</v>
      </c>
      <c r="F29" s="236">
        <v>46193</v>
      </c>
      <c r="G29" s="232" t="str">
        <f>_xlfn.XLOOKUP(表格3_5[[#This Row],[Name]],Name_list[Full Name],Name_list[Nick Name])</f>
        <v>Ling</v>
      </c>
      <c r="H29" s="219" t="s">
        <v>896</v>
      </c>
      <c r="I29" s="220" t="s">
        <v>228</v>
      </c>
      <c r="J29" s="221">
        <v>0.48819444444444443</v>
      </c>
      <c r="K29" s="221">
        <v>0.83333333333333304</v>
      </c>
      <c r="L29" s="227">
        <f>(表格3_5[[#This Row],[Out-Time]] - 表格3_5[[#This Row],[In-Time]])*24</f>
        <v>8.2833333333333261</v>
      </c>
      <c r="M29" s="228">
        <f>表格3_5[[#This Row],[ Hours]]-表格3_5[[#This Row],[Normal working
 hours]]</f>
        <v>0.28333333333333321</v>
      </c>
      <c r="N29" s="221">
        <v>0.5</v>
      </c>
      <c r="O29" s="221">
        <v>0.83333333333333304</v>
      </c>
      <c r="P29" s="229">
        <f>(表格3_5[[#This Row],[Out-Time2]] - 表格3_5[[#This Row],[In-Time2]])*24</f>
        <v>7.9999999999999929</v>
      </c>
      <c r="Q29" s="222">
        <v>8</v>
      </c>
      <c r="R29" s="229">
        <f>_xlfn.XLOOKUP(表格3_5[[#This Row],[Name]],Name_list[Full Name],Name_list[Hourr Rate])</f>
        <v>60</v>
      </c>
      <c r="S29" s="229">
        <f>表格3_5[[#This Row],[Hours Worked]]*表格3_5[[#This Row],[Hourly Rate]]</f>
        <v>480</v>
      </c>
    </row>
    <row r="30" spans="1:19" ht="18">
      <c r="A30" s="217">
        <v>28</v>
      </c>
      <c r="B30" s="225" t="str">
        <f>_xlfn.CONCAT(表格3_5[[#This Row],[Name]],表格3_5[[#This Row],[Location]])</f>
        <v>Lok Yin LingYL Citistore</v>
      </c>
      <c r="C30" s="226"/>
      <c r="D30" s="218"/>
      <c r="E30" s="226" t="str">
        <f>DAY(表格3_5[[#This Row],[Date]])&amp;""</f>
        <v>21</v>
      </c>
      <c r="F30" s="236">
        <v>46194</v>
      </c>
      <c r="G30" s="232" t="str">
        <f>_xlfn.XLOOKUP(表格3_5[[#This Row],[Name]],Name_list[Full Name],Name_list[Nick Name])</f>
        <v>Ling</v>
      </c>
      <c r="H30" s="219" t="s">
        <v>896</v>
      </c>
      <c r="I30" s="220" t="s">
        <v>228</v>
      </c>
      <c r="J30" s="221">
        <v>0.48819444444444399</v>
      </c>
      <c r="K30" s="221">
        <v>0.83333333333333304</v>
      </c>
      <c r="L30" s="227">
        <f>(表格3_5[[#This Row],[Out-Time]] - 表格3_5[[#This Row],[In-Time]])*24</f>
        <v>8.2833333333333368</v>
      </c>
      <c r="M30" s="228">
        <f>表格3_5[[#This Row],[ Hours]]-表格3_5[[#This Row],[Normal working
 hours]]</f>
        <v>0.28333333333334387</v>
      </c>
      <c r="N30" s="221">
        <v>0.5</v>
      </c>
      <c r="O30" s="221">
        <v>0.83333333333333304</v>
      </c>
      <c r="P30" s="229">
        <f>(表格3_5[[#This Row],[Out-Time2]] - 表格3_5[[#This Row],[In-Time2]])*24</f>
        <v>7.9999999999999929</v>
      </c>
      <c r="Q30" s="222">
        <v>8</v>
      </c>
      <c r="R30" s="229">
        <f>_xlfn.XLOOKUP(表格3_5[[#This Row],[Name]],Name_list[Full Name],Name_list[Hourr Rate])</f>
        <v>60</v>
      </c>
      <c r="S30" s="229">
        <f>表格3_5[[#This Row],[Hours Worked]]*表格3_5[[#This Row],[Hourly Rate]]</f>
        <v>480</v>
      </c>
    </row>
    <row r="31" spans="1:19" ht="18">
      <c r="A31" s="217">
        <v>29</v>
      </c>
      <c r="B31" s="225" t="str">
        <f>_xlfn.CONCAT(表格3_5[[#This Row],[Name]],表格3_5[[#This Row],[Location]])</f>
        <v>Lok Yin LingYL Citistore</v>
      </c>
      <c r="C31" s="226"/>
      <c r="D31" s="218"/>
      <c r="E31" s="226" t="str">
        <f>DAY(表格3_5[[#This Row],[Date]])&amp;""</f>
        <v>25</v>
      </c>
      <c r="F31" s="236">
        <v>46198</v>
      </c>
      <c r="G31" s="232" t="str">
        <f>_xlfn.XLOOKUP(表格3_5[[#This Row],[Name]],Name_list[Full Name],Name_list[Nick Name])</f>
        <v>Ling</v>
      </c>
      <c r="H31" s="219" t="s">
        <v>896</v>
      </c>
      <c r="I31" s="220" t="s">
        <v>228</v>
      </c>
      <c r="J31" s="221">
        <v>0.48958333333333331</v>
      </c>
      <c r="K31" s="221">
        <v>0.83333333333333304</v>
      </c>
      <c r="L31" s="227">
        <f>(表格3_5[[#This Row],[Out-Time]] - 表格3_5[[#This Row],[In-Time]])*24</f>
        <v>8.2499999999999929</v>
      </c>
      <c r="M31" s="228">
        <f>表格3_5[[#This Row],[ Hours]]-表格3_5[[#This Row],[Normal working
 hours]]</f>
        <v>0.25</v>
      </c>
      <c r="N31" s="221">
        <v>0.5</v>
      </c>
      <c r="O31" s="221">
        <v>0.83333333333333304</v>
      </c>
      <c r="P31" s="229">
        <f>(表格3_5[[#This Row],[Out-Time2]] - 表格3_5[[#This Row],[In-Time2]])*24</f>
        <v>7.9999999999999929</v>
      </c>
      <c r="Q31" s="222">
        <v>8</v>
      </c>
      <c r="R31" s="229">
        <f>_xlfn.XLOOKUP(表格3_5[[#This Row],[Name]],Name_list[Full Name],Name_list[Hourr Rate])</f>
        <v>60</v>
      </c>
      <c r="S31" s="229">
        <f>表格3_5[[#This Row],[Hours Worked]]*表格3_5[[#This Row],[Hourly Rate]]</f>
        <v>480</v>
      </c>
    </row>
    <row r="32" spans="1:19" ht="18">
      <c r="A32" s="217">
        <v>30</v>
      </c>
      <c r="B32" s="225" t="str">
        <f>_xlfn.CONCAT(表格3_5[[#This Row],[Name]],表格3_5[[#This Row],[Location]])</f>
        <v>Lok Yin LingYL Citistore</v>
      </c>
      <c r="C32" s="226"/>
      <c r="D32" s="218"/>
      <c r="E32" s="226" t="str">
        <f>DAY(表格3_5[[#This Row],[Date]])&amp;""</f>
        <v>26</v>
      </c>
      <c r="F32" s="236">
        <v>46199</v>
      </c>
      <c r="G32" s="232" t="str">
        <f>_xlfn.XLOOKUP(表格3_5[[#This Row],[Name]],Name_list[Full Name],Name_list[Nick Name])</f>
        <v>Ling</v>
      </c>
      <c r="H32" s="219" t="s">
        <v>896</v>
      </c>
      <c r="I32" s="220" t="s">
        <v>228</v>
      </c>
      <c r="J32" s="221">
        <v>0.49305555555555558</v>
      </c>
      <c r="K32" s="221">
        <v>0.83333333333333304</v>
      </c>
      <c r="L32" s="227">
        <f>(表格3_5[[#This Row],[Out-Time]] - 表格3_5[[#This Row],[In-Time]])*24</f>
        <v>8.166666666666659</v>
      </c>
      <c r="M32" s="228">
        <f>表格3_5[[#This Row],[ Hours]]-表格3_5[[#This Row],[Normal working
 hours]]</f>
        <v>0.16666666666666607</v>
      </c>
      <c r="N32" s="221">
        <v>0.5</v>
      </c>
      <c r="O32" s="221">
        <v>0.83333333333333304</v>
      </c>
      <c r="P32" s="229">
        <f>(表格3_5[[#This Row],[Out-Time2]] - 表格3_5[[#This Row],[In-Time2]])*24</f>
        <v>7.9999999999999929</v>
      </c>
      <c r="Q32" s="222">
        <v>8</v>
      </c>
      <c r="R32" s="229">
        <f>_xlfn.XLOOKUP(表格3_5[[#This Row],[Name]],Name_list[Full Name],Name_list[Hourr Rate])</f>
        <v>60</v>
      </c>
      <c r="S32" s="229">
        <f>表格3_5[[#This Row],[Hours Worked]]*表格3_5[[#This Row],[Hourly Rate]]</f>
        <v>480</v>
      </c>
    </row>
    <row r="33" spans="1:19" ht="18">
      <c r="A33" s="217">
        <v>31</v>
      </c>
      <c r="B33" s="225" t="str">
        <f>_xlfn.CONCAT(表格3_5[[#This Row],[Name]],表格3_5[[#This Row],[Location]])</f>
        <v>Lok Yin LingYL Citistore</v>
      </c>
      <c r="C33" s="226"/>
      <c r="D33" s="218"/>
      <c r="E33" s="226" t="str">
        <f>DAY(表格3_5[[#This Row],[Date]])&amp;""</f>
        <v>27</v>
      </c>
      <c r="F33" s="236">
        <v>46200</v>
      </c>
      <c r="G33" s="232" t="str">
        <f>_xlfn.XLOOKUP(表格3_5[[#This Row],[Name]],Name_list[Full Name],Name_list[Nick Name])</f>
        <v>Ling</v>
      </c>
      <c r="H33" s="219" t="s">
        <v>896</v>
      </c>
      <c r="I33" s="220" t="s">
        <v>228</v>
      </c>
      <c r="J33" s="221">
        <v>0.48680555555555555</v>
      </c>
      <c r="K33" s="221">
        <v>0.83333333333333304</v>
      </c>
      <c r="L33" s="227">
        <f>(表格3_5[[#This Row],[Out-Time]] - 表格3_5[[#This Row],[In-Time]])*24</f>
        <v>8.3166666666666593</v>
      </c>
      <c r="M33" s="228">
        <f>表格3_5[[#This Row],[ Hours]]-表格3_5[[#This Row],[Normal working
 hours]]</f>
        <v>0.31666666666666643</v>
      </c>
      <c r="N33" s="221">
        <v>0.5</v>
      </c>
      <c r="O33" s="221">
        <v>0.83333333333333304</v>
      </c>
      <c r="P33" s="229">
        <f>(表格3_5[[#This Row],[Out-Time2]] - 表格3_5[[#This Row],[In-Time2]])*24</f>
        <v>7.9999999999999929</v>
      </c>
      <c r="Q33" s="222">
        <v>8</v>
      </c>
      <c r="R33" s="229">
        <f>_xlfn.XLOOKUP(表格3_5[[#This Row],[Name]],Name_list[Full Name],Name_list[Hourr Rate])</f>
        <v>60</v>
      </c>
      <c r="S33" s="229">
        <f>表格3_5[[#This Row],[Hours Worked]]*表格3_5[[#This Row],[Hourly Rate]]</f>
        <v>480</v>
      </c>
    </row>
    <row r="34" spans="1:19" ht="18">
      <c r="A34" s="217">
        <v>32</v>
      </c>
      <c r="B34" s="225" t="str">
        <f>_xlfn.CONCAT(表格3_5[[#This Row],[Name]],表格3_5[[#This Row],[Location]])</f>
        <v>Lok Yin LingYL Citistore</v>
      </c>
      <c r="C34" s="226"/>
      <c r="D34" s="218"/>
      <c r="E34" s="226" t="str">
        <f>DAY(表格3_5[[#This Row],[Date]])&amp;""</f>
        <v>28</v>
      </c>
      <c r="F34" s="236">
        <v>46201</v>
      </c>
      <c r="G34" s="232" t="str">
        <f>_xlfn.XLOOKUP(表格3_5[[#This Row],[Name]],Name_list[Full Name],Name_list[Nick Name])</f>
        <v>Ling</v>
      </c>
      <c r="H34" s="219" t="s">
        <v>896</v>
      </c>
      <c r="I34" s="220" t="s">
        <v>228</v>
      </c>
      <c r="J34" s="221">
        <v>0.48888888888888887</v>
      </c>
      <c r="K34" s="221">
        <v>0.83333333333333304</v>
      </c>
      <c r="L34" s="227">
        <f>(表格3_5[[#This Row],[Out-Time]] - 表格3_5[[#This Row],[In-Time]])*24</f>
        <v>8.2666666666666604</v>
      </c>
      <c r="M34" s="228">
        <f>表格3_5[[#This Row],[ Hours]]-表格3_5[[#This Row],[Normal working
 hours]]</f>
        <v>0.2666666666666675</v>
      </c>
      <c r="N34" s="221">
        <v>0.5</v>
      </c>
      <c r="O34" s="221">
        <v>0.83333333333333304</v>
      </c>
      <c r="P34" s="229">
        <f>(表格3_5[[#This Row],[Out-Time2]] - 表格3_5[[#This Row],[In-Time2]])*24</f>
        <v>7.9999999999999929</v>
      </c>
      <c r="Q34" s="222">
        <v>8</v>
      </c>
      <c r="R34" s="229">
        <f>_xlfn.XLOOKUP(表格3_5[[#This Row],[Name]],Name_list[Full Name],Name_list[Hourr Rate])</f>
        <v>60</v>
      </c>
      <c r="S34" s="229">
        <f>表格3_5[[#This Row],[Hours Worked]]*表格3_5[[#This Row],[Hourly Rate]]</f>
        <v>480</v>
      </c>
    </row>
    <row r="35" spans="1:19" ht="18">
      <c r="A35" s="217">
        <v>33</v>
      </c>
      <c r="B35" s="225" t="str">
        <f>_xlfn.CONCAT(表格3_5[[#This Row],[Name]],表格3_5[[#This Row],[Location]])</f>
        <v>Choi Pui HaTai Wan Fortress</v>
      </c>
      <c r="C35" s="226"/>
      <c r="D35" s="218"/>
      <c r="E35" s="226" t="str">
        <f>DAY(表格3_5[[#This Row],[Date]])&amp;""</f>
        <v>5</v>
      </c>
      <c r="F35" s="236">
        <v>46178</v>
      </c>
      <c r="G35" s="232" t="str">
        <f>_xlfn.XLOOKUP(表格3_5[[#This Row],[Name]],Name_list[Full Name],Name_list[Nick Name])</f>
        <v>Rebacca</v>
      </c>
      <c r="H35" s="219" t="s">
        <v>993</v>
      </c>
      <c r="I35" s="220" t="s">
        <v>348</v>
      </c>
      <c r="J35" s="221">
        <v>0.5</v>
      </c>
      <c r="K35" s="221">
        <v>0.83333333333333337</v>
      </c>
      <c r="L35" s="227">
        <f>(表格3_5[[#This Row],[Out-Time]] - 表格3_5[[#This Row],[In-Time]])*24</f>
        <v>8</v>
      </c>
      <c r="M35" s="228">
        <f>表格3_5[[#This Row],[ Hours]]-表格3_5[[#This Row],[Normal working
 hours]]</f>
        <v>0</v>
      </c>
      <c r="N35" s="221">
        <v>0.5</v>
      </c>
      <c r="O35" s="221">
        <v>0.83333333333333304</v>
      </c>
      <c r="P35" s="229">
        <f>(表格3_5[[#This Row],[Out-Time2]] - 表格3_5[[#This Row],[In-Time2]])*24</f>
        <v>7.9999999999999929</v>
      </c>
      <c r="Q35" s="222">
        <v>8</v>
      </c>
      <c r="R35" s="229">
        <f>_xlfn.XLOOKUP(表格3_5[[#This Row],[Name]],Name_list[Full Name],Name_list[Hourr Rate])</f>
        <v>60</v>
      </c>
      <c r="S35" s="229">
        <f>表格3_5[[#This Row],[Hours Worked]]*表格3_5[[#This Row],[Hourly Rate]]</f>
        <v>480</v>
      </c>
    </row>
    <row r="36" spans="1:19" ht="18">
      <c r="A36" s="217">
        <v>34</v>
      </c>
      <c r="B36" s="225" t="str">
        <f>_xlfn.CONCAT(表格3_5[[#This Row],[Name]],表格3_5[[#This Row],[Location]])</f>
        <v>Choi Pui HaTai Wan Fortress</v>
      </c>
      <c r="C36" s="226"/>
      <c r="D36" s="218"/>
      <c r="E36" s="226" t="str">
        <f>DAY(表格3_5[[#This Row],[Date]])&amp;""</f>
        <v>6</v>
      </c>
      <c r="F36" s="236">
        <v>46179</v>
      </c>
      <c r="G36" s="232" t="str">
        <f>_xlfn.XLOOKUP(表格3_5[[#This Row],[Name]],Name_list[Full Name],Name_list[Nick Name])</f>
        <v>Rebacca</v>
      </c>
      <c r="H36" s="219" t="s">
        <v>993</v>
      </c>
      <c r="I36" s="220" t="s">
        <v>348</v>
      </c>
      <c r="J36" s="221">
        <v>0.5</v>
      </c>
      <c r="K36" s="221">
        <v>0.83333333333333337</v>
      </c>
      <c r="L36" s="227">
        <f>(表格3_5[[#This Row],[Out-Time]] - 表格3_5[[#This Row],[In-Time]])*24</f>
        <v>8</v>
      </c>
      <c r="M36" s="228">
        <f>表格3_5[[#This Row],[ Hours]]-表格3_5[[#This Row],[Normal working
 hours]]</f>
        <v>0</v>
      </c>
      <c r="N36" s="221">
        <v>0.5</v>
      </c>
      <c r="O36" s="221">
        <v>0.83333333333333304</v>
      </c>
      <c r="P36" s="229">
        <f>(表格3_5[[#This Row],[Out-Time2]] - 表格3_5[[#This Row],[In-Time2]])*24</f>
        <v>7.9999999999999929</v>
      </c>
      <c r="Q36" s="222">
        <v>8</v>
      </c>
      <c r="R36" s="229">
        <f>_xlfn.XLOOKUP(表格3_5[[#This Row],[Name]],Name_list[Full Name],Name_list[Hourr Rate])</f>
        <v>60</v>
      </c>
      <c r="S36" s="229">
        <f>表格3_5[[#This Row],[Hours Worked]]*表格3_5[[#This Row],[Hourly Rate]]</f>
        <v>480</v>
      </c>
    </row>
    <row r="37" spans="1:19" ht="18">
      <c r="A37" s="217">
        <v>35</v>
      </c>
      <c r="B37" s="225" t="str">
        <f>_xlfn.CONCAT(表格3_5[[#This Row],[Name]],表格3_5[[#This Row],[Location]])</f>
        <v>Choi Pui HaTai Wan Fortress</v>
      </c>
      <c r="C37" s="226"/>
      <c r="D37" s="218"/>
      <c r="E37" s="226" t="str">
        <f>DAY(表格3_5[[#This Row],[Date]])&amp;""</f>
        <v>7</v>
      </c>
      <c r="F37" s="236">
        <v>46180</v>
      </c>
      <c r="G37" s="232" t="str">
        <f>_xlfn.XLOOKUP(表格3_5[[#This Row],[Name]],Name_list[Full Name],Name_list[Nick Name])</f>
        <v>Rebacca</v>
      </c>
      <c r="H37" s="219" t="s">
        <v>993</v>
      </c>
      <c r="I37" s="220" t="s">
        <v>348</v>
      </c>
      <c r="J37" s="221">
        <v>0.5</v>
      </c>
      <c r="K37" s="221">
        <v>0.83333333333333337</v>
      </c>
      <c r="L37" s="227">
        <f>(表格3_5[[#This Row],[Out-Time]] - 表格3_5[[#This Row],[In-Time]])*24</f>
        <v>8</v>
      </c>
      <c r="M37" s="228">
        <f>表格3_5[[#This Row],[ Hours]]-表格3_5[[#This Row],[Normal working
 hours]]</f>
        <v>0</v>
      </c>
      <c r="N37" s="221">
        <v>0.5</v>
      </c>
      <c r="O37" s="221">
        <v>0.83333333333333304</v>
      </c>
      <c r="P37" s="229">
        <f>(表格3_5[[#This Row],[Out-Time2]] - 表格3_5[[#This Row],[In-Time2]])*24</f>
        <v>7.9999999999999929</v>
      </c>
      <c r="Q37" s="222">
        <v>8</v>
      </c>
      <c r="R37" s="229">
        <f>_xlfn.XLOOKUP(表格3_5[[#This Row],[Name]],Name_list[Full Name],Name_list[Hourr Rate])</f>
        <v>60</v>
      </c>
      <c r="S37" s="229">
        <f>表格3_5[[#This Row],[Hours Worked]]*表格3_5[[#This Row],[Hourly Rate]]</f>
        <v>480</v>
      </c>
    </row>
    <row r="38" spans="1:19" ht="18">
      <c r="A38" s="217">
        <v>36</v>
      </c>
      <c r="B38" s="225" t="str">
        <f>_xlfn.CONCAT(表格3_5[[#This Row],[Name]],表格3_5[[#This Row],[Location]])</f>
        <v>Choi Pui HaTai Wan Fortress</v>
      </c>
      <c r="C38" s="226"/>
      <c r="D38" s="218"/>
      <c r="E38" s="226" t="str">
        <f>DAY(表格3_5[[#This Row],[Date]])&amp;""</f>
        <v>12</v>
      </c>
      <c r="F38" s="236">
        <v>46185</v>
      </c>
      <c r="G38" s="232" t="str">
        <f>_xlfn.XLOOKUP(表格3_5[[#This Row],[Name]],Name_list[Full Name],Name_list[Nick Name])</f>
        <v>Rebacca</v>
      </c>
      <c r="H38" s="219" t="s">
        <v>993</v>
      </c>
      <c r="I38" s="220" t="s">
        <v>348</v>
      </c>
      <c r="J38" s="221">
        <v>0.5</v>
      </c>
      <c r="K38" s="221">
        <v>0.83333333333333337</v>
      </c>
      <c r="L38" s="227">
        <f>(表格3_5[[#This Row],[Out-Time]] - 表格3_5[[#This Row],[In-Time]])*24</f>
        <v>8</v>
      </c>
      <c r="M38" s="228">
        <f>表格3_5[[#This Row],[ Hours]]-表格3_5[[#This Row],[Normal working
 hours]]</f>
        <v>0</v>
      </c>
      <c r="N38" s="221">
        <v>0.5</v>
      </c>
      <c r="O38" s="221">
        <v>0.83333333333333304</v>
      </c>
      <c r="P38" s="229">
        <f>(表格3_5[[#This Row],[Out-Time2]] - 表格3_5[[#This Row],[In-Time2]])*24</f>
        <v>7.9999999999999929</v>
      </c>
      <c r="Q38" s="222">
        <v>8</v>
      </c>
      <c r="R38" s="229">
        <f>_xlfn.XLOOKUP(表格3_5[[#This Row],[Name]],Name_list[Full Name],Name_list[Hourr Rate])</f>
        <v>60</v>
      </c>
      <c r="S38" s="229">
        <f>表格3_5[[#This Row],[Hours Worked]]*表格3_5[[#This Row],[Hourly Rate]]</f>
        <v>480</v>
      </c>
    </row>
    <row r="39" spans="1:19" ht="18">
      <c r="A39" s="217">
        <v>37</v>
      </c>
      <c r="B39" s="225" t="str">
        <f>_xlfn.CONCAT(表格3_5[[#This Row],[Name]],表格3_5[[#This Row],[Location]])</f>
        <v>Choi Pui HaTai Wan Fortress</v>
      </c>
      <c r="C39" s="226"/>
      <c r="D39" s="218"/>
      <c r="E39" s="226" t="str">
        <f>DAY(表格3_5[[#This Row],[Date]])&amp;""</f>
        <v>13</v>
      </c>
      <c r="F39" s="236">
        <v>46186</v>
      </c>
      <c r="G39" s="232" t="str">
        <f>_xlfn.XLOOKUP(表格3_5[[#This Row],[Name]],Name_list[Full Name],Name_list[Nick Name])</f>
        <v>Rebacca</v>
      </c>
      <c r="H39" s="219" t="s">
        <v>993</v>
      </c>
      <c r="I39" s="220" t="s">
        <v>348</v>
      </c>
      <c r="J39" s="221">
        <v>0.5</v>
      </c>
      <c r="K39" s="221">
        <v>0.83333333333333337</v>
      </c>
      <c r="L39" s="227">
        <f>(表格3_5[[#This Row],[Out-Time]] - 表格3_5[[#This Row],[In-Time]])*24</f>
        <v>8</v>
      </c>
      <c r="M39" s="228">
        <f>表格3_5[[#This Row],[ Hours]]-表格3_5[[#This Row],[Normal working
 hours]]</f>
        <v>0</v>
      </c>
      <c r="N39" s="221">
        <v>0.5</v>
      </c>
      <c r="O39" s="221">
        <v>0.83333333333333304</v>
      </c>
      <c r="P39" s="229">
        <f>(表格3_5[[#This Row],[Out-Time2]] - 表格3_5[[#This Row],[In-Time2]])*24</f>
        <v>7.9999999999999929</v>
      </c>
      <c r="Q39" s="222">
        <v>8</v>
      </c>
      <c r="R39" s="229">
        <f>_xlfn.XLOOKUP(表格3_5[[#This Row],[Name]],Name_list[Full Name],Name_list[Hourr Rate])</f>
        <v>60</v>
      </c>
      <c r="S39" s="229">
        <f>表格3_5[[#This Row],[Hours Worked]]*表格3_5[[#This Row],[Hourly Rate]]</f>
        <v>480</v>
      </c>
    </row>
    <row r="40" spans="1:19" ht="18">
      <c r="A40" s="217">
        <v>38</v>
      </c>
      <c r="B40" s="225" t="str">
        <f>_xlfn.CONCAT(表格3_5[[#This Row],[Name]],表格3_5[[#This Row],[Location]])</f>
        <v>Choi Pui HaTai Wan Fortress</v>
      </c>
      <c r="C40" s="226"/>
      <c r="D40" s="218"/>
      <c r="E40" s="226" t="str">
        <f>DAY(表格3_5[[#This Row],[Date]])&amp;""</f>
        <v>14</v>
      </c>
      <c r="F40" s="236">
        <v>46187</v>
      </c>
      <c r="G40" s="232" t="str">
        <f>_xlfn.XLOOKUP(表格3_5[[#This Row],[Name]],Name_list[Full Name],Name_list[Nick Name])</f>
        <v>Rebacca</v>
      </c>
      <c r="H40" s="219" t="s">
        <v>993</v>
      </c>
      <c r="I40" s="220" t="s">
        <v>348</v>
      </c>
      <c r="J40" s="221">
        <v>0.5</v>
      </c>
      <c r="K40" s="221">
        <v>0.83333333333333337</v>
      </c>
      <c r="L40" s="227">
        <f>(表格3_5[[#This Row],[Out-Time]] - 表格3_5[[#This Row],[In-Time]])*24</f>
        <v>8</v>
      </c>
      <c r="M40" s="228">
        <f>表格3_5[[#This Row],[ Hours]]-表格3_5[[#This Row],[Normal working
 hours]]</f>
        <v>0</v>
      </c>
      <c r="N40" s="221">
        <v>0.5</v>
      </c>
      <c r="O40" s="221">
        <v>0.83333333333333304</v>
      </c>
      <c r="P40" s="229">
        <f>(表格3_5[[#This Row],[Out-Time2]] - 表格3_5[[#This Row],[In-Time2]])*24</f>
        <v>7.9999999999999929</v>
      </c>
      <c r="Q40" s="222">
        <v>8</v>
      </c>
      <c r="R40" s="229">
        <f>_xlfn.XLOOKUP(表格3_5[[#This Row],[Name]],Name_list[Full Name],Name_list[Hourr Rate])</f>
        <v>60</v>
      </c>
      <c r="S40" s="229">
        <f>表格3_5[[#This Row],[Hours Worked]]*表格3_5[[#This Row],[Hourly Rate]]</f>
        <v>480</v>
      </c>
    </row>
    <row r="41" spans="1:19" ht="18">
      <c r="A41" s="217">
        <v>39</v>
      </c>
      <c r="B41" s="225" t="str">
        <f>_xlfn.CONCAT(表格3_5[[#This Row],[Name]],表格3_5[[#This Row],[Location]])</f>
        <v>Choi Pui HaTai Wan Fortress</v>
      </c>
      <c r="C41" s="226"/>
      <c r="D41" s="218"/>
      <c r="E41" s="226" t="str">
        <f>DAY(表格3_5[[#This Row],[Date]])&amp;""</f>
        <v>19</v>
      </c>
      <c r="F41" s="236">
        <v>46192</v>
      </c>
      <c r="G41" s="232" t="str">
        <f>_xlfn.XLOOKUP(表格3_5[[#This Row],[Name]],Name_list[Full Name],Name_list[Nick Name])</f>
        <v>Rebacca</v>
      </c>
      <c r="H41" s="219" t="s">
        <v>993</v>
      </c>
      <c r="I41" s="220" t="s">
        <v>348</v>
      </c>
      <c r="J41" s="221">
        <v>0.5</v>
      </c>
      <c r="K41" s="221">
        <v>0.83333333333333337</v>
      </c>
      <c r="L41" s="227">
        <f>(表格3_5[[#This Row],[Out-Time]] - 表格3_5[[#This Row],[In-Time]])*24</f>
        <v>8</v>
      </c>
      <c r="M41" s="228">
        <f>表格3_5[[#This Row],[ Hours]]-表格3_5[[#This Row],[Normal working
 hours]]</f>
        <v>0</v>
      </c>
      <c r="N41" s="221">
        <v>0.5</v>
      </c>
      <c r="O41" s="221">
        <v>0.83333333333333304</v>
      </c>
      <c r="P41" s="229">
        <f>(表格3_5[[#This Row],[Out-Time2]] - 表格3_5[[#This Row],[In-Time2]])*24</f>
        <v>7.9999999999999929</v>
      </c>
      <c r="Q41" s="222">
        <v>8</v>
      </c>
      <c r="R41" s="229">
        <f>_xlfn.XLOOKUP(表格3_5[[#This Row],[Name]],Name_list[Full Name],Name_list[Hourr Rate])</f>
        <v>60</v>
      </c>
      <c r="S41" s="229">
        <f>表格3_5[[#This Row],[Hours Worked]]*表格3_5[[#This Row],[Hourly Rate]]</f>
        <v>480</v>
      </c>
    </row>
    <row r="42" spans="1:19" ht="18">
      <c r="A42" s="217">
        <v>40</v>
      </c>
      <c r="B42" s="225" t="str">
        <f>_xlfn.CONCAT(表格3_5[[#This Row],[Name]],表格3_5[[#This Row],[Location]])</f>
        <v>Choi Pui HaTai Wan Fortress</v>
      </c>
      <c r="C42" s="226"/>
      <c r="D42" s="218"/>
      <c r="E42" s="226" t="str">
        <f>DAY(表格3_5[[#This Row],[Date]])&amp;""</f>
        <v>20</v>
      </c>
      <c r="F42" s="236">
        <v>46193</v>
      </c>
      <c r="G42" s="232" t="str">
        <f>_xlfn.XLOOKUP(表格3_5[[#This Row],[Name]],Name_list[Full Name],Name_list[Nick Name])</f>
        <v>Rebacca</v>
      </c>
      <c r="H42" s="219" t="s">
        <v>993</v>
      </c>
      <c r="I42" s="220" t="s">
        <v>348</v>
      </c>
      <c r="J42" s="221">
        <v>0.5</v>
      </c>
      <c r="K42" s="221">
        <v>0.83333333333333337</v>
      </c>
      <c r="L42" s="227">
        <f>(表格3_5[[#This Row],[Out-Time]] - 表格3_5[[#This Row],[In-Time]])*24</f>
        <v>8</v>
      </c>
      <c r="M42" s="228">
        <f>表格3_5[[#This Row],[ Hours]]-表格3_5[[#This Row],[Normal working
 hours]]</f>
        <v>0</v>
      </c>
      <c r="N42" s="221">
        <v>0.5</v>
      </c>
      <c r="O42" s="221">
        <v>0.83333333333333304</v>
      </c>
      <c r="P42" s="229">
        <f>(表格3_5[[#This Row],[Out-Time2]] - 表格3_5[[#This Row],[In-Time2]])*24</f>
        <v>7.9999999999999929</v>
      </c>
      <c r="Q42" s="222">
        <v>8</v>
      </c>
      <c r="R42" s="229">
        <f>_xlfn.XLOOKUP(表格3_5[[#This Row],[Name]],Name_list[Full Name],Name_list[Hourr Rate])</f>
        <v>60</v>
      </c>
      <c r="S42" s="229">
        <f>表格3_5[[#This Row],[Hours Worked]]*表格3_5[[#This Row],[Hourly Rate]]</f>
        <v>480</v>
      </c>
    </row>
    <row r="43" spans="1:19" ht="18">
      <c r="A43" s="217">
        <v>41</v>
      </c>
      <c r="B43" s="225" t="str">
        <f>_xlfn.CONCAT(表格3_5[[#This Row],[Name]],表格3_5[[#This Row],[Location]])</f>
        <v>Choi Pui HaTai Wan Fortress</v>
      </c>
      <c r="C43" s="226"/>
      <c r="D43" s="218"/>
      <c r="E43" s="226" t="str">
        <f>DAY(表格3_5[[#This Row],[Date]])&amp;""</f>
        <v>21</v>
      </c>
      <c r="F43" s="236">
        <v>46194</v>
      </c>
      <c r="G43" s="232" t="str">
        <f>_xlfn.XLOOKUP(表格3_5[[#This Row],[Name]],Name_list[Full Name],Name_list[Nick Name])</f>
        <v>Rebacca</v>
      </c>
      <c r="H43" s="219" t="s">
        <v>993</v>
      </c>
      <c r="I43" s="220" t="s">
        <v>348</v>
      </c>
      <c r="J43" s="221">
        <v>0.5</v>
      </c>
      <c r="K43" s="221">
        <v>0.83333333333333304</v>
      </c>
      <c r="L43" s="227">
        <f>(表格3_5[[#This Row],[Out-Time]] - 表格3_5[[#This Row],[In-Time]])*24</f>
        <v>7.9999999999999929</v>
      </c>
      <c r="M43" s="228">
        <f>表格3_5[[#This Row],[ Hours]]-表格3_5[[#This Row],[Normal working
 hours]]</f>
        <v>0</v>
      </c>
      <c r="N43" s="221">
        <v>0.5</v>
      </c>
      <c r="O43" s="221">
        <v>0.83333333333333304</v>
      </c>
      <c r="P43" s="229">
        <f>(表格3_5[[#This Row],[Out-Time2]] - 表格3_5[[#This Row],[In-Time2]])*24</f>
        <v>7.9999999999999929</v>
      </c>
      <c r="Q43" s="222">
        <v>8</v>
      </c>
      <c r="R43" s="229">
        <f>_xlfn.XLOOKUP(表格3_5[[#This Row],[Name]],Name_list[Full Name],Name_list[Hourr Rate])</f>
        <v>60</v>
      </c>
      <c r="S43" s="229">
        <f>表格3_5[[#This Row],[Hours Worked]]*表格3_5[[#This Row],[Hourly Rate]]</f>
        <v>480</v>
      </c>
    </row>
    <row r="44" spans="1:19" ht="18">
      <c r="A44" s="217">
        <v>42</v>
      </c>
      <c r="B44" s="225" t="str">
        <f>_xlfn.CONCAT(表格3_5[[#This Row],[Name]],表格3_5[[#This Row],[Location]])</f>
        <v>Choi Pui HaTai Wan Fortress</v>
      </c>
      <c r="C44" s="226"/>
      <c r="D44" s="218"/>
      <c r="E44" s="226" t="str">
        <f>DAY(表格3_5[[#This Row],[Date]])&amp;""</f>
        <v>26</v>
      </c>
      <c r="F44" s="236">
        <v>46199</v>
      </c>
      <c r="G44" s="232" t="str">
        <f>_xlfn.XLOOKUP(表格3_5[[#This Row],[Name]],Name_list[Full Name],Name_list[Nick Name])</f>
        <v>Rebacca</v>
      </c>
      <c r="H44" s="219" t="s">
        <v>993</v>
      </c>
      <c r="I44" s="220" t="s">
        <v>348</v>
      </c>
      <c r="J44" s="221">
        <v>0.5</v>
      </c>
      <c r="K44" s="221">
        <v>0.83333333333333304</v>
      </c>
      <c r="L44" s="227">
        <f>(表格3_5[[#This Row],[Out-Time]] - 表格3_5[[#This Row],[In-Time]])*24</f>
        <v>7.9999999999999929</v>
      </c>
      <c r="M44" s="228">
        <f>表格3_5[[#This Row],[ Hours]]-表格3_5[[#This Row],[Normal working
 hours]]</f>
        <v>0</v>
      </c>
      <c r="N44" s="221">
        <v>0.5</v>
      </c>
      <c r="O44" s="221">
        <v>0.83333333333333304</v>
      </c>
      <c r="P44" s="229">
        <f>(表格3_5[[#This Row],[Out-Time2]] - 表格3_5[[#This Row],[In-Time2]])*24</f>
        <v>7.9999999999999929</v>
      </c>
      <c r="Q44" s="222">
        <v>8</v>
      </c>
      <c r="R44" s="229">
        <f>_xlfn.XLOOKUP(表格3_5[[#This Row],[Name]],Name_list[Full Name],Name_list[Hourr Rate])</f>
        <v>60</v>
      </c>
      <c r="S44" s="229">
        <f>表格3_5[[#This Row],[Hours Worked]]*表格3_5[[#This Row],[Hourly Rate]]</f>
        <v>480</v>
      </c>
    </row>
    <row r="45" spans="1:19" ht="18">
      <c r="A45" s="217">
        <v>43</v>
      </c>
      <c r="B45" s="225" t="str">
        <f>_xlfn.CONCAT(表格3_5[[#This Row],[Name]],表格3_5[[#This Row],[Location]])</f>
        <v>Choi Pui HaTai Wan Fortress</v>
      </c>
      <c r="C45" s="226"/>
      <c r="D45" s="218"/>
      <c r="E45" s="226" t="str">
        <f>DAY(表格3_5[[#This Row],[Date]])&amp;""</f>
        <v>27</v>
      </c>
      <c r="F45" s="236">
        <v>46200</v>
      </c>
      <c r="G45" s="232" t="str">
        <f>_xlfn.XLOOKUP(表格3_5[[#This Row],[Name]],Name_list[Full Name],Name_list[Nick Name])</f>
        <v>Rebacca</v>
      </c>
      <c r="H45" s="219" t="s">
        <v>993</v>
      </c>
      <c r="I45" s="220" t="s">
        <v>348</v>
      </c>
      <c r="J45" s="221">
        <v>0.5</v>
      </c>
      <c r="K45" s="221">
        <v>0.83333333333333304</v>
      </c>
      <c r="L45" s="227">
        <f>(表格3_5[[#This Row],[Out-Time]] - 表格3_5[[#This Row],[In-Time]])*24</f>
        <v>7.9999999999999929</v>
      </c>
      <c r="M45" s="228">
        <f>表格3_5[[#This Row],[ Hours]]-表格3_5[[#This Row],[Normal working
 hours]]</f>
        <v>0</v>
      </c>
      <c r="N45" s="221">
        <v>0.5</v>
      </c>
      <c r="O45" s="221">
        <v>0.83333333333333304</v>
      </c>
      <c r="P45" s="229">
        <f>(表格3_5[[#This Row],[Out-Time2]] - 表格3_5[[#This Row],[In-Time2]])*24</f>
        <v>7.9999999999999929</v>
      </c>
      <c r="Q45" s="222">
        <v>8</v>
      </c>
      <c r="R45" s="229">
        <f>_xlfn.XLOOKUP(表格3_5[[#This Row],[Name]],Name_list[Full Name],Name_list[Hourr Rate])</f>
        <v>60</v>
      </c>
      <c r="S45" s="229">
        <f>表格3_5[[#This Row],[Hours Worked]]*表格3_5[[#This Row],[Hourly Rate]]</f>
        <v>480</v>
      </c>
    </row>
    <row r="46" spans="1:19" ht="18">
      <c r="A46" s="217">
        <v>44</v>
      </c>
      <c r="B46" s="225" t="str">
        <f>_xlfn.CONCAT(表格3_5[[#This Row],[Name]],表格3_5[[#This Row],[Location]])</f>
        <v>Choi Pui HaTai Wan Fortress</v>
      </c>
      <c r="C46" s="226"/>
      <c r="D46" s="218"/>
      <c r="E46" s="226" t="str">
        <f>DAY(表格3_5[[#This Row],[Date]])&amp;""</f>
        <v>28</v>
      </c>
      <c r="F46" s="236">
        <v>46201</v>
      </c>
      <c r="G46" s="232" t="str">
        <f>_xlfn.XLOOKUP(表格3_5[[#This Row],[Name]],Name_list[Full Name],Name_list[Nick Name])</f>
        <v>Rebacca</v>
      </c>
      <c r="H46" s="219" t="s">
        <v>993</v>
      </c>
      <c r="I46" s="220" t="s">
        <v>348</v>
      </c>
      <c r="J46" s="221">
        <v>0.5</v>
      </c>
      <c r="K46" s="221">
        <v>0.83333333333333304</v>
      </c>
      <c r="L46" s="227">
        <f>(表格3_5[[#This Row],[Out-Time]] - 表格3_5[[#This Row],[In-Time]])*24</f>
        <v>7.9999999999999929</v>
      </c>
      <c r="M46" s="228">
        <f>表格3_5[[#This Row],[ Hours]]-表格3_5[[#This Row],[Normal working
 hours]]</f>
        <v>0</v>
      </c>
      <c r="N46" s="221">
        <v>0.5</v>
      </c>
      <c r="O46" s="221">
        <v>0.83333333333333304</v>
      </c>
      <c r="P46" s="229">
        <f>(表格3_5[[#This Row],[Out-Time2]] - 表格3_5[[#This Row],[In-Time2]])*24</f>
        <v>7.9999999999999929</v>
      </c>
      <c r="Q46" s="222">
        <v>8</v>
      </c>
      <c r="R46" s="229">
        <f>_xlfn.XLOOKUP(表格3_5[[#This Row],[Name]],Name_list[Full Name],Name_list[Hourr Rate])</f>
        <v>60</v>
      </c>
      <c r="S46" s="229">
        <f>表格3_5[[#This Row],[Hours Worked]]*表格3_5[[#This Row],[Hourly Rate]]</f>
        <v>480</v>
      </c>
    </row>
    <row r="47" spans="1:19" ht="18">
      <c r="A47" s="217">
        <v>45</v>
      </c>
      <c r="B47" s="225" t="str">
        <f>_xlfn.CONCAT(表格3_5[[#This Row],[Name]],表格3_5[[#This Row],[Location]])</f>
        <v xml:space="preserve">Leung Mei KiuTW YATA </v>
      </c>
      <c r="C47" s="226"/>
      <c r="D47" s="218"/>
      <c r="E47" s="226" t="str">
        <f>DAY(表格3_5[[#This Row],[Date]])&amp;""</f>
        <v>6</v>
      </c>
      <c r="F47" s="236">
        <v>46179</v>
      </c>
      <c r="G47" s="232" t="str">
        <f>_xlfn.XLOOKUP(表格3_5[[#This Row],[Name]],Name_list[Full Name],Name_list[Nick Name])</f>
        <v>Mei Kiu</v>
      </c>
      <c r="H47" s="219" t="s">
        <v>1014</v>
      </c>
      <c r="I47" s="220" t="s">
        <v>235</v>
      </c>
      <c r="J47" s="221">
        <v>0.5</v>
      </c>
      <c r="K47" s="221">
        <v>0.83333333333333337</v>
      </c>
      <c r="L47" s="227">
        <f>(表格3_5[[#This Row],[Out-Time]] - 表格3_5[[#This Row],[In-Time]])*24</f>
        <v>8</v>
      </c>
      <c r="M47" s="228">
        <f>表格3_5[[#This Row],[ Hours]]-表格3_5[[#This Row],[Normal working
 hours]]</f>
        <v>0</v>
      </c>
      <c r="N47" s="221">
        <v>0.5</v>
      </c>
      <c r="O47" s="221">
        <v>0.83333333333333337</v>
      </c>
      <c r="P47" s="229">
        <f>(表格3_5[[#This Row],[Out-Time2]] - 表格3_5[[#This Row],[In-Time2]])*24</f>
        <v>8</v>
      </c>
      <c r="Q47" s="222">
        <v>8</v>
      </c>
      <c r="R47" s="229">
        <f>_xlfn.XLOOKUP(表格3_5[[#This Row],[Name]],Name_list[Full Name],Name_list[Hourr Rate])</f>
        <v>60</v>
      </c>
      <c r="S47" s="229">
        <f>表格3_5[[#This Row],[Hours Worked]]*表格3_5[[#This Row],[Hourly Rate]]</f>
        <v>480</v>
      </c>
    </row>
    <row r="48" spans="1:19" ht="18">
      <c r="A48" s="217">
        <v>46</v>
      </c>
      <c r="B48" s="225" t="str">
        <f>_xlfn.CONCAT(表格3_5[[#This Row],[Name]],表格3_5[[#This Row],[Location]])</f>
        <v xml:space="preserve">Leung Mei KiuTW YATA </v>
      </c>
      <c r="C48" s="226"/>
      <c r="D48" s="218"/>
      <c r="E48" s="226" t="str">
        <f>DAY(表格3_5[[#This Row],[Date]])&amp;""</f>
        <v>7</v>
      </c>
      <c r="F48" s="236">
        <v>46180</v>
      </c>
      <c r="G48" s="232" t="str">
        <f>_xlfn.XLOOKUP(表格3_5[[#This Row],[Name]],Name_list[Full Name],Name_list[Nick Name])</f>
        <v>Mei Kiu</v>
      </c>
      <c r="H48" s="219" t="s">
        <v>1014</v>
      </c>
      <c r="I48" s="220" t="s">
        <v>235</v>
      </c>
      <c r="J48" s="221">
        <v>0.5</v>
      </c>
      <c r="K48" s="221">
        <v>0.83333333333333337</v>
      </c>
      <c r="L48" s="227">
        <f>(表格3_5[[#This Row],[Out-Time]] - 表格3_5[[#This Row],[In-Time]])*24</f>
        <v>8</v>
      </c>
      <c r="M48" s="228">
        <f>表格3_5[[#This Row],[ Hours]]-表格3_5[[#This Row],[Normal working
 hours]]</f>
        <v>0</v>
      </c>
      <c r="N48" s="221">
        <v>0.5</v>
      </c>
      <c r="O48" s="221">
        <v>0.83333333333333337</v>
      </c>
      <c r="P48" s="229">
        <f>(表格3_5[[#This Row],[Out-Time2]] - 表格3_5[[#This Row],[In-Time2]])*24</f>
        <v>8</v>
      </c>
      <c r="Q48" s="222">
        <v>8</v>
      </c>
      <c r="R48" s="229">
        <f>_xlfn.XLOOKUP(表格3_5[[#This Row],[Name]],Name_list[Full Name],Name_list[Hourr Rate])</f>
        <v>60</v>
      </c>
      <c r="S48" s="229">
        <f>表格3_5[[#This Row],[Hours Worked]]*表格3_5[[#This Row],[Hourly Rate]]</f>
        <v>480</v>
      </c>
    </row>
    <row r="49" spans="1:19" ht="18">
      <c r="A49" s="217">
        <v>47</v>
      </c>
      <c r="B49" s="225" t="str">
        <f>_xlfn.CONCAT(表格3_5[[#This Row],[Name]],表格3_5[[#This Row],[Location]])</f>
        <v xml:space="preserve">Leung Mei KiuTW YATA </v>
      </c>
      <c r="C49" s="226"/>
      <c r="D49" s="218"/>
      <c r="E49" s="226" t="str">
        <f>DAY(表格3_5[[#This Row],[Date]])&amp;""</f>
        <v>13</v>
      </c>
      <c r="F49" s="236">
        <v>46186</v>
      </c>
      <c r="G49" s="232" t="str">
        <f>_xlfn.XLOOKUP(表格3_5[[#This Row],[Name]],Name_list[Full Name],Name_list[Nick Name])</f>
        <v>Mei Kiu</v>
      </c>
      <c r="H49" s="219" t="s">
        <v>1014</v>
      </c>
      <c r="I49" s="220" t="s">
        <v>235</v>
      </c>
      <c r="J49" s="221">
        <v>0.5</v>
      </c>
      <c r="K49" s="221">
        <v>0.83333333333333337</v>
      </c>
      <c r="L49" s="227">
        <f>(表格3_5[[#This Row],[Out-Time]] - 表格3_5[[#This Row],[In-Time]])*24</f>
        <v>8</v>
      </c>
      <c r="M49" s="228">
        <f>表格3_5[[#This Row],[ Hours]]-表格3_5[[#This Row],[Normal working
 hours]]</f>
        <v>0</v>
      </c>
      <c r="N49" s="221">
        <v>0.5</v>
      </c>
      <c r="O49" s="221">
        <v>0.83333333333333337</v>
      </c>
      <c r="P49" s="229">
        <f>(表格3_5[[#This Row],[Out-Time2]] - 表格3_5[[#This Row],[In-Time2]])*24</f>
        <v>8</v>
      </c>
      <c r="Q49" s="222">
        <v>8</v>
      </c>
      <c r="R49" s="229">
        <f>_xlfn.XLOOKUP(表格3_5[[#This Row],[Name]],Name_list[Full Name],Name_list[Hourr Rate])</f>
        <v>60</v>
      </c>
      <c r="S49" s="229">
        <f>表格3_5[[#This Row],[Hours Worked]]*表格3_5[[#This Row],[Hourly Rate]]</f>
        <v>480</v>
      </c>
    </row>
    <row r="50" spans="1:19" ht="18">
      <c r="A50" s="217">
        <v>48</v>
      </c>
      <c r="B50" s="225" t="str">
        <f>_xlfn.CONCAT(表格3_5[[#This Row],[Name]],表格3_5[[#This Row],[Location]])</f>
        <v xml:space="preserve">Leung Mei KiuTW YATA </v>
      </c>
      <c r="C50" s="226"/>
      <c r="D50" s="218"/>
      <c r="E50" s="226" t="str">
        <f>DAY(表格3_5[[#This Row],[Date]])&amp;""</f>
        <v>14</v>
      </c>
      <c r="F50" s="236">
        <v>46187</v>
      </c>
      <c r="G50" s="232" t="str">
        <f>_xlfn.XLOOKUP(表格3_5[[#This Row],[Name]],Name_list[Full Name],Name_list[Nick Name])</f>
        <v>Mei Kiu</v>
      </c>
      <c r="H50" s="219" t="s">
        <v>1014</v>
      </c>
      <c r="I50" s="220" t="s">
        <v>235</v>
      </c>
      <c r="J50" s="221">
        <v>0.5</v>
      </c>
      <c r="K50" s="221">
        <v>0.83333333333333337</v>
      </c>
      <c r="L50" s="227">
        <f>(表格3_5[[#This Row],[Out-Time]] - 表格3_5[[#This Row],[In-Time]])*24</f>
        <v>8</v>
      </c>
      <c r="M50" s="228">
        <f>表格3_5[[#This Row],[ Hours]]-表格3_5[[#This Row],[Normal working
 hours]]</f>
        <v>0</v>
      </c>
      <c r="N50" s="221">
        <v>0.5</v>
      </c>
      <c r="O50" s="221">
        <v>0.83333333333333337</v>
      </c>
      <c r="P50" s="229">
        <f>(表格3_5[[#This Row],[Out-Time2]] - 表格3_5[[#This Row],[In-Time2]])*24</f>
        <v>8</v>
      </c>
      <c r="Q50" s="222">
        <v>8</v>
      </c>
      <c r="R50" s="229">
        <f>_xlfn.XLOOKUP(表格3_5[[#This Row],[Name]],Name_list[Full Name],Name_list[Hourr Rate])</f>
        <v>60</v>
      </c>
      <c r="S50" s="229">
        <f>表格3_5[[#This Row],[Hours Worked]]*表格3_5[[#This Row],[Hourly Rate]]</f>
        <v>480</v>
      </c>
    </row>
    <row r="51" spans="1:19" ht="18">
      <c r="A51" s="217">
        <v>49</v>
      </c>
      <c r="B51" s="225" t="str">
        <f>_xlfn.CONCAT(表格3_5[[#This Row],[Name]],表格3_5[[#This Row],[Location]])</f>
        <v xml:space="preserve">Leung Mei KiuTW YATA </v>
      </c>
      <c r="C51" s="226"/>
      <c r="D51" s="218"/>
      <c r="E51" s="226" t="str">
        <f>DAY(表格3_5[[#This Row],[Date]])&amp;""</f>
        <v>20</v>
      </c>
      <c r="F51" s="236">
        <v>46193</v>
      </c>
      <c r="G51" s="232" t="str">
        <f>_xlfn.XLOOKUP(表格3_5[[#This Row],[Name]],Name_list[Full Name],Name_list[Nick Name])</f>
        <v>Mei Kiu</v>
      </c>
      <c r="H51" s="219" t="s">
        <v>1014</v>
      </c>
      <c r="I51" s="220" t="s">
        <v>235</v>
      </c>
      <c r="J51" s="221">
        <v>0.5</v>
      </c>
      <c r="K51" s="221">
        <v>0.83333333333333337</v>
      </c>
      <c r="L51" s="227">
        <f>(表格3_5[[#This Row],[Out-Time]] - 表格3_5[[#This Row],[In-Time]])*24</f>
        <v>8</v>
      </c>
      <c r="M51" s="228">
        <f>表格3_5[[#This Row],[ Hours]]-表格3_5[[#This Row],[Normal working
 hours]]</f>
        <v>0</v>
      </c>
      <c r="N51" s="221">
        <v>0.5</v>
      </c>
      <c r="O51" s="221">
        <v>0.83333333333333337</v>
      </c>
      <c r="P51" s="229">
        <f>(表格3_5[[#This Row],[Out-Time2]] - 表格3_5[[#This Row],[In-Time2]])*24</f>
        <v>8</v>
      </c>
      <c r="Q51" s="222">
        <v>8</v>
      </c>
      <c r="R51" s="229">
        <f>_xlfn.XLOOKUP(表格3_5[[#This Row],[Name]],Name_list[Full Name],Name_list[Hourr Rate])</f>
        <v>60</v>
      </c>
      <c r="S51" s="229">
        <f>表格3_5[[#This Row],[Hours Worked]]*表格3_5[[#This Row],[Hourly Rate]]</f>
        <v>480</v>
      </c>
    </row>
    <row r="52" spans="1:19" ht="18">
      <c r="A52" s="217">
        <v>50</v>
      </c>
      <c r="B52" s="225" t="str">
        <f>_xlfn.CONCAT(表格3_5[[#This Row],[Name]],表格3_5[[#This Row],[Location]])</f>
        <v xml:space="preserve">Leung Mei KiuTW YATA </v>
      </c>
      <c r="C52" s="226"/>
      <c r="D52" s="218"/>
      <c r="E52" s="226" t="str">
        <f>DAY(表格3_5[[#This Row],[Date]])&amp;""</f>
        <v>21</v>
      </c>
      <c r="F52" s="236">
        <v>46194</v>
      </c>
      <c r="G52" s="232" t="str">
        <f>_xlfn.XLOOKUP(表格3_5[[#This Row],[Name]],Name_list[Full Name],Name_list[Nick Name])</f>
        <v>Mei Kiu</v>
      </c>
      <c r="H52" s="219" t="s">
        <v>1014</v>
      </c>
      <c r="I52" s="220" t="s">
        <v>235</v>
      </c>
      <c r="J52" s="221">
        <v>0.5</v>
      </c>
      <c r="K52" s="221">
        <v>0.83333333333333337</v>
      </c>
      <c r="L52" s="227">
        <f>(表格3_5[[#This Row],[Out-Time]] - 表格3_5[[#This Row],[In-Time]])*24</f>
        <v>8</v>
      </c>
      <c r="M52" s="228">
        <f>表格3_5[[#This Row],[ Hours]]-表格3_5[[#This Row],[Normal working
 hours]]</f>
        <v>0</v>
      </c>
      <c r="N52" s="221">
        <v>0.5</v>
      </c>
      <c r="O52" s="221">
        <v>0.83333333333333337</v>
      </c>
      <c r="P52" s="229">
        <f>(表格3_5[[#This Row],[Out-Time2]] - 表格3_5[[#This Row],[In-Time2]])*24</f>
        <v>8</v>
      </c>
      <c r="Q52" s="222">
        <v>8</v>
      </c>
      <c r="R52" s="229">
        <f>_xlfn.XLOOKUP(表格3_5[[#This Row],[Name]],Name_list[Full Name],Name_list[Hourr Rate])</f>
        <v>60</v>
      </c>
      <c r="S52" s="229">
        <f>表格3_5[[#This Row],[Hours Worked]]*表格3_5[[#This Row],[Hourly Rate]]</f>
        <v>480</v>
      </c>
    </row>
    <row r="53" spans="1:19" ht="18">
      <c r="A53" s="217">
        <v>51</v>
      </c>
      <c r="B53" s="225" t="str">
        <f>_xlfn.CONCAT(表格3_5[[#This Row],[Name]],表格3_5[[#This Row],[Location]])</f>
        <v xml:space="preserve">Leung Mei KiuTW YATA </v>
      </c>
      <c r="C53" s="226"/>
      <c r="D53" s="218"/>
      <c r="E53" s="226" t="str">
        <f>DAY(表格3_5[[#This Row],[Date]])&amp;""</f>
        <v>27</v>
      </c>
      <c r="F53" s="236">
        <v>46200</v>
      </c>
      <c r="G53" s="232" t="str">
        <f>_xlfn.XLOOKUP(表格3_5[[#This Row],[Name]],Name_list[Full Name],Name_list[Nick Name])</f>
        <v>Mei Kiu</v>
      </c>
      <c r="H53" s="219" t="s">
        <v>1014</v>
      </c>
      <c r="I53" s="220" t="s">
        <v>235</v>
      </c>
      <c r="J53" s="221">
        <v>0.5</v>
      </c>
      <c r="K53" s="221">
        <v>0.83333333333333337</v>
      </c>
      <c r="L53" s="227">
        <f>(表格3_5[[#This Row],[Out-Time]] - 表格3_5[[#This Row],[In-Time]])*24</f>
        <v>8</v>
      </c>
      <c r="M53" s="228">
        <f>表格3_5[[#This Row],[ Hours]]-表格3_5[[#This Row],[Normal working
 hours]]</f>
        <v>0</v>
      </c>
      <c r="N53" s="221">
        <v>0.5</v>
      </c>
      <c r="O53" s="221">
        <v>0.83333333333333337</v>
      </c>
      <c r="P53" s="229">
        <f>(表格3_5[[#This Row],[Out-Time2]] - 表格3_5[[#This Row],[In-Time2]])*24</f>
        <v>8</v>
      </c>
      <c r="Q53" s="222">
        <v>8</v>
      </c>
      <c r="R53" s="229">
        <f>_xlfn.XLOOKUP(表格3_5[[#This Row],[Name]],Name_list[Full Name],Name_list[Hourr Rate])</f>
        <v>60</v>
      </c>
      <c r="S53" s="229">
        <f>表格3_5[[#This Row],[Hours Worked]]*表格3_5[[#This Row],[Hourly Rate]]</f>
        <v>480</v>
      </c>
    </row>
    <row r="54" spans="1:19" ht="18">
      <c r="A54" s="217">
        <v>52</v>
      </c>
      <c r="B54" s="225" t="str">
        <f>_xlfn.CONCAT(表格3_5[[#This Row],[Name]],表格3_5[[#This Row],[Location]])</f>
        <v xml:space="preserve">Leung Mei KiuTW YATA </v>
      </c>
      <c r="C54" s="226"/>
      <c r="D54" s="218"/>
      <c r="E54" s="226" t="str">
        <f>DAY(表格3_5[[#This Row],[Date]])&amp;""</f>
        <v>28</v>
      </c>
      <c r="F54" s="236">
        <v>46201</v>
      </c>
      <c r="G54" s="232" t="str">
        <f>_xlfn.XLOOKUP(表格3_5[[#This Row],[Name]],Name_list[Full Name],Name_list[Nick Name])</f>
        <v>Mei Kiu</v>
      </c>
      <c r="H54" s="219" t="s">
        <v>1014</v>
      </c>
      <c r="I54" s="220" t="s">
        <v>235</v>
      </c>
      <c r="J54" s="221">
        <v>0.5</v>
      </c>
      <c r="K54" s="221">
        <v>0.83333333333333337</v>
      </c>
      <c r="L54" s="227">
        <f>(表格3_5[[#This Row],[Out-Time]] - 表格3_5[[#This Row],[In-Time]])*24</f>
        <v>8</v>
      </c>
      <c r="M54" s="228">
        <f>表格3_5[[#This Row],[ Hours]]-表格3_5[[#This Row],[Normal working
 hours]]</f>
        <v>0</v>
      </c>
      <c r="N54" s="221">
        <v>0.5</v>
      </c>
      <c r="O54" s="221">
        <v>0.83333333333333337</v>
      </c>
      <c r="P54" s="229">
        <f>(表格3_5[[#This Row],[Out-Time2]] - 表格3_5[[#This Row],[In-Time2]])*24</f>
        <v>8</v>
      </c>
      <c r="Q54" s="222">
        <v>8</v>
      </c>
      <c r="R54" s="229">
        <f>_xlfn.XLOOKUP(表格3_5[[#This Row],[Name]],Name_list[Full Name],Name_list[Hourr Rate])</f>
        <v>60</v>
      </c>
      <c r="S54" s="229">
        <f>表格3_5[[#This Row],[Hours Worked]]*表格3_5[[#This Row],[Hourly Rate]]</f>
        <v>480</v>
      </c>
    </row>
    <row r="55" spans="1:19" ht="18">
      <c r="A55" s="217">
        <v>53</v>
      </c>
      <c r="B55" s="225" t="str">
        <f>_xlfn.CONCAT(表格3_5[[#This Row],[Name]],表格3_5[[#This Row],[Location]])</f>
        <v>Wong Sui PingTai Po Yata</v>
      </c>
      <c r="C55" s="226"/>
      <c r="D55" s="218"/>
      <c r="E55" s="226" t="str">
        <f>DAY(表格3_5[[#This Row],[Date]])&amp;""</f>
        <v>5</v>
      </c>
      <c r="F55" s="236">
        <v>46178</v>
      </c>
      <c r="G55" s="232" t="str">
        <f>_xlfn.XLOOKUP(表格3_5[[#This Row],[Name]],Name_list[Full Name],Name_list[Nick Name])</f>
        <v>Joe</v>
      </c>
      <c r="H55" s="219" t="s">
        <v>999</v>
      </c>
      <c r="I55" s="220" t="s">
        <v>231</v>
      </c>
      <c r="J55" s="221">
        <v>0.5</v>
      </c>
      <c r="K55" s="221">
        <v>0.83333333333333304</v>
      </c>
      <c r="L55" s="227">
        <f>(表格3_5[[#This Row],[Out-Time]] - 表格3_5[[#This Row],[In-Time]])*24</f>
        <v>7.9999999999999929</v>
      </c>
      <c r="M55" s="228">
        <f>表格3_5[[#This Row],[ Hours]]-表格3_5[[#This Row],[Normal working
 hours]]</f>
        <v>0</v>
      </c>
      <c r="N55" s="221">
        <v>0.5</v>
      </c>
      <c r="O55" s="221">
        <v>0.83333333333333304</v>
      </c>
      <c r="P55" s="229">
        <f>(表格3_5[[#This Row],[Out-Time2]] - 表格3_5[[#This Row],[In-Time2]])*24</f>
        <v>7.9999999999999929</v>
      </c>
      <c r="Q55" s="222">
        <v>7.9999999999999929</v>
      </c>
      <c r="R55" s="229">
        <f>_xlfn.XLOOKUP(表格3_5[[#This Row],[Name]],Name_list[Full Name],Name_list[Hourr Rate])</f>
        <v>60</v>
      </c>
      <c r="S55" s="229">
        <f>表格3_5[[#This Row],[Hours Worked]]*表格3_5[[#This Row],[Hourly Rate]]</f>
        <v>479.99999999999955</v>
      </c>
    </row>
    <row r="56" spans="1:19" ht="18">
      <c r="A56" s="217">
        <v>54</v>
      </c>
      <c r="B56" s="225" t="str">
        <f>_xlfn.CONCAT(表格3_5[[#This Row],[Name]],表格3_5[[#This Row],[Location]])</f>
        <v>Wong Sui PingTai Po Yata</v>
      </c>
      <c r="C56" s="226"/>
      <c r="D56" s="218"/>
      <c r="E56" s="226" t="str">
        <f>DAY(表格3_5[[#This Row],[Date]])&amp;""</f>
        <v>6</v>
      </c>
      <c r="F56" s="236">
        <v>46179</v>
      </c>
      <c r="G56" s="232" t="str">
        <f>_xlfn.XLOOKUP(表格3_5[[#This Row],[Name]],Name_list[Full Name],Name_list[Nick Name])</f>
        <v>Joe</v>
      </c>
      <c r="H56" s="219" t="s">
        <v>999</v>
      </c>
      <c r="I56" s="220" t="s">
        <v>231</v>
      </c>
      <c r="J56" s="221">
        <v>0.5</v>
      </c>
      <c r="K56" s="221">
        <v>0.83333333333333304</v>
      </c>
      <c r="L56" s="227">
        <f>(表格3_5[[#This Row],[Out-Time]] - 表格3_5[[#This Row],[In-Time]])*24</f>
        <v>7.9999999999999929</v>
      </c>
      <c r="M56" s="228">
        <f>表格3_5[[#This Row],[ Hours]]-表格3_5[[#This Row],[Normal working
 hours]]</f>
        <v>0</v>
      </c>
      <c r="N56" s="221">
        <v>0.5</v>
      </c>
      <c r="O56" s="221">
        <v>0.83333333333333304</v>
      </c>
      <c r="P56" s="229">
        <f>(表格3_5[[#This Row],[Out-Time2]] - 表格3_5[[#This Row],[In-Time2]])*24</f>
        <v>7.9999999999999929</v>
      </c>
      <c r="Q56" s="222">
        <v>7.9999999999999929</v>
      </c>
      <c r="R56" s="229">
        <f>_xlfn.XLOOKUP(表格3_5[[#This Row],[Name]],Name_list[Full Name],Name_list[Hourr Rate])</f>
        <v>60</v>
      </c>
      <c r="S56" s="229">
        <f>表格3_5[[#This Row],[Hours Worked]]*表格3_5[[#This Row],[Hourly Rate]]</f>
        <v>479.99999999999955</v>
      </c>
    </row>
    <row r="57" spans="1:19" ht="18">
      <c r="A57" s="217">
        <v>55</v>
      </c>
      <c r="B57" s="225" t="str">
        <f>_xlfn.CONCAT(表格3_5[[#This Row],[Name]],表格3_5[[#This Row],[Location]])</f>
        <v>Wong Sui PingTai Po Yata</v>
      </c>
      <c r="C57" s="226"/>
      <c r="D57" s="218"/>
      <c r="E57" s="226" t="str">
        <f>DAY(表格3_5[[#This Row],[Date]])&amp;""</f>
        <v>7</v>
      </c>
      <c r="F57" s="236">
        <v>46180</v>
      </c>
      <c r="G57" s="232" t="str">
        <f>_xlfn.XLOOKUP(表格3_5[[#This Row],[Name]],Name_list[Full Name],Name_list[Nick Name])</f>
        <v>Joe</v>
      </c>
      <c r="H57" s="219" t="s">
        <v>999</v>
      </c>
      <c r="I57" s="220" t="s">
        <v>231</v>
      </c>
      <c r="J57" s="221">
        <v>0.5</v>
      </c>
      <c r="K57" s="221">
        <v>0.83333333333333304</v>
      </c>
      <c r="L57" s="227">
        <f>(表格3_5[[#This Row],[Out-Time]] - 表格3_5[[#This Row],[In-Time]])*24</f>
        <v>7.9999999999999929</v>
      </c>
      <c r="M57" s="228">
        <f>表格3_5[[#This Row],[ Hours]]-表格3_5[[#This Row],[Normal working
 hours]]</f>
        <v>0</v>
      </c>
      <c r="N57" s="221">
        <v>0.5</v>
      </c>
      <c r="O57" s="221">
        <v>0.83333333333333304</v>
      </c>
      <c r="P57" s="229">
        <f>(表格3_5[[#This Row],[Out-Time2]] - 表格3_5[[#This Row],[In-Time2]])*24</f>
        <v>7.9999999999999929</v>
      </c>
      <c r="Q57" s="222">
        <v>7.9999999999999929</v>
      </c>
      <c r="R57" s="229">
        <f>_xlfn.XLOOKUP(表格3_5[[#This Row],[Name]],Name_list[Full Name],Name_list[Hourr Rate])</f>
        <v>60</v>
      </c>
      <c r="S57" s="229">
        <f>表格3_5[[#This Row],[Hours Worked]]*表格3_5[[#This Row],[Hourly Rate]]</f>
        <v>479.99999999999955</v>
      </c>
    </row>
    <row r="58" spans="1:19" ht="18">
      <c r="A58" s="217">
        <v>56</v>
      </c>
      <c r="B58" s="225" t="str">
        <f>_xlfn.CONCAT(表格3_5[[#This Row],[Name]],表格3_5[[#This Row],[Location]])</f>
        <v>Wong Sui PingTai Po Yata</v>
      </c>
      <c r="C58" s="226"/>
      <c r="D58" s="218"/>
      <c r="E58" s="226" t="str">
        <f>DAY(表格3_5[[#This Row],[Date]])&amp;""</f>
        <v>12</v>
      </c>
      <c r="F58" s="236">
        <v>46185</v>
      </c>
      <c r="G58" s="232" t="str">
        <f>_xlfn.XLOOKUP(表格3_5[[#This Row],[Name]],Name_list[Full Name],Name_list[Nick Name])</f>
        <v>Joe</v>
      </c>
      <c r="H58" s="219" t="s">
        <v>999</v>
      </c>
      <c r="I58" s="220" t="s">
        <v>231</v>
      </c>
      <c r="J58" s="221">
        <v>0.5</v>
      </c>
      <c r="K58" s="221">
        <v>0.875</v>
      </c>
      <c r="L58" s="227">
        <f>(表格3_5[[#This Row],[Out-Time]] - 表格3_5[[#This Row],[In-Time]])*24</f>
        <v>9</v>
      </c>
      <c r="M58" s="228">
        <f>表格3_5[[#This Row],[ Hours]]-表格3_5[[#This Row],[Normal working
 hours]]</f>
        <v>0</v>
      </c>
      <c r="N58" s="221">
        <v>0.5</v>
      </c>
      <c r="O58" s="221">
        <v>0.875</v>
      </c>
      <c r="P58" s="229">
        <f>(表格3_5[[#This Row],[Out-Time2]] - 表格3_5[[#This Row],[In-Time2]])*24</f>
        <v>9</v>
      </c>
      <c r="Q58" s="222">
        <v>9</v>
      </c>
      <c r="R58" s="229">
        <f>_xlfn.XLOOKUP(表格3_5[[#This Row],[Name]],Name_list[Full Name],Name_list[Hourr Rate])</f>
        <v>60</v>
      </c>
      <c r="S58" s="229">
        <f>表格3_5[[#This Row],[Hours Worked]]*表格3_5[[#This Row],[Hourly Rate]]</f>
        <v>540</v>
      </c>
    </row>
    <row r="59" spans="1:19" ht="18">
      <c r="A59" s="217">
        <v>57</v>
      </c>
      <c r="B59" s="225" t="str">
        <f>_xlfn.CONCAT(表格3_5[[#This Row],[Name]],表格3_5[[#This Row],[Location]])</f>
        <v>Wong Sui PingTai Po Yata</v>
      </c>
      <c r="C59" s="226"/>
      <c r="D59" s="218"/>
      <c r="E59" s="226" t="str">
        <f>DAY(表格3_5[[#This Row],[Date]])&amp;""</f>
        <v>13</v>
      </c>
      <c r="F59" s="264">
        <v>46186</v>
      </c>
      <c r="G59" s="232" t="str">
        <f>_xlfn.XLOOKUP(表格3_5[[#This Row],[Name]],Name_list[Full Name],Name_list[Nick Name])</f>
        <v>Joe</v>
      </c>
      <c r="H59" s="219" t="s">
        <v>999</v>
      </c>
      <c r="I59" s="220" t="s">
        <v>231</v>
      </c>
      <c r="J59" s="221">
        <v>0.5</v>
      </c>
      <c r="K59" s="221">
        <v>0.83333333333333304</v>
      </c>
      <c r="L59" s="227">
        <f>(表格3_5[[#This Row],[Out-Time]] - 表格3_5[[#This Row],[In-Time]])*24</f>
        <v>7.9999999999999929</v>
      </c>
      <c r="M59" s="228">
        <f>表格3_5[[#This Row],[ Hours]]-表格3_5[[#This Row],[Normal working
 hours]]</f>
        <v>0</v>
      </c>
      <c r="N59" s="221">
        <v>0.5</v>
      </c>
      <c r="O59" s="221">
        <v>0.83333333333333304</v>
      </c>
      <c r="P59" s="229">
        <f>(表格3_5[[#This Row],[Out-Time2]] - 表格3_5[[#This Row],[In-Time2]])*24</f>
        <v>7.9999999999999929</v>
      </c>
      <c r="Q59" s="222">
        <v>7.9999999999999929</v>
      </c>
      <c r="R59" s="229">
        <f>_xlfn.XLOOKUP(表格3_5[[#This Row],[Name]],Name_list[Full Name],Name_list[Hourr Rate])</f>
        <v>60</v>
      </c>
      <c r="S59" s="229">
        <f>表格3_5[[#This Row],[Hours Worked]]*表格3_5[[#This Row],[Hourly Rate]]</f>
        <v>479.99999999999955</v>
      </c>
    </row>
    <row r="60" spans="1:19" ht="18">
      <c r="A60" s="217">
        <v>58</v>
      </c>
      <c r="B60" s="225" t="str">
        <f>_xlfn.CONCAT(表格3_5[[#This Row],[Name]],表格3_5[[#This Row],[Location]])</f>
        <v>Wong Sui PingTai Po Yata</v>
      </c>
      <c r="C60" s="226"/>
      <c r="D60" s="218"/>
      <c r="E60" s="226" t="str">
        <f>DAY(表格3_5[[#This Row],[Date]])&amp;""</f>
        <v>14</v>
      </c>
      <c r="F60" s="236">
        <v>46187</v>
      </c>
      <c r="G60" s="232" t="str">
        <f>_xlfn.XLOOKUP(表格3_5[[#This Row],[Name]],Name_list[Full Name],Name_list[Nick Name])</f>
        <v>Joe</v>
      </c>
      <c r="H60" s="219" t="s">
        <v>999</v>
      </c>
      <c r="I60" s="220" t="s">
        <v>231</v>
      </c>
      <c r="J60" s="221">
        <v>0.5</v>
      </c>
      <c r="K60" s="221">
        <v>0.83333333333333304</v>
      </c>
      <c r="L60" s="227">
        <f>(表格3_5[[#This Row],[Out-Time]] - 表格3_5[[#This Row],[In-Time]])*24</f>
        <v>7.9999999999999929</v>
      </c>
      <c r="M60" s="228">
        <f>表格3_5[[#This Row],[ Hours]]-表格3_5[[#This Row],[Normal working
 hours]]</f>
        <v>0</v>
      </c>
      <c r="N60" s="221">
        <v>0.5</v>
      </c>
      <c r="O60" s="221">
        <v>0.83333333333333304</v>
      </c>
      <c r="P60" s="229">
        <f>(表格3_5[[#This Row],[Out-Time2]] - 表格3_5[[#This Row],[In-Time2]])*24</f>
        <v>7.9999999999999929</v>
      </c>
      <c r="Q60" s="222">
        <v>7.9999999999999929</v>
      </c>
      <c r="R60" s="229">
        <f>_xlfn.XLOOKUP(表格3_5[[#This Row],[Name]],Name_list[Full Name],Name_list[Hourr Rate])</f>
        <v>60</v>
      </c>
      <c r="S60" s="229">
        <f>表格3_5[[#This Row],[Hours Worked]]*表格3_5[[#This Row],[Hourly Rate]]</f>
        <v>479.99999999999955</v>
      </c>
    </row>
    <row r="61" spans="1:19" ht="18">
      <c r="A61" s="217">
        <v>59</v>
      </c>
      <c r="B61" s="225" t="str">
        <f>_xlfn.CONCAT(表格3_5[[#This Row],[Name]],表格3_5[[#This Row],[Location]])</f>
        <v>Wong Sui PingTai Po Yata</v>
      </c>
      <c r="C61" s="226"/>
      <c r="D61" s="218"/>
      <c r="E61" s="226" t="str">
        <f>DAY(表格3_5[[#This Row],[Date]])&amp;""</f>
        <v>19</v>
      </c>
      <c r="F61" s="236">
        <v>46192</v>
      </c>
      <c r="G61" s="232" t="str">
        <f>_xlfn.XLOOKUP(表格3_5[[#This Row],[Name]],Name_list[Full Name],Name_list[Nick Name])</f>
        <v>Joe</v>
      </c>
      <c r="H61" s="219" t="s">
        <v>999</v>
      </c>
      <c r="I61" s="220" t="s">
        <v>231</v>
      </c>
      <c r="J61" s="221">
        <v>0.5</v>
      </c>
      <c r="K61" s="221">
        <v>0.83333333333333304</v>
      </c>
      <c r="L61" s="227">
        <f>(表格3_5[[#This Row],[Out-Time]] - 表格3_5[[#This Row],[In-Time]])*24</f>
        <v>7.9999999999999929</v>
      </c>
      <c r="M61" s="228">
        <f>表格3_5[[#This Row],[ Hours]]-表格3_5[[#This Row],[Normal working
 hours]]</f>
        <v>0</v>
      </c>
      <c r="N61" s="221">
        <v>0.5</v>
      </c>
      <c r="O61" s="221">
        <v>0.83333333333333304</v>
      </c>
      <c r="P61" s="229">
        <f>(表格3_5[[#This Row],[Out-Time2]] - 表格3_5[[#This Row],[In-Time2]])*24</f>
        <v>7.9999999999999929</v>
      </c>
      <c r="Q61" s="222">
        <v>7.9999999999999929</v>
      </c>
      <c r="R61" s="229">
        <f>_xlfn.XLOOKUP(表格3_5[[#This Row],[Name]],Name_list[Full Name],Name_list[Hourr Rate])</f>
        <v>60</v>
      </c>
      <c r="S61" s="229">
        <f>表格3_5[[#This Row],[Hours Worked]]*表格3_5[[#This Row],[Hourly Rate]]</f>
        <v>479.99999999999955</v>
      </c>
    </row>
    <row r="62" spans="1:19" ht="18">
      <c r="A62" s="217">
        <v>60</v>
      </c>
      <c r="B62" s="225" t="str">
        <f>_xlfn.CONCAT(表格3_5[[#This Row],[Name]],表格3_5[[#This Row],[Location]])</f>
        <v>Wong Sui PingTai Po Yata</v>
      </c>
      <c r="C62" s="226"/>
      <c r="D62" s="218"/>
      <c r="E62" s="226" t="str">
        <f>DAY(表格3_5[[#This Row],[Date]])&amp;""</f>
        <v>20</v>
      </c>
      <c r="F62" s="236">
        <v>46193</v>
      </c>
      <c r="G62" s="232" t="str">
        <f>_xlfn.XLOOKUP(表格3_5[[#This Row],[Name]],Name_list[Full Name],Name_list[Nick Name])</f>
        <v>Joe</v>
      </c>
      <c r="H62" s="219" t="s">
        <v>999</v>
      </c>
      <c r="I62" s="220" t="s">
        <v>231</v>
      </c>
      <c r="J62" s="221">
        <v>0.5</v>
      </c>
      <c r="K62" s="221">
        <v>0.83333333333333304</v>
      </c>
      <c r="L62" s="227">
        <f>(表格3_5[[#This Row],[Out-Time]] - 表格3_5[[#This Row],[In-Time]])*24</f>
        <v>7.9999999999999929</v>
      </c>
      <c r="M62" s="228">
        <f>表格3_5[[#This Row],[ Hours]]-表格3_5[[#This Row],[Normal working
 hours]]</f>
        <v>0</v>
      </c>
      <c r="N62" s="221">
        <v>0.5</v>
      </c>
      <c r="O62" s="221">
        <v>0.83333333333333304</v>
      </c>
      <c r="P62" s="229">
        <f>(表格3_5[[#This Row],[Out-Time2]] - 表格3_5[[#This Row],[In-Time2]])*24</f>
        <v>7.9999999999999929</v>
      </c>
      <c r="Q62" s="222">
        <v>7.9999999999999929</v>
      </c>
      <c r="R62" s="229">
        <f>_xlfn.XLOOKUP(表格3_5[[#This Row],[Name]],Name_list[Full Name],Name_list[Hourr Rate])</f>
        <v>60</v>
      </c>
      <c r="S62" s="229">
        <f>表格3_5[[#This Row],[Hours Worked]]*表格3_5[[#This Row],[Hourly Rate]]</f>
        <v>479.99999999999955</v>
      </c>
    </row>
    <row r="63" spans="1:19" ht="18">
      <c r="A63" s="217">
        <v>61</v>
      </c>
      <c r="B63" s="225" t="str">
        <f>_xlfn.CONCAT(表格3_5[[#This Row],[Name]],表格3_5[[#This Row],[Location]])</f>
        <v>Wong Sui PingTai Po Yata</v>
      </c>
      <c r="C63" s="226"/>
      <c r="D63" s="218"/>
      <c r="E63" s="226" t="str">
        <f>DAY(表格3_5[[#This Row],[Date]])&amp;""</f>
        <v>21</v>
      </c>
      <c r="F63" s="236">
        <v>46194</v>
      </c>
      <c r="G63" s="232" t="str">
        <f>_xlfn.XLOOKUP(表格3_5[[#This Row],[Name]],Name_list[Full Name],Name_list[Nick Name])</f>
        <v>Joe</v>
      </c>
      <c r="H63" s="219" t="s">
        <v>999</v>
      </c>
      <c r="I63" s="220" t="s">
        <v>231</v>
      </c>
      <c r="J63" s="221">
        <v>0.5</v>
      </c>
      <c r="K63" s="221">
        <v>0.83333333333333304</v>
      </c>
      <c r="L63" s="227">
        <f>(表格3_5[[#This Row],[Out-Time]] - 表格3_5[[#This Row],[In-Time]])*24</f>
        <v>7.9999999999999929</v>
      </c>
      <c r="M63" s="228">
        <f>表格3_5[[#This Row],[ Hours]]-表格3_5[[#This Row],[Normal working
 hours]]</f>
        <v>0</v>
      </c>
      <c r="N63" s="221">
        <v>0.5</v>
      </c>
      <c r="O63" s="221">
        <v>0.83333333333333304</v>
      </c>
      <c r="P63" s="229">
        <f>(表格3_5[[#This Row],[Out-Time2]] - 表格3_5[[#This Row],[In-Time2]])*24</f>
        <v>7.9999999999999929</v>
      </c>
      <c r="Q63" s="222">
        <v>7.9999999999999929</v>
      </c>
      <c r="R63" s="229">
        <f>_xlfn.XLOOKUP(表格3_5[[#This Row],[Name]],Name_list[Full Name],Name_list[Hourr Rate])</f>
        <v>60</v>
      </c>
      <c r="S63" s="229">
        <f>表格3_5[[#This Row],[Hours Worked]]*表格3_5[[#This Row],[Hourly Rate]]</f>
        <v>479.99999999999955</v>
      </c>
    </row>
    <row r="64" spans="1:19" ht="18">
      <c r="A64" s="217">
        <v>62</v>
      </c>
      <c r="B64" s="225" t="str">
        <f>_xlfn.CONCAT(表格3_5[[#This Row],[Name]],表格3_5[[#This Row],[Location]])</f>
        <v>Wong Sui PingTai Po Yata</v>
      </c>
      <c r="C64" s="226"/>
      <c r="D64" s="218"/>
      <c r="E64" s="226" t="str">
        <f>DAY(表格3_5[[#This Row],[Date]])&amp;""</f>
        <v>26</v>
      </c>
      <c r="F64" s="236">
        <v>46199</v>
      </c>
      <c r="G64" s="232" t="str">
        <f>_xlfn.XLOOKUP(表格3_5[[#This Row],[Name]],Name_list[Full Name],Name_list[Nick Name])</f>
        <v>Joe</v>
      </c>
      <c r="H64" s="219" t="s">
        <v>999</v>
      </c>
      <c r="I64" s="220" t="s">
        <v>231</v>
      </c>
      <c r="J64" s="221">
        <v>0.5</v>
      </c>
      <c r="K64" s="221">
        <v>0.83333333333333304</v>
      </c>
      <c r="L64" s="227">
        <f>(表格3_5[[#This Row],[Out-Time]] - 表格3_5[[#This Row],[In-Time]])*24</f>
        <v>7.9999999999999929</v>
      </c>
      <c r="M64" s="228">
        <f>表格3_5[[#This Row],[ Hours]]-表格3_5[[#This Row],[Normal working
 hours]]</f>
        <v>0</v>
      </c>
      <c r="N64" s="221">
        <v>0.5</v>
      </c>
      <c r="O64" s="221">
        <v>0.83333333333333304</v>
      </c>
      <c r="P64" s="229">
        <f>(表格3_5[[#This Row],[Out-Time2]] - 表格3_5[[#This Row],[In-Time2]])*24</f>
        <v>7.9999999999999929</v>
      </c>
      <c r="Q64" s="222">
        <v>7.9999999999999929</v>
      </c>
      <c r="R64" s="229">
        <f>_xlfn.XLOOKUP(表格3_5[[#This Row],[Name]],Name_list[Full Name],Name_list[Hourr Rate])</f>
        <v>60</v>
      </c>
      <c r="S64" s="229">
        <f>表格3_5[[#This Row],[Hours Worked]]*表格3_5[[#This Row],[Hourly Rate]]</f>
        <v>479.99999999999955</v>
      </c>
    </row>
    <row r="65" spans="1:19" ht="18">
      <c r="A65" s="217">
        <v>63</v>
      </c>
      <c r="B65" s="225" t="str">
        <f>_xlfn.CONCAT(表格3_5[[#This Row],[Name]],表格3_5[[#This Row],[Location]])</f>
        <v>Wong Sui PingTai Po Yata</v>
      </c>
      <c r="C65" s="226"/>
      <c r="D65" s="218"/>
      <c r="E65" s="226" t="str">
        <f>DAY(表格3_5[[#This Row],[Date]])&amp;""</f>
        <v>27</v>
      </c>
      <c r="F65" s="236">
        <v>46200</v>
      </c>
      <c r="G65" s="232" t="str">
        <f>_xlfn.XLOOKUP(表格3_5[[#This Row],[Name]],Name_list[Full Name],Name_list[Nick Name])</f>
        <v>Joe</v>
      </c>
      <c r="H65" s="219" t="s">
        <v>999</v>
      </c>
      <c r="I65" s="220" t="s">
        <v>231</v>
      </c>
      <c r="J65" s="221">
        <v>0.5</v>
      </c>
      <c r="K65" s="221">
        <v>0.83333333333333304</v>
      </c>
      <c r="L65" s="227">
        <f>(表格3_5[[#This Row],[Out-Time]] - 表格3_5[[#This Row],[In-Time]])*24</f>
        <v>7.9999999999999929</v>
      </c>
      <c r="M65" s="228">
        <f>表格3_5[[#This Row],[ Hours]]-表格3_5[[#This Row],[Normal working
 hours]]</f>
        <v>0</v>
      </c>
      <c r="N65" s="221">
        <v>0.5</v>
      </c>
      <c r="O65" s="221">
        <v>0.83333333333333304</v>
      </c>
      <c r="P65" s="229">
        <f>(表格3_5[[#This Row],[Out-Time2]] - 表格3_5[[#This Row],[In-Time2]])*24</f>
        <v>7.9999999999999929</v>
      </c>
      <c r="Q65" s="222">
        <v>7.9999999999999929</v>
      </c>
      <c r="R65" s="229">
        <f>_xlfn.XLOOKUP(表格3_5[[#This Row],[Name]],Name_list[Full Name],Name_list[Hourr Rate])</f>
        <v>60</v>
      </c>
      <c r="S65" s="229">
        <f>表格3_5[[#This Row],[Hours Worked]]*表格3_5[[#This Row],[Hourly Rate]]</f>
        <v>479.99999999999955</v>
      </c>
    </row>
    <row r="66" spans="1:19" ht="18">
      <c r="A66" s="217">
        <v>64</v>
      </c>
      <c r="B66" s="225" t="str">
        <f>_xlfn.CONCAT(表格3_5[[#This Row],[Name]],表格3_5[[#This Row],[Location]])</f>
        <v>Wong Sui PingTai Po Yata</v>
      </c>
      <c r="C66" s="226"/>
      <c r="D66" s="218"/>
      <c r="E66" s="226" t="str">
        <f>DAY(表格3_5[[#This Row],[Date]])&amp;""</f>
        <v>28</v>
      </c>
      <c r="F66" s="236">
        <v>46201</v>
      </c>
      <c r="G66" s="232" t="str">
        <f>_xlfn.XLOOKUP(表格3_5[[#This Row],[Name]],Name_list[Full Name],Name_list[Nick Name])</f>
        <v>Joe</v>
      </c>
      <c r="H66" s="219" t="s">
        <v>999</v>
      </c>
      <c r="I66" s="220" t="s">
        <v>231</v>
      </c>
      <c r="J66" s="221">
        <v>0.5</v>
      </c>
      <c r="K66" s="221">
        <v>0.83333333333333304</v>
      </c>
      <c r="L66" s="227">
        <f>(表格3_5[[#This Row],[Out-Time]] - 表格3_5[[#This Row],[In-Time]])*24</f>
        <v>7.9999999999999929</v>
      </c>
      <c r="M66" s="228">
        <f>表格3_5[[#This Row],[ Hours]]-表格3_5[[#This Row],[Normal working
 hours]]</f>
        <v>0</v>
      </c>
      <c r="N66" s="221">
        <v>0.5</v>
      </c>
      <c r="O66" s="221">
        <v>0.83333333333333304</v>
      </c>
      <c r="P66" s="229">
        <f>(表格3_5[[#This Row],[Out-Time2]] - 表格3_5[[#This Row],[In-Time2]])*24</f>
        <v>7.9999999999999929</v>
      </c>
      <c r="Q66" s="222">
        <v>7.9999999999999929</v>
      </c>
      <c r="R66" s="229">
        <f>_xlfn.XLOOKUP(表格3_5[[#This Row],[Name]],Name_list[Full Name],Name_list[Hourr Rate])</f>
        <v>60</v>
      </c>
      <c r="S66" s="229">
        <f>表格3_5[[#This Row],[Hours Worked]]*表格3_5[[#This Row],[Hourly Rate]]</f>
        <v>479.99999999999955</v>
      </c>
    </row>
    <row r="67" spans="1:19" ht="18">
      <c r="A67" s="217">
        <v>65</v>
      </c>
      <c r="B67" s="225" t="str">
        <f>_xlfn.CONCAT(表格3_5[[#This Row],[Name]],表格3_5[[#This Row],[Location]])</f>
        <v>Pang Kam ChunIn - Home Expo</v>
      </c>
      <c r="C67" s="226"/>
      <c r="D67" s="218"/>
      <c r="E67" s="226" t="str">
        <f>DAY(表格3_5[[#This Row],[Date]])&amp;""</f>
        <v>25</v>
      </c>
      <c r="F67" s="236">
        <v>46198</v>
      </c>
      <c r="G67" s="232" t="str">
        <f>_xlfn.XLOOKUP(表格3_5[[#This Row],[Name]],Name_list[Full Name],Name_list[Nick Name])</f>
        <v>Jenny P</v>
      </c>
      <c r="H67" s="219" t="s">
        <v>961</v>
      </c>
      <c r="I67" s="220" t="s">
        <v>1004</v>
      </c>
      <c r="J67" s="265">
        <v>0.47916666666666669</v>
      </c>
      <c r="K67" s="221">
        <v>0.875</v>
      </c>
      <c r="L67" s="227">
        <f>(表格3_5[[#This Row],[Out-Time]] - 表格3_5[[#This Row],[In-Time]])*24</f>
        <v>9.5</v>
      </c>
      <c r="M67" s="228">
        <f>表格3_5[[#This Row],[ Hours]]-表格3_5[[#This Row],[Normal working
 hours]]</f>
        <v>0</v>
      </c>
      <c r="N67" s="265">
        <v>0.47916666666666669</v>
      </c>
      <c r="O67" s="221">
        <v>0.875</v>
      </c>
      <c r="P67" s="229">
        <f>(表格3_5[[#This Row],[Out-Time2]] - 表格3_5[[#This Row],[In-Time2]])*24</f>
        <v>9.5</v>
      </c>
      <c r="Q67" s="222">
        <v>9.5</v>
      </c>
      <c r="R67" s="229">
        <f>_xlfn.XLOOKUP(表格3_5[[#This Row],[Name]],Name_list[Full Name],Name_list[Hourr Rate])</f>
        <v>60</v>
      </c>
      <c r="S67" s="229">
        <f>表格3_5[[#This Row],[Hours Worked]]*表格3_5[[#This Row],[Hourly Rate]]</f>
        <v>570</v>
      </c>
    </row>
    <row r="68" spans="1:19" ht="18">
      <c r="A68" s="217">
        <v>66</v>
      </c>
      <c r="B68" s="225" t="str">
        <f>_xlfn.CONCAT(表格3_5[[#This Row],[Name]],表格3_5[[#This Row],[Location]])</f>
        <v>Pang Kam ChunIn - Home Expo</v>
      </c>
      <c r="C68" s="226"/>
      <c r="D68" s="218"/>
      <c r="E68" s="226" t="str">
        <f>DAY(表格3_5[[#This Row],[Date]])&amp;""</f>
        <v>26</v>
      </c>
      <c r="F68" s="236">
        <v>46199</v>
      </c>
      <c r="G68" s="232" t="str">
        <f>_xlfn.XLOOKUP(表格3_5[[#This Row],[Name]],Name_list[Full Name],Name_list[Nick Name])</f>
        <v>Jenny P</v>
      </c>
      <c r="H68" s="219" t="s">
        <v>961</v>
      </c>
      <c r="I68" s="220" t="s">
        <v>1004</v>
      </c>
      <c r="J68" s="221">
        <v>0.5</v>
      </c>
      <c r="K68" s="221">
        <v>0.875</v>
      </c>
      <c r="L68" s="227">
        <f>(表格3_5[[#This Row],[Out-Time]] - 表格3_5[[#This Row],[In-Time]])*24</f>
        <v>9</v>
      </c>
      <c r="M68" s="228">
        <f>表格3_5[[#This Row],[ Hours]]-表格3_5[[#This Row],[Normal working
 hours]]</f>
        <v>0</v>
      </c>
      <c r="N68" s="221">
        <v>0.5</v>
      </c>
      <c r="O68" s="221">
        <v>0.875</v>
      </c>
      <c r="P68" s="229">
        <f>(表格3_5[[#This Row],[Out-Time2]] - 表格3_5[[#This Row],[In-Time2]])*24</f>
        <v>9</v>
      </c>
      <c r="Q68" s="222">
        <v>9</v>
      </c>
      <c r="R68" s="229">
        <f>_xlfn.XLOOKUP(表格3_5[[#This Row],[Name]],Name_list[Full Name],Name_list[Hourr Rate])</f>
        <v>60</v>
      </c>
      <c r="S68" s="229">
        <f>表格3_5[[#This Row],[Hours Worked]]*表格3_5[[#This Row],[Hourly Rate]]</f>
        <v>540</v>
      </c>
    </row>
    <row r="69" spans="1:19" ht="18">
      <c r="A69" s="217">
        <v>67</v>
      </c>
      <c r="B69" s="225" t="str">
        <f>_xlfn.CONCAT(表格3_5[[#This Row],[Name]],表格3_5[[#This Row],[Location]])</f>
        <v>Pang Kam ChunIn - Home Expo</v>
      </c>
      <c r="C69" s="226"/>
      <c r="D69" s="218"/>
      <c r="E69" s="226" t="str">
        <f>DAY(表格3_5[[#This Row],[Date]])&amp;""</f>
        <v>27</v>
      </c>
      <c r="F69" s="236">
        <v>46200</v>
      </c>
      <c r="G69" s="232" t="str">
        <f>_xlfn.XLOOKUP(表格3_5[[#This Row],[Name]],Name_list[Full Name],Name_list[Nick Name])</f>
        <v>Jenny P</v>
      </c>
      <c r="H69" s="219" t="s">
        <v>961</v>
      </c>
      <c r="I69" s="220" t="s">
        <v>1004</v>
      </c>
      <c r="J69" s="221">
        <v>0.5</v>
      </c>
      <c r="K69" s="221">
        <v>0.875</v>
      </c>
      <c r="L69" s="227">
        <f>(表格3_5[[#This Row],[Out-Time]] - 表格3_5[[#This Row],[In-Time]])*24</f>
        <v>9</v>
      </c>
      <c r="M69" s="228">
        <f>表格3_5[[#This Row],[ Hours]]-表格3_5[[#This Row],[Normal working
 hours]]</f>
        <v>0</v>
      </c>
      <c r="N69" s="221">
        <v>0.5</v>
      </c>
      <c r="O69" s="221">
        <v>0.875</v>
      </c>
      <c r="P69" s="229">
        <f>(表格3_5[[#This Row],[Out-Time2]] - 表格3_5[[#This Row],[In-Time2]])*24</f>
        <v>9</v>
      </c>
      <c r="Q69" s="222">
        <v>9</v>
      </c>
      <c r="R69" s="229">
        <f>_xlfn.XLOOKUP(表格3_5[[#This Row],[Name]],Name_list[Full Name],Name_list[Hourr Rate])</f>
        <v>60</v>
      </c>
      <c r="S69" s="229">
        <f>表格3_5[[#This Row],[Hours Worked]]*表格3_5[[#This Row],[Hourly Rate]]</f>
        <v>540</v>
      </c>
    </row>
    <row r="70" spans="1:19" ht="18">
      <c r="A70" s="217">
        <v>68</v>
      </c>
      <c r="B70" s="225" t="str">
        <f>_xlfn.CONCAT(表格3_5[[#This Row],[Name]],表格3_5[[#This Row],[Location]])</f>
        <v>Pang Kam ChunIn - Home Expo</v>
      </c>
      <c r="C70" s="226"/>
      <c r="D70" s="218"/>
      <c r="E70" s="226" t="str">
        <f>DAY(表格3_5[[#This Row],[Date]])&amp;""</f>
        <v>28</v>
      </c>
      <c r="F70" s="236">
        <v>46201</v>
      </c>
      <c r="G70" s="232" t="str">
        <f>_xlfn.XLOOKUP(表格3_5[[#This Row],[Name]],Name_list[Full Name],Name_list[Nick Name])</f>
        <v>Jenny P</v>
      </c>
      <c r="H70" s="219" t="s">
        <v>961</v>
      </c>
      <c r="I70" s="220" t="s">
        <v>1004</v>
      </c>
      <c r="J70" s="221">
        <v>0.5</v>
      </c>
      <c r="K70" s="221">
        <v>0.79166666666666663</v>
      </c>
      <c r="L70" s="227">
        <f>(表格3_5[[#This Row],[Out-Time]] - 表格3_5[[#This Row],[In-Time]])*24</f>
        <v>6.9999999999999991</v>
      </c>
      <c r="M70" s="228">
        <f>表格3_5[[#This Row],[ Hours]]-表格3_5[[#This Row],[Normal working
 hours]]</f>
        <v>0</v>
      </c>
      <c r="N70" s="221">
        <v>0.5</v>
      </c>
      <c r="O70" s="221">
        <v>0.79166666666666663</v>
      </c>
      <c r="P70" s="229">
        <f>(表格3_5[[#This Row],[Out-Time2]] - 表格3_5[[#This Row],[In-Time2]])*24</f>
        <v>6.9999999999999991</v>
      </c>
      <c r="Q70" s="222">
        <v>6.9999999999999991</v>
      </c>
      <c r="R70" s="229">
        <f>_xlfn.XLOOKUP(表格3_5[[#This Row],[Name]],Name_list[Full Name],Name_list[Hourr Rate])</f>
        <v>60</v>
      </c>
      <c r="S70" s="229">
        <f>表格3_5[[#This Row],[Hours Worked]]*表格3_5[[#This Row],[Hourly Rate]]</f>
        <v>419.99999999999994</v>
      </c>
    </row>
    <row r="71" spans="1:19" ht="18">
      <c r="A71" s="217">
        <v>69</v>
      </c>
      <c r="B71" s="225" t="str">
        <f>_xlfn.CONCAT(表格3_5[[#This Row],[Name]],表格3_5[[#This Row],[Location]])</f>
        <v>Sin Wai ChunTW Aeon</v>
      </c>
      <c r="C71" s="226"/>
      <c r="D71" s="218"/>
      <c r="E71" s="226" t="str">
        <f>DAY(表格3_5[[#This Row],[Date]])&amp;""</f>
        <v>20</v>
      </c>
      <c r="F71" s="236">
        <v>46193</v>
      </c>
      <c r="G71" s="232" t="str">
        <f>_xlfn.XLOOKUP(表格3_5[[#This Row],[Name]],Name_list[Full Name],Name_list[Nick Name])</f>
        <v>Apple</v>
      </c>
      <c r="H71" s="219" t="s">
        <v>960</v>
      </c>
      <c r="I71" s="220" t="s">
        <v>336</v>
      </c>
      <c r="J71" s="221">
        <v>0.5</v>
      </c>
      <c r="K71" s="221">
        <v>0.83333333333333304</v>
      </c>
      <c r="L71" s="227">
        <f>(表格3_5[[#This Row],[Out-Time]] - 表格3_5[[#This Row],[In-Time]])*24</f>
        <v>7.9999999999999929</v>
      </c>
      <c r="M71" s="228">
        <f>表格3_5[[#This Row],[ Hours]]-表格3_5[[#This Row],[Normal working
 hours]]</f>
        <v>0</v>
      </c>
      <c r="N71" s="221">
        <v>0.5</v>
      </c>
      <c r="O71" s="221">
        <v>0.83333333333333304</v>
      </c>
      <c r="P71" s="229">
        <f>(表格3_5[[#This Row],[Out-Time2]] - 表格3_5[[#This Row],[In-Time2]])*24</f>
        <v>7.9999999999999929</v>
      </c>
      <c r="Q71" s="222">
        <v>8</v>
      </c>
      <c r="R71" s="229">
        <f>_xlfn.XLOOKUP(表格3_5[[#This Row],[Name]],Name_list[Full Name],Name_list[Hourr Rate])</f>
        <v>60</v>
      </c>
      <c r="S71" s="229">
        <f>表格3_5[[#This Row],[Hours Worked]]*表格3_5[[#This Row],[Hourly Rate]]</f>
        <v>480</v>
      </c>
    </row>
    <row r="72" spans="1:19" ht="18">
      <c r="A72" s="217">
        <v>70</v>
      </c>
      <c r="B72" s="225" t="str">
        <f>_xlfn.CONCAT(表格3_5[[#This Row],[Name]],表格3_5[[#This Row],[Location]])</f>
        <v>Sin Wai ChunTW Aeon</v>
      </c>
      <c r="C72" s="226"/>
      <c r="D72" s="218"/>
      <c r="E72" s="226" t="str">
        <f>DAY(表格3_5[[#This Row],[Date]])&amp;""</f>
        <v>21</v>
      </c>
      <c r="F72" s="236">
        <v>46194</v>
      </c>
      <c r="G72" s="232" t="str">
        <f>_xlfn.XLOOKUP(表格3_5[[#This Row],[Name]],Name_list[Full Name],Name_list[Nick Name])</f>
        <v>Apple</v>
      </c>
      <c r="H72" s="219" t="s">
        <v>960</v>
      </c>
      <c r="I72" s="220" t="s">
        <v>270</v>
      </c>
      <c r="J72" s="221">
        <v>0.5</v>
      </c>
      <c r="K72" s="221">
        <v>0.83333333333333304</v>
      </c>
      <c r="L72" s="227">
        <f>(表格3_5[[#This Row],[Out-Time]] - 表格3_5[[#This Row],[In-Time]])*24</f>
        <v>7.9999999999999929</v>
      </c>
      <c r="M72" s="228">
        <f>表格3_5[[#This Row],[ Hours]]-表格3_5[[#This Row],[Normal working
 hours]]</f>
        <v>0</v>
      </c>
      <c r="N72" s="221">
        <v>0.5</v>
      </c>
      <c r="O72" s="221">
        <v>0.83333333333333304</v>
      </c>
      <c r="P72" s="229">
        <f>(表格3_5[[#This Row],[Out-Time2]] - 表格3_5[[#This Row],[In-Time2]])*24</f>
        <v>7.9999999999999929</v>
      </c>
      <c r="Q72" s="222">
        <v>8</v>
      </c>
      <c r="R72" s="229">
        <f>_xlfn.XLOOKUP(表格3_5[[#This Row],[Name]],Name_list[Full Name],Name_list[Hourr Rate])</f>
        <v>60</v>
      </c>
      <c r="S72" s="229">
        <f>表格3_5[[#This Row],[Hours Worked]]*表格3_5[[#This Row],[Hourly Rate]]</f>
        <v>480</v>
      </c>
    </row>
    <row r="73" spans="1:19" ht="18">
      <c r="A73" s="217">
        <v>71</v>
      </c>
      <c r="B73" s="225" t="str">
        <f>_xlfn.CONCAT(表格3_5[[#This Row],[Name]],表格3_5[[#This Row],[Location]])</f>
        <v>Sit Kwok FongFestival Walk Fortress</v>
      </c>
      <c r="C73" s="226"/>
      <c r="D73" s="218"/>
      <c r="E73" s="226" t="str">
        <f>DAY(表格3_5[[#This Row],[Date]])&amp;""</f>
        <v>5</v>
      </c>
      <c r="F73" s="236">
        <v>46178</v>
      </c>
      <c r="G73" s="232" t="str">
        <f>_xlfn.XLOOKUP(表格3_5[[#This Row],[Name]],Name_list[Full Name],Name_list[Nick Name])</f>
        <v>Shirley</v>
      </c>
      <c r="H73" s="219" t="s">
        <v>1008</v>
      </c>
      <c r="I73" s="220" t="s">
        <v>969</v>
      </c>
      <c r="J73" s="221">
        <v>0.5</v>
      </c>
      <c r="K73" s="221">
        <v>0.83333333333333304</v>
      </c>
      <c r="L73" s="227">
        <f>(表格3_5[[#This Row],[Out-Time]] - 表格3_5[[#This Row],[In-Time]])*24</f>
        <v>7.9999999999999929</v>
      </c>
      <c r="M73" s="228">
        <f>表格3_5[[#This Row],[ Hours]]-表格3_5[[#This Row],[Normal working
 hours]]</f>
        <v>0</v>
      </c>
      <c r="N73" s="221">
        <v>0.5</v>
      </c>
      <c r="O73" s="221">
        <v>0.83333333333333304</v>
      </c>
      <c r="P73" s="229">
        <f>(表格3_5[[#This Row],[Out-Time2]] - 表格3_5[[#This Row],[In-Time2]])*24</f>
        <v>7.9999999999999929</v>
      </c>
      <c r="Q73" s="222">
        <v>8</v>
      </c>
      <c r="R73" s="229">
        <f>_xlfn.XLOOKUP(表格3_5[[#This Row],[Name]],Name_list[Full Name],Name_list[Hourr Rate])</f>
        <v>60</v>
      </c>
      <c r="S73" s="229">
        <f>表格3_5[[#This Row],[Hours Worked]]*表格3_5[[#This Row],[Hourly Rate]]</f>
        <v>480</v>
      </c>
    </row>
    <row r="74" spans="1:19" ht="18">
      <c r="A74" s="217">
        <v>72</v>
      </c>
      <c r="B74" s="225" t="str">
        <f>_xlfn.CONCAT(表格3_5[[#This Row],[Name]],表格3_5[[#This Row],[Location]])</f>
        <v>Sit Kwok FongFestival Walk Fortress</v>
      </c>
      <c r="C74" s="226"/>
      <c r="D74" s="218"/>
      <c r="E74" s="226" t="str">
        <f>DAY(表格3_5[[#This Row],[Date]])&amp;""</f>
        <v>6</v>
      </c>
      <c r="F74" s="236">
        <v>46179</v>
      </c>
      <c r="G74" s="232" t="str">
        <f>_xlfn.XLOOKUP(表格3_5[[#This Row],[Name]],Name_list[Full Name],Name_list[Nick Name])</f>
        <v>Shirley</v>
      </c>
      <c r="H74" s="219" t="s">
        <v>1008</v>
      </c>
      <c r="I74" s="220" t="s">
        <v>969</v>
      </c>
      <c r="J74" s="221">
        <v>0.5</v>
      </c>
      <c r="K74" s="221">
        <v>0.83333333333333304</v>
      </c>
      <c r="L74" s="227">
        <f>(表格3_5[[#This Row],[Out-Time]] - 表格3_5[[#This Row],[In-Time]])*24</f>
        <v>7.9999999999999929</v>
      </c>
      <c r="M74" s="228">
        <f>表格3_5[[#This Row],[ Hours]]-表格3_5[[#This Row],[Normal working
 hours]]</f>
        <v>0</v>
      </c>
      <c r="N74" s="221">
        <v>0.5</v>
      </c>
      <c r="O74" s="221">
        <v>0.83333333333333304</v>
      </c>
      <c r="P74" s="229">
        <f>(表格3_5[[#This Row],[Out-Time2]] - 表格3_5[[#This Row],[In-Time2]])*24</f>
        <v>7.9999999999999929</v>
      </c>
      <c r="Q74" s="222">
        <v>8</v>
      </c>
      <c r="R74" s="229">
        <f>_xlfn.XLOOKUP(表格3_5[[#This Row],[Name]],Name_list[Full Name],Name_list[Hourr Rate])</f>
        <v>60</v>
      </c>
      <c r="S74" s="229">
        <f>表格3_5[[#This Row],[Hours Worked]]*表格3_5[[#This Row],[Hourly Rate]]</f>
        <v>480</v>
      </c>
    </row>
    <row r="75" spans="1:19" ht="18">
      <c r="A75" s="217">
        <v>73</v>
      </c>
      <c r="B75" s="225" t="str">
        <f>_xlfn.CONCAT(表格3_5[[#This Row],[Name]],表格3_5[[#This Row],[Location]])</f>
        <v>Sit Kwok FongFestival Walk Fortress</v>
      </c>
      <c r="C75" s="226"/>
      <c r="D75" s="218"/>
      <c r="E75" s="226" t="str">
        <f>DAY(表格3_5[[#This Row],[Date]])&amp;""</f>
        <v>7</v>
      </c>
      <c r="F75" s="236">
        <v>46180</v>
      </c>
      <c r="G75" s="232" t="str">
        <f>_xlfn.XLOOKUP(表格3_5[[#This Row],[Name]],Name_list[Full Name],Name_list[Nick Name])</f>
        <v>Shirley</v>
      </c>
      <c r="H75" s="219" t="s">
        <v>1008</v>
      </c>
      <c r="I75" s="220" t="s">
        <v>969</v>
      </c>
      <c r="J75" s="221">
        <v>0.5</v>
      </c>
      <c r="K75" s="221">
        <v>0.83333333333333304</v>
      </c>
      <c r="L75" s="227">
        <f>(表格3_5[[#This Row],[Out-Time]] - 表格3_5[[#This Row],[In-Time]])*24</f>
        <v>7.9999999999999929</v>
      </c>
      <c r="M75" s="228">
        <f>表格3_5[[#This Row],[ Hours]]-表格3_5[[#This Row],[Normal working
 hours]]</f>
        <v>0</v>
      </c>
      <c r="N75" s="221">
        <v>0.5</v>
      </c>
      <c r="O75" s="221">
        <v>0.83333333333333304</v>
      </c>
      <c r="P75" s="229">
        <f>(表格3_5[[#This Row],[Out-Time2]] - 表格3_5[[#This Row],[In-Time2]])*24</f>
        <v>7.9999999999999929</v>
      </c>
      <c r="Q75" s="222">
        <v>8</v>
      </c>
      <c r="R75" s="229">
        <f>_xlfn.XLOOKUP(表格3_5[[#This Row],[Name]],Name_list[Full Name],Name_list[Hourr Rate])</f>
        <v>60</v>
      </c>
      <c r="S75" s="229">
        <f>表格3_5[[#This Row],[Hours Worked]]*表格3_5[[#This Row],[Hourly Rate]]</f>
        <v>480</v>
      </c>
    </row>
    <row r="76" spans="1:19" ht="18">
      <c r="A76" s="217">
        <v>74</v>
      </c>
      <c r="B76" s="225" t="str">
        <f>_xlfn.CONCAT(表格3_5[[#This Row],[Name]],表格3_5[[#This Row],[Location]])</f>
        <v>Siu Wai Ling Shatin Fortress</v>
      </c>
      <c r="C76" s="226"/>
      <c r="D76" s="218"/>
      <c r="E76" s="226" t="str">
        <f>DAY(表格3_5[[#This Row],[Date]])&amp;""</f>
        <v>5</v>
      </c>
      <c r="F76" s="236">
        <v>46178</v>
      </c>
      <c r="G76" s="232" t="str">
        <f>_xlfn.XLOOKUP(表格3_5[[#This Row],[Name]],Name_list[Full Name],Name_list[Nick Name])</f>
        <v>Margaret</v>
      </c>
      <c r="H76" s="219" t="s">
        <v>941</v>
      </c>
      <c r="I76" s="220" t="s">
        <v>908</v>
      </c>
      <c r="J76" s="221">
        <v>0.5</v>
      </c>
      <c r="K76" s="221">
        <v>0.83333333333333304</v>
      </c>
      <c r="L76" s="227">
        <f>(表格3_5[[#This Row],[Out-Time]] - 表格3_5[[#This Row],[In-Time]])*24</f>
        <v>7.9999999999999929</v>
      </c>
      <c r="M76" s="228">
        <f>表格3_5[[#This Row],[ Hours]]-表格3_5[[#This Row],[Normal working
 hours]]</f>
        <v>0</v>
      </c>
      <c r="N76" s="221">
        <v>0.5</v>
      </c>
      <c r="O76" s="221">
        <v>0.83333333333333304</v>
      </c>
      <c r="P76" s="229">
        <f>(表格3_5[[#This Row],[Out-Time2]] - 表格3_5[[#This Row],[In-Time2]])*24</f>
        <v>7.9999999999999929</v>
      </c>
      <c r="Q76" s="222">
        <v>7.9999999999999929</v>
      </c>
      <c r="R76" s="229">
        <f>_xlfn.XLOOKUP(表格3_5[[#This Row],[Name]],Name_list[Full Name],Name_list[Hourr Rate])</f>
        <v>56.25</v>
      </c>
      <c r="S76" s="229">
        <f>表格3_5[[#This Row],[Hours Worked]]*表格3_5[[#This Row],[Hourly Rate]]</f>
        <v>449.9999999999996</v>
      </c>
    </row>
    <row r="77" spans="1:19" ht="18">
      <c r="A77" s="217">
        <v>75</v>
      </c>
      <c r="B77" s="225" t="str">
        <f>_xlfn.CONCAT(表格3_5[[#This Row],[Name]],表格3_5[[#This Row],[Location]])</f>
        <v>Siu Wai Ling Shatin Fortress</v>
      </c>
      <c r="C77" s="226"/>
      <c r="D77" s="218"/>
      <c r="E77" s="226" t="str">
        <f>DAY(表格3_5[[#This Row],[Date]])&amp;""</f>
        <v>6</v>
      </c>
      <c r="F77" s="236">
        <v>46179</v>
      </c>
      <c r="G77" s="232" t="str">
        <f>_xlfn.XLOOKUP(表格3_5[[#This Row],[Name]],Name_list[Full Name],Name_list[Nick Name])</f>
        <v>Margaret</v>
      </c>
      <c r="H77" s="219" t="s">
        <v>941</v>
      </c>
      <c r="I77" s="220" t="s">
        <v>908</v>
      </c>
      <c r="J77" s="221">
        <v>0.5</v>
      </c>
      <c r="K77" s="221">
        <v>0.83333333333333304</v>
      </c>
      <c r="L77" s="227">
        <f>(表格3_5[[#This Row],[Out-Time]] - 表格3_5[[#This Row],[In-Time]])*24</f>
        <v>7.9999999999999929</v>
      </c>
      <c r="M77" s="228">
        <f>表格3_5[[#This Row],[ Hours]]-表格3_5[[#This Row],[Normal working
 hours]]</f>
        <v>0</v>
      </c>
      <c r="N77" s="221">
        <v>0.5</v>
      </c>
      <c r="O77" s="221">
        <v>0.83333333333333304</v>
      </c>
      <c r="P77" s="229">
        <f>(表格3_5[[#This Row],[Out-Time2]] - 表格3_5[[#This Row],[In-Time2]])*24</f>
        <v>7.9999999999999929</v>
      </c>
      <c r="Q77" s="222">
        <v>7.9999999999999929</v>
      </c>
      <c r="R77" s="229">
        <f>_xlfn.XLOOKUP(表格3_5[[#This Row],[Name]],Name_list[Full Name],Name_list[Hourr Rate])</f>
        <v>56.25</v>
      </c>
      <c r="S77" s="229">
        <f>表格3_5[[#This Row],[Hours Worked]]*表格3_5[[#This Row],[Hourly Rate]]</f>
        <v>449.9999999999996</v>
      </c>
    </row>
    <row r="78" spans="1:19" ht="18">
      <c r="A78" s="217">
        <v>76</v>
      </c>
      <c r="B78" s="225" t="str">
        <f>_xlfn.CONCAT(表格3_5[[#This Row],[Name]],表格3_5[[#This Row],[Location]])</f>
        <v>Siu Wai Ling Shatin Fortress</v>
      </c>
      <c r="C78" s="226"/>
      <c r="D78" s="218"/>
      <c r="E78" s="226" t="str">
        <f>DAY(表格3_5[[#This Row],[Date]])&amp;""</f>
        <v>7</v>
      </c>
      <c r="F78" s="264">
        <v>46180</v>
      </c>
      <c r="G78" s="232" t="str">
        <f>_xlfn.XLOOKUP(表格3_5[[#This Row],[Name]],Name_list[Full Name],Name_list[Nick Name])</f>
        <v>Margaret</v>
      </c>
      <c r="H78" s="219" t="s">
        <v>941</v>
      </c>
      <c r="I78" s="220" t="s">
        <v>908</v>
      </c>
      <c r="J78" s="221">
        <v>0.5</v>
      </c>
      <c r="K78" s="221">
        <v>0.83333333333333304</v>
      </c>
      <c r="L78" s="227">
        <f>(表格3_5[[#This Row],[Out-Time]] - 表格3_5[[#This Row],[In-Time]])*24</f>
        <v>7.9999999999999929</v>
      </c>
      <c r="M78" s="228">
        <f>表格3_5[[#This Row],[ Hours]]-表格3_5[[#This Row],[Normal working
 hours]]</f>
        <v>0</v>
      </c>
      <c r="N78" s="221">
        <v>0.5</v>
      </c>
      <c r="O78" s="221">
        <v>0.83333333333333304</v>
      </c>
      <c r="P78" s="229">
        <f>(表格3_5[[#This Row],[Out-Time2]] - 表格3_5[[#This Row],[In-Time2]])*24</f>
        <v>7.9999999999999929</v>
      </c>
      <c r="Q78" s="222">
        <v>7.9999999999999929</v>
      </c>
      <c r="R78" s="229">
        <f>_xlfn.XLOOKUP(表格3_5[[#This Row],[Name]],Name_list[Full Name],Name_list[Hourr Rate])</f>
        <v>56.25</v>
      </c>
      <c r="S78" s="229">
        <f>表格3_5[[#This Row],[Hours Worked]]*表格3_5[[#This Row],[Hourly Rate]]</f>
        <v>449.9999999999996</v>
      </c>
    </row>
    <row r="79" spans="1:19" ht="18">
      <c r="A79" s="217">
        <v>77</v>
      </c>
      <c r="B79" s="225" t="str">
        <f>_xlfn.CONCAT(表格3_5[[#This Row],[Name]],表格3_5[[#This Row],[Location]])</f>
        <v>Siu Wai Ling Shatin Fortress</v>
      </c>
      <c r="C79" s="226"/>
      <c r="D79" s="218"/>
      <c r="E79" s="226" t="str">
        <f>DAY(表格3_5[[#This Row],[Date]])&amp;""</f>
        <v>12</v>
      </c>
      <c r="F79" s="236">
        <v>46185</v>
      </c>
      <c r="G79" s="232" t="str">
        <f>_xlfn.XLOOKUP(表格3_5[[#This Row],[Name]],Name_list[Full Name],Name_list[Nick Name])</f>
        <v>Margaret</v>
      </c>
      <c r="H79" s="219" t="s">
        <v>941</v>
      </c>
      <c r="I79" s="220" t="s">
        <v>908</v>
      </c>
      <c r="J79" s="221">
        <v>0.5</v>
      </c>
      <c r="K79" s="221">
        <v>0.83333333333333304</v>
      </c>
      <c r="L79" s="227">
        <f>(表格3_5[[#This Row],[Out-Time]] - 表格3_5[[#This Row],[In-Time]])*24</f>
        <v>7.9999999999999929</v>
      </c>
      <c r="M79" s="228">
        <f>表格3_5[[#This Row],[ Hours]]-表格3_5[[#This Row],[Normal working
 hours]]</f>
        <v>0</v>
      </c>
      <c r="N79" s="221">
        <v>0.5</v>
      </c>
      <c r="O79" s="221">
        <v>0.83333333333333304</v>
      </c>
      <c r="P79" s="229">
        <f>(表格3_5[[#This Row],[Out-Time2]] - 表格3_5[[#This Row],[In-Time2]])*24</f>
        <v>7.9999999999999929</v>
      </c>
      <c r="Q79" s="222">
        <v>7.9999999999999929</v>
      </c>
      <c r="R79" s="229">
        <f>_xlfn.XLOOKUP(表格3_5[[#This Row],[Name]],Name_list[Full Name],Name_list[Hourr Rate])</f>
        <v>56.25</v>
      </c>
      <c r="S79" s="229">
        <f>表格3_5[[#This Row],[Hours Worked]]*表格3_5[[#This Row],[Hourly Rate]]</f>
        <v>449.9999999999996</v>
      </c>
    </row>
    <row r="80" spans="1:19" ht="18">
      <c r="A80" s="217">
        <v>78</v>
      </c>
      <c r="B80" s="225" t="str">
        <f>_xlfn.CONCAT(表格3_5[[#This Row],[Name]],表格3_5[[#This Row],[Location]])</f>
        <v>Siu Wai Ling Shatin Fortress</v>
      </c>
      <c r="C80" s="226"/>
      <c r="D80" s="218"/>
      <c r="E80" s="226" t="str">
        <f>DAY(表格3_5[[#This Row],[Date]])&amp;""</f>
        <v>13</v>
      </c>
      <c r="F80" s="236">
        <v>46186</v>
      </c>
      <c r="G80" s="232" t="str">
        <f>_xlfn.XLOOKUP(表格3_5[[#This Row],[Name]],Name_list[Full Name],Name_list[Nick Name])</f>
        <v>Margaret</v>
      </c>
      <c r="H80" s="219" t="s">
        <v>941</v>
      </c>
      <c r="I80" s="220" t="s">
        <v>908</v>
      </c>
      <c r="J80" s="221">
        <v>0.5</v>
      </c>
      <c r="K80" s="221">
        <v>0.83333333333333304</v>
      </c>
      <c r="L80" s="227">
        <f>(表格3_5[[#This Row],[Out-Time]] - 表格3_5[[#This Row],[In-Time]])*24</f>
        <v>7.9999999999999929</v>
      </c>
      <c r="M80" s="228">
        <f>表格3_5[[#This Row],[ Hours]]-表格3_5[[#This Row],[Normal working
 hours]]</f>
        <v>0</v>
      </c>
      <c r="N80" s="221">
        <v>0.5</v>
      </c>
      <c r="O80" s="221">
        <v>0.83333333333333304</v>
      </c>
      <c r="P80" s="229">
        <f>(表格3_5[[#This Row],[Out-Time2]] - 表格3_5[[#This Row],[In-Time2]])*24</f>
        <v>7.9999999999999929</v>
      </c>
      <c r="Q80" s="222">
        <v>7.9999999999999929</v>
      </c>
      <c r="R80" s="229">
        <f>_xlfn.XLOOKUP(表格3_5[[#This Row],[Name]],Name_list[Full Name],Name_list[Hourr Rate])</f>
        <v>56.25</v>
      </c>
      <c r="S80" s="229">
        <f>表格3_5[[#This Row],[Hours Worked]]*表格3_5[[#This Row],[Hourly Rate]]</f>
        <v>449.9999999999996</v>
      </c>
    </row>
    <row r="81" spans="1:19" ht="18">
      <c r="A81" s="217">
        <v>79</v>
      </c>
      <c r="B81" s="225" t="str">
        <f>_xlfn.CONCAT(表格3_5[[#This Row],[Name]],表格3_5[[#This Row],[Location]])</f>
        <v>Siu Wai Ling Shatin Fortress</v>
      </c>
      <c r="C81" s="226"/>
      <c r="D81" s="218"/>
      <c r="E81" s="226" t="str">
        <f>DAY(表格3_5[[#This Row],[Date]])&amp;""</f>
        <v>14</v>
      </c>
      <c r="F81" s="236">
        <v>46187</v>
      </c>
      <c r="G81" s="232" t="str">
        <f>_xlfn.XLOOKUP(表格3_5[[#This Row],[Name]],Name_list[Full Name],Name_list[Nick Name])</f>
        <v>Margaret</v>
      </c>
      <c r="H81" s="219" t="s">
        <v>941</v>
      </c>
      <c r="I81" s="220" t="s">
        <v>908</v>
      </c>
      <c r="J81" s="221">
        <v>0.5</v>
      </c>
      <c r="K81" s="221">
        <v>0.83333333333333304</v>
      </c>
      <c r="L81" s="227">
        <f>(表格3_5[[#This Row],[Out-Time]] - 表格3_5[[#This Row],[In-Time]])*24</f>
        <v>7.9999999999999929</v>
      </c>
      <c r="M81" s="228">
        <f>表格3_5[[#This Row],[ Hours]]-表格3_5[[#This Row],[Normal working
 hours]]</f>
        <v>0</v>
      </c>
      <c r="N81" s="221">
        <v>0.5</v>
      </c>
      <c r="O81" s="221">
        <v>0.83333333333333304</v>
      </c>
      <c r="P81" s="229">
        <f>(表格3_5[[#This Row],[Out-Time2]] - 表格3_5[[#This Row],[In-Time2]])*24</f>
        <v>7.9999999999999929</v>
      </c>
      <c r="Q81" s="222">
        <v>7.9999999999999929</v>
      </c>
      <c r="R81" s="229">
        <f>_xlfn.XLOOKUP(表格3_5[[#This Row],[Name]],Name_list[Full Name],Name_list[Hourr Rate])</f>
        <v>56.25</v>
      </c>
      <c r="S81" s="229">
        <f>表格3_5[[#This Row],[Hours Worked]]*表格3_5[[#This Row],[Hourly Rate]]</f>
        <v>449.9999999999996</v>
      </c>
    </row>
    <row r="82" spans="1:19" ht="18">
      <c r="A82" s="217">
        <v>80</v>
      </c>
      <c r="B82" s="225" t="str">
        <f>_xlfn.CONCAT(表格3_5[[#This Row],[Name]],表格3_5[[#This Row],[Location]])</f>
        <v>Siu Wai Ling Shatin Fortress</v>
      </c>
      <c r="C82" s="226"/>
      <c r="D82" s="218"/>
      <c r="E82" s="226" t="str">
        <f>DAY(表格3_5[[#This Row],[Date]])&amp;""</f>
        <v>19</v>
      </c>
      <c r="F82" s="236">
        <v>46192</v>
      </c>
      <c r="G82" s="232" t="str">
        <f>_xlfn.XLOOKUP(表格3_5[[#This Row],[Name]],Name_list[Full Name],Name_list[Nick Name])</f>
        <v>Margaret</v>
      </c>
      <c r="H82" s="219" t="s">
        <v>941</v>
      </c>
      <c r="I82" s="220" t="s">
        <v>908</v>
      </c>
      <c r="J82" s="221">
        <v>0.5</v>
      </c>
      <c r="K82" s="221">
        <v>0.83333333333333304</v>
      </c>
      <c r="L82" s="227">
        <f>(表格3_5[[#This Row],[Out-Time]] - 表格3_5[[#This Row],[In-Time]])*24</f>
        <v>7.9999999999999929</v>
      </c>
      <c r="M82" s="228">
        <f>表格3_5[[#This Row],[ Hours]]-表格3_5[[#This Row],[Normal working
 hours]]</f>
        <v>0</v>
      </c>
      <c r="N82" s="221">
        <v>0.5</v>
      </c>
      <c r="O82" s="221">
        <v>0.83333333333333304</v>
      </c>
      <c r="P82" s="229">
        <f>(表格3_5[[#This Row],[Out-Time2]] - 表格3_5[[#This Row],[In-Time2]])*24</f>
        <v>7.9999999999999929</v>
      </c>
      <c r="Q82" s="222">
        <v>7.9999999999999929</v>
      </c>
      <c r="R82" s="229">
        <f>_xlfn.XLOOKUP(表格3_5[[#This Row],[Name]],Name_list[Full Name],Name_list[Hourr Rate])</f>
        <v>56.25</v>
      </c>
      <c r="S82" s="229">
        <f>表格3_5[[#This Row],[Hours Worked]]*表格3_5[[#This Row],[Hourly Rate]]</f>
        <v>449.9999999999996</v>
      </c>
    </row>
    <row r="83" spans="1:19" ht="18">
      <c r="A83" s="217">
        <v>81</v>
      </c>
      <c r="B83" s="225" t="str">
        <f>_xlfn.CONCAT(表格3_5[[#This Row],[Name]],表格3_5[[#This Row],[Location]])</f>
        <v>Siu Wai Ling Shatin Fortress</v>
      </c>
      <c r="C83" s="226"/>
      <c r="D83" s="218"/>
      <c r="E83" s="226" t="str">
        <f>DAY(表格3_5[[#This Row],[Date]])&amp;""</f>
        <v>20</v>
      </c>
      <c r="F83" s="236">
        <v>46193</v>
      </c>
      <c r="G83" s="232" t="str">
        <f>_xlfn.XLOOKUP(表格3_5[[#This Row],[Name]],Name_list[Full Name],Name_list[Nick Name])</f>
        <v>Margaret</v>
      </c>
      <c r="H83" s="219" t="s">
        <v>941</v>
      </c>
      <c r="I83" s="220" t="s">
        <v>908</v>
      </c>
      <c r="J83" s="221">
        <v>0.5</v>
      </c>
      <c r="K83" s="221">
        <v>0.83333333333333304</v>
      </c>
      <c r="L83" s="227">
        <f>(表格3_5[[#This Row],[Out-Time]] - 表格3_5[[#This Row],[In-Time]])*24</f>
        <v>7.9999999999999929</v>
      </c>
      <c r="M83" s="228">
        <f>表格3_5[[#This Row],[ Hours]]-表格3_5[[#This Row],[Normal working
 hours]]</f>
        <v>0</v>
      </c>
      <c r="N83" s="221">
        <v>0.5</v>
      </c>
      <c r="O83" s="221">
        <v>0.83333333333333304</v>
      </c>
      <c r="P83" s="229">
        <f>(表格3_5[[#This Row],[Out-Time2]] - 表格3_5[[#This Row],[In-Time2]])*24</f>
        <v>7.9999999999999929</v>
      </c>
      <c r="Q83" s="222">
        <v>7.9999999999999929</v>
      </c>
      <c r="R83" s="229">
        <f>_xlfn.XLOOKUP(表格3_5[[#This Row],[Name]],Name_list[Full Name],Name_list[Hourr Rate])</f>
        <v>56.25</v>
      </c>
      <c r="S83" s="229">
        <f>表格3_5[[#This Row],[Hours Worked]]*表格3_5[[#This Row],[Hourly Rate]]</f>
        <v>449.9999999999996</v>
      </c>
    </row>
    <row r="84" spans="1:19" ht="18">
      <c r="A84" s="217">
        <v>82</v>
      </c>
      <c r="B84" s="225" t="str">
        <f>_xlfn.CONCAT(表格3_5[[#This Row],[Name]],表格3_5[[#This Row],[Location]])</f>
        <v>Siu Wai Ling Shatin Fortress</v>
      </c>
      <c r="C84" s="226"/>
      <c r="D84" s="218"/>
      <c r="E84" s="226" t="str">
        <f>DAY(表格3_5[[#This Row],[Date]])&amp;""</f>
        <v>21</v>
      </c>
      <c r="F84" s="236">
        <v>46194</v>
      </c>
      <c r="G84" s="232" t="str">
        <f>_xlfn.XLOOKUP(表格3_5[[#This Row],[Name]],Name_list[Full Name],Name_list[Nick Name])</f>
        <v>Margaret</v>
      </c>
      <c r="H84" s="219" t="s">
        <v>941</v>
      </c>
      <c r="I84" s="220" t="s">
        <v>908</v>
      </c>
      <c r="J84" s="221">
        <v>0.5</v>
      </c>
      <c r="K84" s="221">
        <v>0.83333333333333304</v>
      </c>
      <c r="L84" s="227">
        <f>(表格3_5[[#This Row],[Out-Time]] - 表格3_5[[#This Row],[In-Time]])*24</f>
        <v>7.9999999999999929</v>
      </c>
      <c r="M84" s="228">
        <f>表格3_5[[#This Row],[ Hours]]-表格3_5[[#This Row],[Normal working
 hours]]</f>
        <v>0</v>
      </c>
      <c r="N84" s="221">
        <v>0.5</v>
      </c>
      <c r="O84" s="221">
        <v>0.83333333333333304</v>
      </c>
      <c r="P84" s="229">
        <f>(表格3_5[[#This Row],[Out-Time2]] - 表格3_5[[#This Row],[In-Time2]])*24</f>
        <v>7.9999999999999929</v>
      </c>
      <c r="Q84" s="222">
        <v>7.9999999999999929</v>
      </c>
      <c r="R84" s="229">
        <f>_xlfn.XLOOKUP(表格3_5[[#This Row],[Name]],Name_list[Full Name],Name_list[Hourr Rate])</f>
        <v>56.25</v>
      </c>
      <c r="S84" s="229">
        <f>表格3_5[[#This Row],[Hours Worked]]*表格3_5[[#This Row],[Hourly Rate]]</f>
        <v>449.9999999999996</v>
      </c>
    </row>
    <row r="85" spans="1:19" ht="18">
      <c r="A85" s="217">
        <v>83</v>
      </c>
      <c r="B85" s="225" t="str">
        <f>_xlfn.CONCAT(表格3_5[[#This Row],[Name]],表格3_5[[#This Row],[Location]])</f>
        <v>Siu Wai Ling Shatin Fortress</v>
      </c>
      <c r="C85" s="226"/>
      <c r="D85" s="218"/>
      <c r="E85" s="226" t="str">
        <f>DAY(表格3_5[[#This Row],[Date]])&amp;""</f>
        <v>25</v>
      </c>
      <c r="F85" s="236">
        <v>46198</v>
      </c>
      <c r="G85" s="232" t="str">
        <f>_xlfn.XLOOKUP(表格3_5[[#This Row],[Name]],Name_list[Full Name],Name_list[Nick Name])</f>
        <v>Margaret</v>
      </c>
      <c r="H85" s="219" t="s">
        <v>941</v>
      </c>
      <c r="I85" s="220" t="s">
        <v>908</v>
      </c>
      <c r="J85" s="221">
        <v>0.5</v>
      </c>
      <c r="K85" s="221">
        <v>0.83333333333333304</v>
      </c>
      <c r="L85" s="227">
        <f>(表格3_5[[#This Row],[Out-Time]] - 表格3_5[[#This Row],[In-Time]])*24</f>
        <v>7.9999999999999929</v>
      </c>
      <c r="M85" s="228">
        <f>表格3_5[[#This Row],[ Hours]]-表格3_5[[#This Row],[Normal working
 hours]]</f>
        <v>0</v>
      </c>
      <c r="N85" s="221">
        <v>0.5</v>
      </c>
      <c r="O85" s="221">
        <v>0.83333333333333304</v>
      </c>
      <c r="P85" s="229">
        <f>(表格3_5[[#This Row],[Out-Time2]] - 表格3_5[[#This Row],[In-Time2]])*24</f>
        <v>7.9999999999999929</v>
      </c>
      <c r="Q85" s="222">
        <v>7.9999999999999929</v>
      </c>
      <c r="R85" s="229">
        <f>_xlfn.XLOOKUP(表格3_5[[#This Row],[Name]],Name_list[Full Name],Name_list[Hourr Rate])</f>
        <v>56.25</v>
      </c>
      <c r="S85" s="229">
        <f>表格3_5[[#This Row],[Hours Worked]]*表格3_5[[#This Row],[Hourly Rate]]</f>
        <v>449.9999999999996</v>
      </c>
    </row>
    <row r="86" spans="1:19" ht="18">
      <c r="A86" s="217">
        <v>84</v>
      </c>
      <c r="B86" s="225" t="str">
        <f>_xlfn.CONCAT(表格3_5[[#This Row],[Name]],表格3_5[[#This Row],[Location]])</f>
        <v>Siu Wai Ling Shatin Fortress</v>
      </c>
      <c r="C86" s="226"/>
      <c r="D86" s="218"/>
      <c r="E86" s="226" t="str">
        <f>DAY(表格3_5[[#This Row],[Date]])&amp;""</f>
        <v>29</v>
      </c>
      <c r="F86" s="236">
        <v>46202</v>
      </c>
      <c r="G86" s="232" t="str">
        <f>_xlfn.XLOOKUP(表格3_5[[#This Row],[Name]],Name_list[Full Name],Name_list[Nick Name])</f>
        <v>Margaret</v>
      </c>
      <c r="H86" s="219" t="s">
        <v>941</v>
      </c>
      <c r="I86" s="220" t="s">
        <v>908</v>
      </c>
      <c r="J86" s="221">
        <v>0.5</v>
      </c>
      <c r="K86" s="221">
        <v>0.83333333333333304</v>
      </c>
      <c r="L86" s="227">
        <f>(表格3_5[[#This Row],[Out-Time]] - 表格3_5[[#This Row],[In-Time]])*24</f>
        <v>7.9999999999999929</v>
      </c>
      <c r="M86" s="228">
        <f>表格3_5[[#This Row],[ Hours]]-表格3_5[[#This Row],[Normal working
 hours]]</f>
        <v>0</v>
      </c>
      <c r="N86" s="221">
        <v>0.5</v>
      </c>
      <c r="O86" s="221">
        <v>0.83333333333333304</v>
      </c>
      <c r="P86" s="229">
        <f>(表格3_5[[#This Row],[Out-Time2]] - 表格3_5[[#This Row],[In-Time2]])*24</f>
        <v>7.9999999999999929</v>
      </c>
      <c r="Q86" s="222">
        <v>7.9999999999999929</v>
      </c>
      <c r="R86" s="229">
        <f>_xlfn.XLOOKUP(表格3_5[[#This Row],[Name]],Name_list[Full Name],Name_list[Hourr Rate])</f>
        <v>56.25</v>
      </c>
      <c r="S86" s="229">
        <f>表格3_5[[#This Row],[Hours Worked]]*表格3_5[[#This Row],[Hourly Rate]]</f>
        <v>449.9999999999996</v>
      </c>
    </row>
    <row r="87" spans="1:19" ht="18">
      <c r="A87" s="217">
        <v>85</v>
      </c>
      <c r="B87" s="225" t="str">
        <f>_xlfn.CONCAT(表格3_5[[#This Row],[Name]],表格3_5[[#This Row],[Location]])</f>
        <v>Siu Wai Ling In - Home Expo 2</v>
      </c>
      <c r="C87" s="226"/>
      <c r="D87" s="218"/>
      <c r="E87" s="226" t="str">
        <f>DAY(表格3_5[[#This Row],[Date]])&amp;""</f>
        <v>27</v>
      </c>
      <c r="F87" s="236">
        <v>46200</v>
      </c>
      <c r="G87" s="232" t="str">
        <f>_xlfn.XLOOKUP(表格3_5[[#This Row],[Name]],Name_list[Full Name],Name_list[Nick Name])</f>
        <v>Margaret</v>
      </c>
      <c r="H87" s="219" t="s">
        <v>1011</v>
      </c>
      <c r="I87" s="220" t="s">
        <v>908</v>
      </c>
      <c r="J87" s="221">
        <v>0.58333333333333337</v>
      </c>
      <c r="K87" s="221">
        <v>0.875</v>
      </c>
      <c r="L87" s="227">
        <f>(表格3_5[[#This Row],[Out-Time]] - 表格3_5[[#This Row],[In-Time]])*24</f>
        <v>6.9999999999999991</v>
      </c>
      <c r="M87" s="228">
        <f>表格3_5[[#This Row],[ Hours]]-表格3_5[[#This Row],[Normal working
 hours]]</f>
        <v>0</v>
      </c>
      <c r="N87" s="221">
        <v>0.58333333333333337</v>
      </c>
      <c r="O87" s="221">
        <v>0.875</v>
      </c>
      <c r="P87" s="229">
        <f>(表格3_5[[#This Row],[Out-Time2]] - 表格3_5[[#This Row],[In-Time2]])*24</f>
        <v>6.9999999999999991</v>
      </c>
      <c r="Q87" s="222">
        <v>6.9999999999999991</v>
      </c>
      <c r="R87" s="229">
        <f>_xlfn.XLOOKUP(表格3_5[[#This Row],[Name]],Name_list[Full Name],Name_list[Hourr Rate])</f>
        <v>56.25</v>
      </c>
      <c r="S87" s="229">
        <f>表格3_5[[#This Row],[Hours Worked]]*表格3_5[[#This Row],[Hourly Rate]]</f>
        <v>393.74999999999994</v>
      </c>
    </row>
    <row r="88" spans="1:19" ht="18">
      <c r="A88" s="217">
        <v>86</v>
      </c>
      <c r="B88" s="225" t="str">
        <f>_xlfn.CONCAT(表格3_5[[#This Row],[Name]],表格3_5[[#This Row],[Location]])</f>
        <v>Siu Wai Ling In - Home Expo 2</v>
      </c>
      <c r="C88" s="226"/>
      <c r="D88" s="218"/>
      <c r="E88" s="226" t="str">
        <f>DAY(表格3_5[[#This Row],[Date]])&amp;""</f>
        <v>28</v>
      </c>
      <c r="F88" s="236">
        <v>46201</v>
      </c>
      <c r="G88" s="232" t="str">
        <f>_xlfn.XLOOKUP(表格3_5[[#This Row],[Name]],Name_list[Full Name],Name_list[Nick Name])</f>
        <v>Margaret</v>
      </c>
      <c r="H88" s="219" t="s">
        <v>1011</v>
      </c>
      <c r="I88" s="220" t="s">
        <v>908</v>
      </c>
      <c r="J88" s="221">
        <v>0.5</v>
      </c>
      <c r="K88" s="221">
        <v>0.79166666666666663</v>
      </c>
      <c r="L88" s="227">
        <f>(表格3_5[[#This Row],[Out-Time]] - 表格3_5[[#This Row],[In-Time]])*24</f>
        <v>6.9999999999999991</v>
      </c>
      <c r="M88" s="228">
        <f>表格3_5[[#This Row],[ Hours]]-表格3_5[[#This Row],[Normal working
 hours]]</f>
        <v>0</v>
      </c>
      <c r="N88" s="221">
        <v>0.5</v>
      </c>
      <c r="O88" s="221">
        <v>0.79166666666666663</v>
      </c>
      <c r="P88" s="229">
        <f>(表格3_5[[#This Row],[Out-Time2]] - 表格3_5[[#This Row],[In-Time2]])*24</f>
        <v>6.9999999999999991</v>
      </c>
      <c r="Q88" s="222">
        <v>6.9999999999999991</v>
      </c>
      <c r="R88" s="229">
        <f>_xlfn.XLOOKUP(表格3_5[[#This Row],[Name]],Name_list[Full Name],Name_list[Hourr Rate])</f>
        <v>56.25</v>
      </c>
      <c r="S88" s="229">
        <f>表格3_5[[#This Row],[Hours Worked]]*表格3_5[[#This Row],[Hourly Rate]]</f>
        <v>393.74999999999994</v>
      </c>
    </row>
    <row r="89" spans="1:19" ht="18">
      <c r="A89" s="217">
        <v>87</v>
      </c>
      <c r="B89" s="225" t="str">
        <f>_xlfn.CONCAT(表格3_5[[#This Row],[Name]],表格3_5[[#This Row],[Location]])</f>
        <v>Siu Wai Ling Central Fortress</v>
      </c>
      <c r="C89" s="226"/>
      <c r="D89" s="218"/>
      <c r="E89" s="226" t="str">
        <f>DAY(表格3_5[[#This Row],[Date]])&amp;""</f>
        <v>1</v>
      </c>
      <c r="F89" s="236">
        <v>46174</v>
      </c>
      <c r="G89" s="232" t="str">
        <f>_xlfn.XLOOKUP(表格3_5[[#This Row],[Name]],Name_list[Full Name],Name_list[Nick Name])</f>
        <v>Margaret</v>
      </c>
      <c r="H89" s="219" t="s">
        <v>943</v>
      </c>
      <c r="I89" s="220" t="s">
        <v>908</v>
      </c>
      <c r="J89" s="221">
        <v>0.47916666666666669</v>
      </c>
      <c r="K89" s="221">
        <v>0.8125</v>
      </c>
      <c r="L89" s="227">
        <f>(表格3_5[[#This Row],[Out-Time]] - 表格3_5[[#This Row],[In-Time]])*24</f>
        <v>8</v>
      </c>
      <c r="M89" s="228">
        <f>表格3_5[[#This Row],[ Hours]]-表格3_5[[#This Row],[Normal working
 hours]]</f>
        <v>0</v>
      </c>
      <c r="N89" s="221">
        <v>0.47916666666666669</v>
      </c>
      <c r="O89" s="221">
        <v>0.8125</v>
      </c>
      <c r="P89" s="229">
        <f>(表格3_5[[#This Row],[Out-Time2]] - 表格3_5[[#This Row],[In-Time2]])*24</f>
        <v>8</v>
      </c>
      <c r="Q89" s="222">
        <v>8</v>
      </c>
      <c r="R89" s="229">
        <f>_xlfn.XLOOKUP(表格3_5[[#This Row],[Name]],Name_list[Full Name],Name_list[Hourr Rate])</f>
        <v>56.25</v>
      </c>
      <c r="S89" s="229">
        <f>表格3_5[[#This Row],[Hours Worked]]*表格3_5[[#This Row],[Hourly Rate]]</f>
        <v>450</v>
      </c>
    </row>
    <row r="90" spans="1:19" ht="18">
      <c r="A90" s="217">
        <v>88</v>
      </c>
      <c r="B90" s="225" t="str">
        <f>_xlfn.CONCAT(表格3_5[[#This Row],[Name]],表格3_5[[#This Row],[Location]])</f>
        <v>Siu Wai Ling Central Fortress</v>
      </c>
      <c r="C90" s="226"/>
      <c r="D90" s="218"/>
      <c r="E90" s="226" t="str">
        <f>DAY(表格3_5[[#This Row],[Date]])&amp;""</f>
        <v>2</v>
      </c>
      <c r="F90" s="236">
        <v>46175</v>
      </c>
      <c r="G90" s="232" t="str">
        <f>_xlfn.XLOOKUP(表格3_5[[#This Row],[Name]],Name_list[Full Name],Name_list[Nick Name])</f>
        <v>Margaret</v>
      </c>
      <c r="H90" s="219" t="s">
        <v>943</v>
      </c>
      <c r="I90" s="220" t="s">
        <v>908</v>
      </c>
      <c r="J90" s="221">
        <v>0.47916666666666669</v>
      </c>
      <c r="K90" s="221">
        <v>0.8125</v>
      </c>
      <c r="L90" s="227">
        <f>(表格3_5[[#This Row],[Out-Time]] - 表格3_5[[#This Row],[In-Time]])*24</f>
        <v>8</v>
      </c>
      <c r="M90" s="228">
        <f>表格3_5[[#This Row],[ Hours]]-表格3_5[[#This Row],[Normal working
 hours]]</f>
        <v>0</v>
      </c>
      <c r="N90" s="221">
        <v>0.47916666666666669</v>
      </c>
      <c r="O90" s="221">
        <v>0.8125</v>
      </c>
      <c r="P90" s="229">
        <f>(表格3_5[[#This Row],[Out-Time2]] - 表格3_5[[#This Row],[In-Time2]])*24</f>
        <v>8</v>
      </c>
      <c r="Q90" s="222">
        <v>8</v>
      </c>
      <c r="R90" s="229">
        <f>_xlfn.XLOOKUP(表格3_5[[#This Row],[Name]],Name_list[Full Name],Name_list[Hourr Rate])</f>
        <v>56.25</v>
      </c>
      <c r="S90" s="229">
        <f>表格3_5[[#This Row],[Hours Worked]]*表格3_5[[#This Row],[Hourly Rate]]</f>
        <v>450</v>
      </c>
    </row>
    <row r="91" spans="1:19" ht="18">
      <c r="A91" s="217">
        <v>89</v>
      </c>
      <c r="B91" s="225" t="str">
        <f>_xlfn.CONCAT(表格3_5[[#This Row],[Name]],表格3_5[[#This Row],[Location]])</f>
        <v>Siu Wai Ling Central Fortress</v>
      </c>
      <c r="C91" s="226"/>
      <c r="D91" s="218"/>
      <c r="E91" s="226" t="str">
        <f>DAY(表格3_5[[#This Row],[Date]])&amp;""</f>
        <v>8</v>
      </c>
      <c r="F91" s="236">
        <v>46181</v>
      </c>
      <c r="G91" s="232" t="str">
        <f>_xlfn.XLOOKUP(表格3_5[[#This Row],[Name]],Name_list[Full Name],Name_list[Nick Name])</f>
        <v>Margaret</v>
      </c>
      <c r="H91" s="219" t="s">
        <v>943</v>
      </c>
      <c r="I91" s="220" t="s">
        <v>908</v>
      </c>
      <c r="J91" s="221">
        <v>0.47916666666666669</v>
      </c>
      <c r="K91" s="221">
        <v>0.8125</v>
      </c>
      <c r="L91" s="227">
        <f>(表格3_5[[#This Row],[Out-Time]] - 表格3_5[[#This Row],[In-Time]])*24</f>
        <v>8</v>
      </c>
      <c r="M91" s="228">
        <f>表格3_5[[#This Row],[ Hours]]-表格3_5[[#This Row],[Normal working
 hours]]</f>
        <v>0</v>
      </c>
      <c r="N91" s="221">
        <v>0.47916666666666669</v>
      </c>
      <c r="O91" s="221">
        <v>0.8125</v>
      </c>
      <c r="P91" s="229">
        <f>(表格3_5[[#This Row],[Out-Time2]] - 表格3_5[[#This Row],[In-Time2]])*24</f>
        <v>8</v>
      </c>
      <c r="Q91" s="222">
        <v>8</v>
      </c>
      <c r="R91" s="229">
        <f>_xlfn.XLOOKUP(表格3_5[[#This Row],[Name]],Name_list[Full Name],Name_list[Hourr Rate])</f>
        <v>56.25</v>
      </c>
      <c r="S91" s="229">
        <f>表格3_5[[#This Row],[Hours Worked]]*表格3_5[[#This Row],[Hourly Rate]]</f>
        <v>450</v>
      </c>
    </row>
    <row r="92" spans="1:19" ht="18">
      <c r="A92" s="217">
        <v>90</v>
      </c>
      <c r="B92" s="225" t="str">
        <f>_xlfn.CONCAT(表格3_5[[#This Row],[Name]],表格3_5[[#This Row],[Location]])</f>
        <v>Siu Wai Ling Central Fortress</v>
      </c>
      <c r="C92" s="226"/>
      <c r="D92" s="218"/>
      <c r="E92" s="226" t="str">
        <f>DAY(表格3_5[[#This Row],[Date]])&amp;""</f>
        <v>9</v>
      </c>
      <c r="F92" s="236">
        <v>46182</v>
      </c>
      <c r="G92" s="232" t="str">
        <f>_xlfn.XLOOKUP(表格3_5[[#This Row],[Name]],Name_list[Full Name],Name_list[Nick Name])</f>
        <v>Margaret</v>
      </c>
      <c r="H92" s="219" t="s">
        <v>943</v>
      </c>
      <c r="I92" s="220" t="s">
        <v>908</v>
      </c>
      <c r="J92" s="221">
        <v>0.47916666666666669</v>
      </c>
      <c r="K92" s="221">
        <v>0.8125</v>
      </c>
      <c r="L92" s="227">
        <f>(表格3_5[[#This Row],[Out-Time]] - 表格3_5[[#This Row],[In-Time]])*24</f>
        <v>8</v>
      </c>
      <c r="M92" s="228">
        <f>表格3_5[[#This Row],[ Hours]]-表格3_5[[#This Row],[Normal working
 hours]]</f>
        <v>0</v>
      </c>
      <c r="N92" s="221">
        <v>0.47916666666666669</v>
      </c>
      <c r="O92" s="221">
        <v>0.8125</v>
      </c>
      <c r="P92" s="229">
        <f>(表格3_5[[#This Row],[Out-Time2]] - 表格3_5[[#This Row],[In-Time2]])*24</f>
        <v>8</v>
      </c>
      <c r="Q92" s="222">
        <v>8</v>
      </c>
      <c r="R92" s="229">
        <f>_xlfn.XLOOKUP(表格3_5[[#This Row],[Name]],Name_list[Full Name],Name_list[Hourr Rate])</f>
        <v>56.25</v>
      </c>
      <c r="S92" s="229">
        <f>表格3_5[[#This Row],[Hours Worked]]*表格3_5[[#This Row],[Hourly Rate]]</f>
        <v>450</v>
      </c>
    </row>
    <row r="93" spans="1:19" ht="18">
      <c r="A93" s="217">
        <v>91</v>
      </c>
      <c r="B93" s="225" t="str">
        <f>_xlfn.CONCAT(表格3_5[[#This Row],[Name]],表格3_5[[#This Row],[Location]])</f>
        <v>Siu Wai Ling Central Fortress</v>
      </c>
      <c r="C93" s="226"/>
      <c r="D93" s="218"/>
      <c r="E93" s="226" t="str">
        <f>DAY(表格3_5[[#This Row],[Date]])&amp;""</f>
        <v>15</v>
      </c>
      <c r="F93" s="236">
        <v>46188</v>
      </c>
      <c r="G93" s="232" t="str">
        <f>_xlfn.XLOOKUP(表格3_5[[#This Row],[Name]],Name_list[Full Name],Name_list[Nick Name])</f>
        <v>Margaret</v>
      </c>
      <c r="H93" s="219" t="s">
        <v>943</v>
      </c>
      <c r="I93" s="220" t="s">
        <v>908</v>
      </c>
      <c r="J93" s="221">
        <v>0.47916666666666669</v>
      </c>
      <c r="K93" s="221">
        <v>0.8125</v>
      </c>
      <c r="L93" s="227">
        <f>(表格3_5[[#This Row],[Out-Time]] - 表格3_5[[#This Row],[In-Time]])*24</f>
        <v>8</v>
      </c>
      <c r="M93" s="228">
        <f>表格3_5[[#This Row],[ Hours]]-表格3_5[[#This Row],[Normal working
 hours]]</f>
        <v>0</v>
      </c>
      <c r="N93" s="221">
        <v>0.47916666666666669</v>
      </c>
      <c r="O93" s="221">
        <v>0.8125</v>
      </c>
      <c r="P93" s="229">
        <f>(表格3_5[[#This Row],[Out-Time2]] - 表格3_5[[#This Row],[In-Time2]])*24</f>
        <v>8</v>
      </c>
      <c r="Q93" s="222">
        <v>8</v>
      </c>
      <c r="R93" s="229">
        <f>_xlfn.XLOOKUP(表格3_5[[#This Row],[Name]],Name_list[Full Name],Name_list[Hourr Rate])</f>
        <v>56.25</v>
      </c>
      <c r="S93" s="229">
        <f>表格3_5[[#This Row],[Hours Worked]]*表格3_5[[#This Row],[Hourly Rate]]</f>
        <v>450</v>
      </c>
    </row>
    <row r="94" spans="1:19" ht="18">
      <c r="A94" s="217">
        <v>92</v>
      </c>
      <c r="B94" s="225" t="str">
        <f>_xlfn.CONCAT(表格3_5[[#This Row],[Name]],表格3_5[[#This Row],[Location]])</f>
        <v>Siu Wai Ling Central Fortress</v>
      </c>
      <c r="C94" s="226"/>
      <c r="D94" s="218"/>
      <c r="E94" s="226" t="str">
        <f>DAY(表格3_5[[#This Row],[Date]])&amp;""</f>
        <v>22</v>
      </c>
      <c r="F94" s="236">
        <v>46195</v>
      </c>
      <c r="G94" s="232" t="str">
        <f>_xlfn.XLOOKUP(表格3_5[[#This Row],[Name]],Name_list[Full Name],Name_list[Nick Name])</f>
        <v>Margaret</v>
      </c>
      <c r="H94" s="219" t="s">
        <v>943</v>
      </c>
      <c r="I94" s="220" t="s">
        <v>908</v>
      </c>
      <c r="J94" s="221">
        <v>0.47916666666666669</v>
      </c>
      <c r="K94" s="221">
        <v>0.8125</v>
      </c>
      <c r="L94" s="227">
        <f>(表格3_5[[#This Row],[Out-Time]] - 表格3_5[[#This Row],[In-Time]])*24</f>
        <v>8</v>
      </c>
      <c r="M94" s="228">
        <f>表格3_5[[#This Row],[ Hours]]-表格3_5[[#This Row],[Normal working
 hours]]</f>
        <v>0</v>
      </c>
      <c r="N94" s="221">
        <v>0.47916666666666669</v>
      </c>
      <c r="O94" s="221">
        <v>0.8125</v>
      </c>
      <c r="P94" s="229">
        <f>(表格3_5[[#This Row],[Out-Time2]] - 表格3_5[[#This Row],[In-Time2]])*24</f>
        <v>8</v>
      </c>
      <c r="Q94" s="222">
        <v>8</v>
      </c>
      <c r="R94" s="229">
        <f>_xlfn.XLOOKUP(表格3_5[[#This Row],[Name]],Name_list[Full Name],Name_list[Hourr Rate])</f>
        <v>56.25</v>
      </c>
      <c r="S94" s="229">
        <f>表格3_5[[#This Row],[Hours Worked]]*表格3_5[[#This Row],[Hourly Rate]]</f>
        <v>450</v>
      </c>
    </row>
    <row r="95" spans="1:19" ht="18">
      <c r="A95" s="217">
        <v>93</v>
      </c>
      <c r="B95" s="225" t="str">
        <f>_xlfn.CONCAT(表格3_5[[#This Row],[Name]],表格3_5[[#This Row],[Location]])</f>
        <v>Siu Wai Ling Central Fortress</v>
      </c>
      <c r="C95" s="226"/>
      <c r="D95" s="218"/>
      <c r="E95" s="226" t="str">
        <f>DAY(表格3_5[[#This Row],[Date]])&amp;""</f>
        <v>23</v>
      </c>
      <c r="F95" s="236">
        <v>46196</v>
      </c>
      <c r="G95" s="232" t="str">
        <f>_xlfn.XLOOKUP(表格3_5[[#This Row],[Name]],Name_list[Full Name],Name_list[Nick Name])</f>
        <v>Margaret</v>
      </c>
      <c r="H95" s="219" t="s">
        <v>943</v>
      </c>
      <c r="I95" s="220" t="s">
        <v>908</v>
      </c>
      <c r="J95" s="221">
        <v>0.47916666666666669</v>
      </c>
      <c r="K95" s="221">
        <v>0.8125</v>
      </c>
      <c r="L95" s="227">
        <f>(表格3_5[[#This Row],[Out-Time]] - 表格3_5[[#This Row],[In-Time]])*24</f>
        <v>8</v>
      </c>
      <c r="M95" s="228">
        <f>表格3_5[[#This Row],[ Hours]]-表格3_5[[#This Row],[Normal working
 hours]]</f>
        <v>0</v>
      </c>
      <c r="N95" s="221">
        <v>0.47916666666666669</v>
      </c>
      <c r="O95" s="221">
        <v>0.8125</v>
      </c>
      <c r="P95" s="229">
        <f>(表格3_5[[#This Row],[Out-Time2]] - 表格3_5[[#This Row],[In-Time2]])*24</f>
        <v>8</v>
      </c>
      <c r="Q95" s="222">
        <v>8</v>
      </c>
      <c r="R95" s="229">
        <f>_xlfn.XLOOKUP(表格3_5[[#This Row],[Name]],Name_list[Full Name],Name_list[Hourr Rate])</f>
        <v>56.25</v>
      </c>
      <c r="S95" s="229">
        <f>表格3_5[[#This Row],[Hours Worked]]*表格3_5[[#This Row],[Hourly Rate]]</f>
        <v>450</v>
      </c>
    </row>
    <row r="96" spans="1:19" ht="18">
      <c r="A96" s="217">
        <v>94</v>
      </c>
      <c r="B96" s="225" t="str">
        <f>_xlfn.CONCAT(表格3_5[[#This Row],[Name]],表格3_5[[#This Row],[Location]])</f>
        <v>Woo Kin MingKwai Fong Fortress</v>
      </c>
      <c r="C96" s="226"/>
      <c r="D96" s="218"/>
      <c r="E96" s="226" t="str">
        <f>DAY(表格3_5[[#This Row],[Date]])&amp;""</f>
        <v>6</v>
      </c>
      <c r="F96" s="236">
        <v>46179</v>
      </c>
      <c r="G96" s="232" t="str">
        <f>_xlfn.XLOOKUP(表格3_5[[#This Row],[Name]],Name_list[Full Name],Name_list[Nick Name])</f>
        <v xml:space="preserve"> Wu Sir</v>
      </c>
      <c r="H96" s="219" t="s">
        <v>959</v>
      </c>
      <c r="I96" s="220" t="s">
        <v>230</v>
      </c>
      <c r="J96" s="221">
        <v>0.5</v>
      </c>
      <c r="K96" s="221">
        <v>0.83333333333333337</v>
      </c>
      <c r="L96" s="227">
        <f>(表格3_5[[#This Row],[Out-Time]] - 表格3_5[[#This Row],[In-Time]])*24</f>
        <v>8</v>
      </c>
      <c r="M96" s="228">
        <f>表格3_5[[#This Row],[ Hours]]-表格3_5[[#This Row],[Normal working
 hours]]</f>
        <v>0</v>
      </c>
      <c r="N96" s="221">
        <v>0.5</v>
      </c>
      <c r="O96" s="221">
        <v>0.83333333333333337</v>
      </c>
      <c r="P96" s="229">
        <f>(表格3_5[[#This Row],[Out-Time2]] - 表格3_5[[#This Row],[In-Time2]])*24</f>
        <v>8</v>
      </c>
      <c r="Q96" s="222">
        <v>8</v>
      </c>
      <c r="R96" s="229">
        <f>_xlfn.XLOOKUP(表格3_5[[#This Row],[Name]],Name_list[Full Name],Name_list[Hourr Rate])</f>
        <v>65</v>
      </c>
      <c r="S96" s="229">
        <f>表格3_5[[#This Row],[Hours Worked]]*表格3_5[[#This Row],[Hourly Rate]]</f>
        <v>520</v>
      </c>
    </row>
    <row r="97" spans="1:19" ht="18">
      <c r="A97" s="217">
        <v>95</v>
      </c>
      <c r="B97" s="225" t="str">
        <f>_xlfn.CONCAT(表格3_5[[#This Row],[Name]],表格3_5[[#This Row],[Location]])</f>
        <v>Woo Kin MingKwai Fong Fortress</v>
      </c>
      <c r="C97" s="226"/>
      <c r="D97" s="218"/>
      <c r="E97" s="226" t="str">
        <f>DAY(表格3_5[[#This Row],[Date]])&amp;""</f>
        <v>7</v>
      </c>
      <c r="F97" s="236">
        <v>46180</v>
      </c>
      <c r="G97" s="232" t="str">
        <f>_xlfn.XLOOKUP(表格3_5[[#This Row],[Name]],Name_list[Full Name],Name_list[Nick Name])</f>
        <v xml:space="preserve"> Wu Sir</v>
      </c>
      <c r="H97" s="219" t="s">
        <v>959</v>
      </c>
      <c r="I97" s="220" t="s">
        <v>230</v>
      </c>
      <c r="J97" s="221">
        <v>0.5</v>
      </c>
      <c r="K97" s="221">
        <v>0.83333333333333337</v>
      </c>
      <c r="L97" s="227">
        <f>(表格3_5[[#This Row],[Out-Time]] - 表格3_5[[#This Row],[In-Time]])*24</f>
        <v>8</v>
      </c>
      <c r="M97" s="228">
        <f>表格3_5[[#This Row],[ Hours]]-表格3_5[[#This Row],[Normal working
 hours]]</f>
        <v>0</v>
      </c>
      <c r="N97" s="221">
        <v>0.5</v>
      </c>
      <c r="O97" s="221">
        <v>0.83333333333333337</v>
      </c>
      <c r="P97" s="229">
        <f>(表格3_5[[#This Row],[Out-Time2]] - 表格3_5[[#This Row],[In-Time2]])*24</f>
        <v>8</v>
      </c>
      <c r="Q97" s="222">
        <v>8</v>
      </c>
      <c r="R97" s="229">
        <f>_xlfn.XLOOKUP(表格3_5[[#This Row],[Name]],Name_list[Full Name],Name_list[Hourr Rate])</f>
        <v>65</v>
      </c>
      <c r="S97" s="229">
        <f>表格3_5[[#This Row],[Hours Worked]]*表格3_5[[#This Row],[Hourly Rate]]</f>
        <v>520</v>
      </c>
    </row>
    <row r="98" spans="1:19" ht="18">
      <c r="A98" s="217">
        <v>96</v>
      </c>
      <c r="B98" s="225" t="str">
        <f>_xlfn.CONCAT(表格3_5[[#This Row],[Name]],表格3_5[[#This Row],[Location]])</f>
        <v>Woo Kin MingKwai Fong Fortress</v>
      </c>
      <c r="C98" s="226"/>
      <c r="D98" s="218"/>
      <c r="E98" s="226" t="str">
        <f>DAY(表格3_5[[#This Row],[Date]])&amp;""</f>
        <v>20</v>
      </c>
      <c r="F98" s="236">
        <v>46193</v>
      </c>
      <c r="G98" s="232" t="str">
        <f>_xlfn.XLOOKUP(表格3_5[[#This Row],[Name]],Name_list[Full Name],Name_list[Nick Name])</f>
        <v xml:space="preserve"> Wu Sir</v>
      </c>
      <c r="H98" s="219" t="s">
        <v>959</v>
      </c>
      <c r="I98" s="220" t="s">
        <v>230</v>
      </c>
      <c r="J98" s="221">
        <v>0.5</v>
      </c>
      <c r="K98" s="221">
        <v>0.83333333333333337</v>
      </c>
      <c r="L98" s="227">
        <f>(表格3_5[[#This Row],[Out-Time]] - 表格3_5[[#This Row],[In-Time]])*24</f>
        <v>8</v>
      </c>
      <c r="M98" s="228">
        <f>表格3_5[[#This Row],[ Hours]]-表格3_5[[#This Row],[Normal working
 hours]]</f>
        <v>0</v>
      </c>
      <c r="N98" s="221">
        <v>0.5</v>
      </c>
      <c r="O98" s="221">
        <v>0.83333333333333337</v>
      </c>
      <c r="P98" s="229">
        <f>(表格3_5[[#This Row],[Out-Time2]] - 表格3_5[[#This Row],[In-Time2]])*24</f>
        <v>8</v>
      </c>
      <c r="Q98" s="222">
        <v>8</v>
      </c>
      <c r="R98" s="229">
        <f>_xlfn.XLOOKUP(表格3_5[[#This Row],[Name]],Name_list[Full Name],Name_list[Hourr Rate])</f>
        <v>65</v>
      </c>
      <c r="S98" s="229">
        <f>表格3_5[[#This Row],[Hours Worked]]*表格3_5[[#This Row],[Hourly Rate]]</f>
        <v>520</v>
      </c>
    </row>
    <row r="99" spans="1:19" ht="18">
      <c r="A99" s="217">
        <v>97</v>
      </c>
      <c r="B99" s="225" t="str">
        <f>_xlfn.CONCAT(表格3_5[[#This Row],[Name]],表格3_5[[#This Row],[Location]])</f>
        <v>Woo Kin MingKwai Fong Fortress</v>
      </c>
      <c r="C99" s="226"/>
      <c r="D99" s="218"/>
      <c r="E99" s="226" t="str">
        <f>DAY(表格3_5[[#This Row],[Date]])&amp;""</f>
        <v>21</v>
      </c>
      <c r="F99" s="236">
        <v>46194</v>
      </c>
      <c r="G99" s="232" t="str">
        <f>_xlfn.XLOOKUP(表格3_5[[#This Row],[Name]],Name_list[Full Name],Name_list[Nick Name])</f>
        <v xml:space="preserve"> Wu Sir</v>
      </c>
      <c r="H99" s="219" t="s">
        <v>959</v>
      </c>
      <c r="I99" s="220" t="s">
        <v>230</v>
      </c>
      <c r="J99" s="221">
        <v>0.5</v>
      </c>
      <c r="K99" s="221">
        <v>0.83333333333333337</v>
      </c>
      <c r="L99" s="227">
        <f>(表格3_5[[#This Row],[Out-Time]] - 表格3_5[[#This Row],[In-Time]])*24</f>
        <v>8</v>
      </c>
      <c r="M99" s="228">
        <f>表格3_5[[#This Row],[ Hours]]-表格3_5[[#This Row],[Normal working
 hours]]</f>
        <v>0</v>
      </c>
      <c r="N99" s="221">
        <v>0.5</v>
      </c>
      <c r="O99" s="221">
        <v>0.83333333333333337</v>
      </c>
      <c r="P99" s="229">
        <f>(表格3_5[[#This Row],[Out-Time2]] - 表格3_5[[#This Row],[In-Time2]])*24</f>
        <v>8</v>
      </c>
      <c r="Q99" s="222">
        <v>8</v>
      </c>
      <c r="R99" s="229">
        <f>_xlfn.XLOOKUP(表格3_5[[#This Row],[Name]],Name_list[Full Name],Name_list[Hourr Rate])</f>
        <v>65</v>
      </c>
      <c r="S99" s="229">
        <f>表格3_5[[#This Row],[Hours Worked]]*表格3_5[[#This Row],[Hourly Rate]]</f>
        <v>520</v>
      </c>
    </row>
    <row r="100" spans="1:19" ht="18">
      <c r="A100" s="217">
        <v>98</v>
      </c>
      <c r="B100" s="225" t="str">
        <f>_xlfn.CONCAT(表格3_5[[#This Row],[Name]],表格3_5[[#This Row],[Location]])</f>
        <v>Woo Kin MingKwai Fong Fortress</v>
      </c>
      <c r="C100" s="226"/>
      <c r="D100" s="218"/>
      <c r="E100" s="226" t="str">
        <f>DAY(表格3_5[[#This Row],[Date]])&amp;""</f>
        <v>27</v>
      </c>
      <c r="F100" s="236">
        <v>46200</v>
      </c>
      <c r="G100" s="232" t="str">
        <f>_xlfn.XLOOKUP(表格3_5[[#This Row],[Name]],Name_list[Full Name],Name_list[Nick Name])</f>
        <v xml:space="preserve"> Wu Sir</v>
      </c>
      <c r="H100" s="219" t="s">
        <v>959</v>
      </c>
      <c r="I100" s="220" t="s">
        <v>230</v>
      </c>
      <c r="J100" s="221">
        <v>0.5</v>
      </c>
      <c r="K100" s="221">
        <v>0.83333333333333337</v>
      </c>
      <c r="L100" s="227">
        <f>(表格3_5[[#This Row],[Out-Time]] - 表格3_5[[#This Row],[In-Time]])*24</f>
        <v>8</v>
      </c>
      <c r="M100" s="228">
        <f>表格3_5[[#This Row],[ Hours]]-表格3_5[[#This Row],[Normal working
 hours]]</f>
        <v>0</v>
      </c>
      <c r="N100" s="221">
        <v>0.5</v>
      </c>
      <c r="O100" s="221">
        <v>0.83333333333333337</v>
      </c>
      <c r="P100" s="229">
        <f>(表格3_5[[#This Row],[Out-Time2]] - 表格3_5[[#This Row],[In-Time2]])*24</f>
        <v>8</v>
      </c>
      <c r="Q100" s="222">
        <v>8</v>
      </c>
      <c r="R100" s="229">
        <f>_xlfn.XLOOKUP(表格3_5[[#This Row],[Name]],Name_list[Full Name],Name_list[Hourr Rate])</f>
        <v>65</v>
      </c>
      <c r="S100" s="229">
        <f>表格3_5[[#This Row],[Hours Worked]]*表格3_5[[#This Row],[Hourly Rate]]</f>
        <v>520</v>
      </c>
    </row>
    <row r="101" spans="1:19" ht="18">
      <c r="A101" s="217">
        <v>99</v>
      </c>
      <c r="B101" s="225" t="str">
        <f>_xlfn.CONCAT(表格3_5[[#This Row],[Name]],表格3_5[[#This Row],[Location]])</f>
        <v>Woo Kin MingKwai Fong Fortress</v>
      </c>
      <c r="C101" s="226"/>
      <c r="D101" s="218"/>
      <c r="E101" s="226" t="str">
        <f>DAY(表格3_5[[#This Row],[Date]])&amp;""</f>
        <v>28</v>
      </c>
      <c r="F101" s="236">
        <v>46201</v>
      </c>
      <c r="G101" s="232" t="str">
        <f>_xlfn.XLOOKUP(表格3_5[[#This Row],[Name]],Name_list[Full Name],Name_list[Nick Name])</f>
        <v xml:space="preserve"> Wu Sir</v>
      </c>
      <c r="H101" s="219" t="s">
        <v>959</v>
      </c>
      <c r="I101" s="220" t="s">
        <v>230</v>
      </c>
      <c r="J101" s="221">
        <v>0.5</v>
      </c>
      <c r="K101" s="221">
        <v>0.83333333333333337</v>
      </c>
      <c r="L101" s="227">
        <f>(表格3_5[[#This Row],[Out-Time]] - 表格3_5[[#This Row],[In-Time]])*24</f>
        <v>8</v>
      </c>
      <c r="M101" s="228">
        <f>表格3_5[[#This Row],[ Hours]]-表格3_5[[#This Row],[Normal working
 hours]]</f>
        <v>0</v>
      </c>
      <c r="N101" s="221">
        <v>0.5</v>
      </c>
      <c r="O101" s="221">
        <v>0.83333333333333337</v>
      </c>
      <c r="P101" s="229">
        <f>(表格3_5[[#This Row],[Out-Time2]] - 表格3_5[[#This Row],[In-Time2]])*24</f>
        <v>8</v>
      </c>
      <c r="Q101" s="222">
        <v>8</v>
      </c>
      <c r="R101" s="229">
        <f>_xlfn.XLOOKUP(表格3_5[[#This Row],[Name]],Name_list[Full Name],Name_list[Hourr Rate])</f>
        <v>65</v>
      </c>
      <c r="S101" s="229">
        <f>表格3_5[[#This Row],[Hours Worked]]*表格3_5[[#This Row],[Hourly Rate]]</f>
        <v>520</v>
      </c>
    </row>
    <row r="102" spans="1:19" ht="18">
      <c r="A102" s="217">
        <v>100</v>
      </c>
      <c r="B102" s="225" t="str">
        <f>_xlfn.CONCAT(表格3_5[[#This Row],[Name]],表格3_5[[#This Row],[Location]])</f>
        <v>Chan Tung PanTsing Yi Fortress</v>
      </c>
      <c r="C102" s="226"/>
      <c r="D102" s="218"/>
      <c r="E102" s="226" t="str">
        <f>DAY(表格3_5[[#This Row],[Date]])&amp;""</f>
        <v>5</v>
      </c>
      <c r="F102" s="236">
        <v>46178</v>
      </c>
      <c r="G102" s="232" t="str">
        <f>_xlfn.XLOOKUP(表格3_5[[#This Row],[Name]],Name_list[Full Name],Name_list[Nick Name])</f>
        <v>Tammy</v>
      </c>
      <c r="H102" s="219" t="s">
        <v>1018</v>
      </c>
      <c r="I102" s="220" t="s">
        <v>968</v>
      </c>
      <c r="J102" s="221">
        <v>0.5</v>
      </c>
      <c r="K102" s="221">
        <v>0.83333333333333337</v>
      </c>
      <c r="L102" s="227">
        <f>(表格3_5[[#This Row],[Out-Time]] - 表格3_5[[#This Row],[In-Time]])*24</f>
        <v>8</v>
      </c>
      <c r="M102" s="228">
        <f>表格3_5[[#This Row],[ Hours]]-表格3_5[[#This Row],[Normal working
 hours]]</f>
        <v>0</v>
      </c>
      <c r="N102" s="221">
        <v>0.5</v>
      </c>
      <c r="O102" s="221">
        <v>0.83333333333333337</v>
      </c>
      <c r="P102" s="229">
        <f>(表格3_5[[#This Row],[Out-Time2]] - 表格3_5[[#This Row],[In-Time2]])*24</f>
        <v>8</v>
      </c>
      <c r="Q102" s="222">
        <v>8</v>
      </c>
      <c r="R102" s="229">
        <f>_xlfn.XLOOKUP(表格3_5[[#This Row],[Name]],Name_list[Full Name],Name_list[Hourr Rate])</f>
        <v>60</v>
      </c>
      <c r="S102" s="229">
        <f>表格3_5[[#This Row],[Hours Worked]]*表格3_5[[#This Row],[Hourly Rate]]</f>
        <v>480</v>
      </c>
    </row>
    <row r="103" spans="1:19" ht="18">
      <c r="A103" s="217">
        <v>101</v>
      </c>
      <c r="B103" s="225" t="str">
        <f>_xlfn.CONCAT(表格3_5[[#This Row],[Name]],表格3_5[[#This Row],[Location]])</f>
        <v>Chan Tung PanTsing Yi Fortress</v>
      </c>
      <c r="C103" s="226"/>
      <c r="D103" s="218"/>
      <c r="E103" s="226" t="str">
        <f>DAY(表格3_5[[#This Row],[Date]])&amp;""</f>
        <v>6</v>
      </c>
      <c r="F103" s="236">
        <v>46179</v>
      </c>
      <c r="G103" s="232" t="str">
        <f>_xlfn.XLOOKUP(表格3_5[[#This Row],[Name]],Name_list[Full Name],Name_list[Nick Name])</f>
        <v>Tammy</v>
      </c>
      <c r="H103" s="219" t="s">
        <v>1018</v>
      </c>
      <c r="I103" s="220" t="s">
        <v>968</v>
      </c>
      <c r="J103" s="221">
        <v>0.5</v>
      </c>
      <c r="K103" s="221">
        <v>0.83333333333333337</v>
      </c>
      <c r="L103" s="227">
        <f>(表格3_5[[#This Row],[Out-Time]] - 表格3_5[[#This Row],[In-Time]])*24</f>
        <v>8</v>
      </c>
      <c r="M103" s="228">
        <f>表格3_5[[#This Row],[ Hours]]-表格3_5[[#This Row],[Normal working
 hours]]</f>
        <v>0</v>
      </c>
      <c r="N103" s="221">
        <v>0.5</v>
      </c>
      <c r="O103" s="221">
        <v>0.83333333333333337</v>
      </c>
      <c r="P103" s="229">
        <f>(表格3_5[[#This Row],[Out-Time2]] - 表格3_5[[#This Row],[In-Time2]])*24</f>
        <v>8</v>
      </c>
      <c r="Q103" s="222">
        <v>8</v>
      </c>
      <c r="R103" s="229">
        <f>_xlfn.XLOOKUP(表格3_5[[#This Row],[Name]],Name_list[Full Name],Name_list[Hourr Rate])</f>
        <v>60</v>
      </c>
      <c r="S103" s="229">
        <f>表格3_5[[#This Row],[Hours Worked]]*表格3_5[[#This Row],[Hourly Rate]]</f>
        <v>480</v>
      </c>
    </row>
    <row r="104" spans="1:19" ht="18">
      <c r="A104" s="217">
        <v>102</v>
      </c>
      <c r="B104" s="225" t="str">
        <f>_xlfn.CONCAT(表格3_5[[#This Row],[Name]],表格3_5[[#This Row],[Location]])</f>
        <v>Chan Tung PanTsing Yi Fortress</v>
      </c>
      <c r="C104" s="226"/>
      <c r="D104" s="218"/>
      <c r="E104" s="226" t="str">
        <f>DAY(表格3_5[[#This Row],[Date]])&amp;""</f>
        <v>7</v>
      </c>
      <c r="F104" s="236">
        <v>46180</v>
      </c>
      <c r="G104" s="232" t="str">
        <f>_xlfn.XLOOKUP(表格3_5[[#This Row],[Name]],Name_list[Full Name],Name_list[Nick Name])</f>
        <v>Tammy</v>
      </c>
      <c r="H104" s="219" t="s">
        <v>1018</v>
      </c>
      <c r="I104" s="220" t="s">
        <v>968</v>
      </c>
      <c r="J104" s="221">
        <v>0.5</v>
      </c>
      <c r="K104" s="221">
        <v>0.83333333333333337</v>
      </c>
      <c r="L104" s="227">
        <f>(表格3_5[[#This Row],[Out-Time]] - 表格3_5[[#This Row],[In-Time]])*24</f>
        <v>8</v>
      </c>
      <c r="M104" s="228">
        <f>表格3_5[[#This Row],[ Hours]]-表格3_5[[#This Row],[Normal working
 hours]]</f>
        <v>0</v>
      </c>
      <c r="N104" s="221">
        <v>0.5</v>
      </c>
      <c r="O104" s="221">
        <v>0.83333333333333337</v>
      </c>
      <c r="P104" s="229">
        <f>(表格3_5[[#This Row],[Out-Time2]] - 表格3_5[[#This Row],[In-Time2]])*24</f>
        <v>8</v>
      </c>
      <c r="Q104" s="222">
        <v>8</v>
      </c>
      <c r="R104" s="229">
        <f>_xlfn.XLOOKUP(表格3_5[[#This Row],[Name]],Name_list[Full Name],Name_list[Hourr Rate])</f>
        <v>60</v>
      </c>
      <c r="S104" s="229">
        <f>表格3_5[[#This Row],[Hours Worked]]*表格3_5[[#This Row],[Hourly Rate]]</f>
        <v>480</v>
      </c>
    </row>
    <row r="105" spans="1:19" ht="18">
      <c r="A105" s="217">
        <v>103</v>
      </c>
      <c r="B105" s="225" t="str">
        <f>_xlfn.CONCAT(表格3_5[[#This Row],[Name]],表格3_5[[#This Row],[Location]])</f>
        <v>Chan Tung PanTsing Yi Fortress</v>
      </c>
      <c r="C105" s="226"/>
      <c r="D105" s="218"/>
      <c r="E105" s="226" t="str">
        <f>DAY(表格3_5[[#This Row],[Date]])&amp;""</f>
        <v>12</v>
      </c>
      <c r="F105" s="236">
        <v>46185</v>
      </c>
      <c r="G105" s="232" t="str">
        <f>_xlfn.XLOOKUP(表格3_5[[#This Row],[Name]],Name_list[Full Name],Name_list[Nick Name])</f>
        <v>Tammy</v>
      </c>
      <c r="H105" s="219" t="s">
        <v>1018</v>
      </c>
      <c r="I105" s="220" t="s">
        <v>968</v>
      </c>
      <c r="J105" s="221">
        <v>0.5</v>
      </c>
      <c r="K105" s="221">
        <v>0.83333333333333337</v>
      </c>
      <c r="L105" s="227">
        <f>(表格3_5[[#This Row],[Out-Time]] - 表格3_5[[#This Row],[In-Time]])*24</f>
        <v>8</v>
      </c>
      <c r="M105" s="228">
        <f>表格3_5[[#This Row],[ Hours]]-表格3_5[[#This Row],[Normal working
 hours]]</f>
        <v>0</v>
      </c>
      <c r="N105" s="221">
        <v>0.5</v>
      </c>
      <c r="O105" s="221">
        <v>0.83333333333333337</v>
      </c>
      <c r="P105" s="229">
        <f>(表格3_5[[#This Row],[Out-Time2]] - 表格3_5[[#This Row],[In-Time2]])*24</f>
        <v>8</v>
      </c>
      <c r="Q105" s="222">
        <v>8</v>
      </c>
      <c r="R105" s="229">
        <f>_xlfn.XLOOKUP(表格3_5[[#This Row],[Name]],Name_list[Full Name],Name_list[Hourr Rate])</f>
        <v>60</v>
      </c>
      <c r="S105" s="229">
        <f>表格3_5[[#This Row],[Hours Worked]]*表格3_5[[#This Row],[Hourly Rate]]</f>
        <v>480</v>
      </c>
    </row>
    <row r="106" spans="1:19" ht="18">
      <c r="A106" s="217">
        <v>104</v>
      </c>
      <c r="B106" s="225" t="str">
        <f>_xlfn.CONCAT(表格3_5[[#This Row],[Name]],表格3_5[[#This Row],[Location]])</f>
        <v>Chan Tung PanTsing Yi Fortress</v>
      </c>
      <c r="C106" s="226"/>
      <c r="D106" s="218"/>
      <c r="E106" s="226" t="str">
        <f>DAY(表格3_5[[#This Row],[Date]])&amp;""</f>
        <v>13</v>
      </c>
      <c r="F106" s="236">
        <v>46186</v>
      </c>
      <c r="G106" s="232" t="str">
        <f>_xlfn.XLOOKUP(表格3_5[[#This Row],[Name]],Name_list[Full Name],Name_list[Nick Name])</f>
        <v>Tammy</v>
      </c>
      <c r="H106" s="219" t="s">
        <v>1018</v>
      </c>
      <c r="I106" s="220" t="s">
        <v>968</v>
      </c>
      <c r="J106" s="221">
        <v>0.5</v>
      </c>
      <c r="K106" s="221">
        <v>0.83333333333333337</v>
      </c>
      <c r="L106" s="227">
        <f>(表格3_5[[#This Row],[Out-Time]] - 表格3_5[[#This Row],[In-Time]])*24</f>
        <v>8</v>
      </c>
      <c r="M106" s="228">
        <f>表格3_5[[#This Row],[ Hours]]-表格3_5[[#This Row],[Normal working
 hours]]</f>
        <v>0</v>
      </c>
      <c r="N106" s="221">
        <v>0.5</v>
      </c>
      <c r="O106" s="221">
        <v>0.83333333333333337</v>
      </c>
      <c r="P106" s="229">
        <f>(表格3_5[[#This Row],[Out-Time2]] - 表格3_5[[#This Row],[In-Time2]])*24</f>
        <v>8</v>
      </c>
      <c r="Q106" s="222">
        <v>8</v>
      </c>
      <c r="R106" s="229">
        <f>_xlfn.XLOOKUP(表格3_5[[#This Row],[Name]],Name_list[Full Name],Name_list[Hourr Rate])</f>
        <v>60</v>
      </c>
      <c r="S106" s="229">
        <f>表格3_5[[#This Row],[Hours Worked]]*表格3_5[[#This Row],[Hourly Rate]]</f>
        <v>480</v>
      </c>
    </row>
    <row r="107" spans="1:19" ht="18">
      <c r="A107" s="217">
        <v>105</v>
      </c>
      <c r="B107" s="225" t="str">
        <f>_xlfn.CONCAT(表格3_5[[#This Row],[Name]],表格3_5[[#This Row],[Location]])</f>
        <v>Chan Tung PanTsing Yi Fortress</v>
      </c>
      <c r="C107" s="226"/>
      <c r="D107" s="218"/>
      <c r="E107" s="226" t="str">
        <f>DAY(表格3_5[[#This Row],[Date]])&amp;""</f>
        <v>14</v>
      </c>
      <c r="F107" s="236">
        <v>46187</v>
      </c>
      <c r="G107" s="232" t="str">
        <f>_xlfn.XLOOKUP(表格3_5[[#This Row],[Name]],Name_list[Full Name],Name_list[Nick Name])</f>
        <v>Tammy</v>
      </c>
      <c r="H107" s="219" t="s">
        <v>1018</v>
      </c>
      <c r="I107" s="220" t="s">
        <v>968</v>
      </c>
      <c r="J107" s="221">
        <v>0.5</v>
      </c>
      <c r="K107" s="221">
        <v>0.83333333333333337</v>
      </c>
      <c r="L107" s="227">
        <f>(表格3_5[[#This Row],[Out-Time]] - 表格3_5[[#This Row],[In-Time]])*24</f>
        <v>8</v>
      </c>
      <c r="M107" s="228">
        <f>表格3_5[[#This Row],[ Hours]]-表格3_5[[#This Row],[Normal working
 hours]]</f>
        <v>0</v>
      </c>
      <c r="N107" s="221">
        <v>0.5</v>
      </c>
      <c r="O107" s="221">
        <v>0.83333333333333337</v>
      </c>
      <c r="P107" s="229">
        <f>(表格3_5[[#This Row],[Out-Time2]] - 表格3_5[[#This Row],[In-Time2]])*24</f>
        <v>8</v>
      </c>
      <c r="Q107" s="222">
        <v>8</v>
      </c>
      <c r="R107" s="229">
        <f>_xlfn.XLOOKUP(表格3_5[[#This Row],[Name]],Name_list[Full Name],Name_list[Hourr Rate])</f>
        <v>60</v>
      </c>
      <c r="S107" s="229">
        <f>表格3_5[[#This Row],[Hours Worked]]*表格3_5[[#This Row],[Hourly Rate]]</f>
        <v>480</v>
      </c>
    </row>
    <row r="108" spans="1:19" ht="18">
      <c r="A108" s="217">
        <v>106</v>
      </c>
      <c r="B108" s="225" t="str">
        <f>_xlfn.CONCAT(表格3_5[[#This Row],[Name]],表格3_5[[#This Row],[Location]])</f>
        <v>Chan Tung PanTsing Yi Fortress</v>
      </c>
      <c r="C108" s="226"/>
      <c r="D108" s="218"/>
      <c r="E108" s="226" t="str">
        <f>DAY(表格3_5[[#This Row],[Date]])&amp;""</f>
        <v>19</v>
      </c>
      <c r="F108" s="236">
        <v>46192</v>
      </c>
      <c r="G108" s="232" t="str">
        <f>_xlfn.XLOOKUP(表格3_5[[#This Row],[Name]],Name_list[Full Name],Name_list[Nick Name])</f>
        <v>Tammy</v>
      </c>
      <c r="H108" s="219" t="s">
        <v>1018</v>
      </c>
      <c r="I108" s="220" t="s">
        <v>968</v>
      </c>
      <c r="J108" s="221">
        <v>0.5</v>
      </c>
      <c r="K108" s="221">
        <v>0.875</v>
      </c>
      <c r="L108" s="227">
        <f>(表格3_5[[#This Row],[Out-Time]] - 表格3_5[[#This Row],[In-Time]])*24</f>
        <v>9</v>
      </c>
      <c r="M108" s="228">
        <f>表格3_5[[#This Row],[ Hours]]-表格3_5[[#This Row],[Normal working
 hours]]</f>
        <v>0</v>
      </c>
      <c r="N108" s="221">
        <v>0.5</v>
      </c>
      <c r="O108" s="221">
        <v>0.875</v>
      </c>
      <c r="P108" s="229">
        <f>(表格3_5[[#This Row],[Out-Time2]] - 表格3_5[[#This Row],[In-Time2]])*24</f>
        <v>9</v>
      </c>
      <c r="Q108" s="222">
        <v>9</v>
      </c>
      <c r="R108" s="229">
        <f>_xlfn.XLOOKUP(表格3_5[[#This Row],[Name]],Name_list[Full Name],Name_list[Hourr Rate])</f>
        <v>60</v>
      </c>
      <c r="S108" s="229">
        <f>表格3_5[[#This Row],[Hours Worked]]*表格3_5[[#This Row],[Hourly Rate]]</f>
        <v>540</v>
      </c>
    </row>
    <row r="109" spans="1:19" ht="18">
      <c r="A109" s="217">
        <v>107</v>
      </c>
      <c r="B109" s="225" t="str">
        <f>_xlfn.CONCAT(表格3_5[[#This Row],[Name]],表格3_5[[#This Row],[Location]])</f>
        <v>Chan Tung PanTsing Yi Fortress</v>
      </c>
      <c r="C109" s="226"/>
      <c r="D109" s="218"/>
      <c r="E109" s="226" t="str">
        <f>DAY(表格3_5[[#This Row],[Date]])&amp;""</f>
        <v>20</v>
      </c>
      <c r="F109" s="236">
        <v>46193</v>
      </c>
      <c r="G109" s="232" t="str">
        <f>_xlfn.XLOOKUP(表格3_5[[#This Row],[Name]],Name_list[Full Name],Name_list[Nick Name])</f>
        <v>Tammy</v>
      </c>
      <c r="H109" s="219" t="s">
        <v>1018</v>
      </c>
      <c r="I109" s="220" t="s">
        <v>968</v>
      </c>
      <c r="J109" s="221">
        <v>0.45833333333333331</v>
      </c>
      <c r="K109" s="221">
        <v>0.87361111111111112</v>
      </c>
      <c r="L109" s="227">
        <f>(表格3_5[[#This Row],[Out-Time]] - 表格3_5[[#This Row],[In-Time]])*24</f>
        <v>9.9666666666666668</v>
      </c>
      <c r="M109" s="228">
        <f>表格3_5[[#This Row],[ Hours]]-表格3_5[[#This Row],[Normal working
 hours]]</f>
        <v>-3.3333333333333215E-2</v>
      </c>
      <c r="N109" s="221">
        <v>0.45833333333333331</v>
      </c>
      <c r="O109" s="221">
        <v>0.875</v>
      </c>
      <c r="P109" s="229">
        <f>(表格3_5[[#This Row],[Out-Time2]] - 表格3_5[[#This Row],[In-Time2]])*24</f>
        <v>10</v>
      </c>
      <c r="Q109" s="222">
        <v>10</v>
      </c>
      <c r="R109" s="229">
        <f>_xlfn.XLOOKUP(表格3_5[[#This Row],[Name]],Name_list[Full Name],Name_list[Hourr Rate])</f>
        <v>60</v>
      </c>
      <c r="S109" s="229">
        <f>表格3_5[[#This Row],[Hours Worked]]*表格3_5[[#This Row],[Hourly Rate]]</f>
        <v>600</v>
      </c>
    </row>
    <row r="110" spans="1:19" ht="18">
      <c r="A110" s="217">
        <v>108</v>
      </c>
      <c r="B110" s="225" t="str">
        <f>_xlfn.CONCAT(表格3_5[[#This Row],[Name]],表格3_5[[#This Row],[Location]])</f>
        <v>Chan Tung PanTsing Yi Fortress</v>
      </c>
      <c r="C110" s="226"/>
      <c r="D110" s="218"/>
      <c r="E110" s="226" t="str">
        <f>DAY(表格3_5[[#This Row],[Date]])&amp;""</f>
        <v>21</v>
      </c>
      <c r="F110" s="236">
        <v>46194</v>
      </c>
      <c r="G110" s="232" t="str">
        <f>_xlfn.XLOOKUP(表格3_5[[#This Row],[Name]],Name_list[Full Name],Name_list[Nick Name])</f>
        <v>Tammy</v>
      </c>
      <c r="H110" s="219" t="s">
        <v>1018</v>
      </c>
      <c r="I110" s="220" t="s">
        <v>968</v>
      </c>
      <c r="J110" s="221">
        <v>0.45833333333333331</v>
      </c>
      <c r="K110" s="221">
        <v>0.84375</v>
      </c>
      <c r="L110" s="227">
        <f>(表格3_5[[#This Row],[Out-Time]] - 表格3_5[[#This Row],[In-Time]])*24</f>
        <v>9.25</v>
      </c>
      <c r="M110" s="228">
        <f>表格3_5[[#This Row],[ Hours]]-表格3_5[[#This Row],[Normal working
 hours]]</f>
        <v>0</v>
      </c>
      <c r="N110" s="221">
        <v>0.45833333333333331</v>
      </c>
      <c r="O110" s="221">
        <v>0.84375</v>
      </c>
      <c r="P110" s="229">
        <f>(表格3_5[[#This Row],[Out-Time2]] - 表格3_5[[#This Row],[In-Time2]])*24</f>
        <v>9.25</v>
      </c>
      <c r="Q110" s="222">
        <v>9</v>
      </c>
      <c r="R110" s="229">
        <f>_xlfn.XLOOKUP(表格3_5[[#This Row],[Name]],Name_list[Full Name],Name_list[Hourr Rate])</f>
        <v>60</v>
      </c>
      <c r="S110" s="229">
        <f>表格3_5[[#This Row],[Hours Worked]]*表格3_5[[#This Row],[Hourly Rate]]</f>
        <v>540</v>
      </c>
    </row>
    <row r="111" spans="1:19" ht="18">
      <c r="A111" s="217">
        <v>109</v>
      </c>
      <c r="B111" s="225" t="str">
        <f>_xlfn.CONCAT(表格3_5[[#This Row],[Name]],表格3_5[[#This Row],[Location]])</f>
        <v>Mok Yun Mei MarineTuen Mun Broadway</v>
      </c>
      <c r="C111" s="226"/>
      <c r="D111" s="218"/>
      <c r="E111" s="226" t="str">
        <f>DAY(表格3_5[[#This Row],[Date]])&amp;""</f>
        <v>4</v>
      </c>
      <c r="F111" s="236">
        <v>46177</v>
      </c>
      <c r="G111" s="232" t="str">
        <f>_xlfn.XLOOKUP(表格3_5[[#This Row],[Name]],Name_list[Full Name],Name_list[Nick Name])</f>
        <v>May M</v>
      </c>
      <c r="H111" s="219" t="s">
        <v>1021</v>
      </c>
      <c r="I111" s="220" t="s">
        <v>905</v>
      </c>
      <c r="J111" s="221">
        <v>0.5</v>
      </c>
      <c r="K111" s="221">
        <v>0.83333333333333337</v>
      </c>
      <c r="L111" s="227">
        <f>(表格3_5[[#This Row],[Out-Time]] - 表格3_5[[#This Row],[In-Time]])*24</f>
        <v>8</v>
      </c>
      <c r="M111" s="228">
        <f>表格3_5[[#This Row],[ Hours]]-表格3_5[[#This Row],[Normal working
 hours]]</f>
        <v>0</v>
      </c>
      <c r="N111" s="221">
        <v>0.5</v>
      </c>
      <c r="O111" s="221">
        <v>0.83333333333333337</v>
      </c>
      <c r="P111" s="229">
        <f>(表格3_5[[#This Row],[Out-Time2]] - 表格3_5[[#This Row],[In-Time2]])*24</f>
        <v>8</v>
      </c>
      <c r="Q111" s="222">
        <v>8</v>
      </c>
      <c r="R111" s="229">
        <f>_xlfn.XLOOKUP(表格3_5[[#This Row],[Name]],Name_list[Full Name],Name_list[Hourr Rate])</f>
        <v>56.25</v>
      </c>
      <c r="S111" s="229">
        <f>表格3_5[[#This Row],[Hours Worked]]*表格3_5[[#This Row],[Hourly Rate]]</f>
        <v>450</v>
      </c>
    </row>
    <row r="112" spans="1:19" ht="18">
      <c r="A112" s="217">
        <v>110</v>
      </c>
      <c r="B112" s="225" t="str">
        <f>_xlfn.CONCAT(表格3_5[[#This Row],[Name]],表格3_5[[#This Row],[Location]])</f>
        <v>Mok Yun Mei MarineTuen Mun Broadway</v>
      </c>
      <c r="C112" s="226"/>
      <c r="D112" s="218"/>
      <c r="E112" s="226" t="str">
        <f>DAY(表格3_5[[#This Row],[Date]])&amp;""</f>
        <v>5</v>
      </c>
      <c r="F112" s="236">
        <v>46178</v>
      </c>
      <c r="G112" s="232" t="str">
        <f>_xlfn.XLOOKUP(表格3_5[[#This Row],[Name]],Name_list[Full Name],Name_list[Nick Name])</f>
        <v>May M</v>
      </c>
      <c r="H112" s="219" t="s">
        <v>1021</v>
      </c>
      <c r="I112" s="220" t="s">
        <v>905</v>
      </c>
      <c r="J112" s="221">
        <v>0.5</v>
      </c>
      <c r="K112" s="221">
        <v>0.83333333333333337</v>
      </c>
      <c r="L112" s="227">
        <f>(表格3_5[[#This Row],[Out-Time]] - 表格3_5[[#This Row],[In-Time]])*24</f>
        <v>8</v>
      </c>
      <c r="M112" s="228">
        <f>表格3_5[[#This Row],[ Hours]]-表格3_5[[#This Row],[Normal working
 hours]]</f>
        <v>0</v>
      </c>
      <c r="N112" s="221">
        <v>0.5</v>
      </c>
      <c r="O112" s="221">
        <v>0.83333333333333337</v>
      </c>
      <c r="P112" s="229">
        <f>(表格3_5[[#This Row],[Out-Time2]] - 表格3_5[[#This Row],[In-Time2]])*24</f>
        <v>8</v>
      </c>
      <c r="Q112" s="222">
        <v>8</v>
      </c>
      <c r="R112" s="229">
        <f>_xlfn.XLOOKUP(表格3_5[[#This Row],[Name]],Name_list[Full Name],Name_list[Hourr Rate])</f>
        <v>56.25</v>
      </c>
      <c r="S112" s="229">
        <f>表格3_5[[#This Row],[Hours Worked]]*表格3_5[[#This Row],[Hourly Rate]]</f>
        <v>450</v>
      </c>
    </row>
    <row r="113" spans="1:19" ht="18">
      <c r="A113" s="217">
        <v>111</v>
      </c>
      <c r="B113" s="225" t="str">
        <f>_xlfn.CONCAT(表格3_5[[#This Row],[Name]],表格3_5[[#This Row],[Location]])</f>
        <v>Mok Yun Mei MarineTuen Mun Broadway</v>
      </c>
      <c r="C113" s="226"/>
      <c r="D113" s="218"/>
      <c r="E113" s="226" t="str">
        <f>DAY(表格3_5[[#This Row],[Date]])&amp;""</f>
        <v>6</v>
      </c>
      <c r="F113" s="236">
        <v>46179</v>
      </c>
      <c r="G113" s="232" t="str">
        <f>_xlfn.XLOOKUP(表格3_5[[#This Row],[Name]],Name_list[Full Name],Name_list[Nick Name])</f>
        <v>May M</v>
      </c>
      <c r="H113" s="219" t="s">
        <v>1021</v>
      </c>
      <c r="I113" s="220" t="s">
        <v>905</v>
      </c>
      <c r="J113" s="221">
        <v>0.5</v>
      </c>
      <c r="K113" s="221">
        <v>0.83333333333333337</v>
      </c>
      <c r="L113" s="227">
        <f>(表格3_5[[#This Row],[Out-Time]] - 表格3_5[[#This Row],[In-Time]])*24</f>
        <v>8</v>
      </c>
      <c r="M113" s="228">
        <f>表格3_5[[#This Row],[ Hours]]-表格3_5[[#This Row],[Normal working
 hours]]</f>
        <v>0</v>
      </c>
      <c r="N113" s="221">
        <v>0.5</v>
      </c>
      <c r="O113" s="221">
        <v>0.83333333333333304</v>
      </c>
      <c r="P113" s="229">
        <f>(表格3_5[[#This Row],[Out-Time2]] - 表格3_5[[#This Row],[In-Time2]])*24</f>
        <v>7.9999999999999929</v>
      </c>
      <c r="Q113" s="222">
        <v>8</v>
      </c>
      <c r="R113" s="229">
        <f>_xlfn.XLOOKUP(表格3_5[[#This Row],[Name]],Name_list[Full Name],Name_list[Hourr Rate])</f>
        <v>56.25</v>
      </c>
      <c r="S113" s="229">
        <f>表格3_5[[#This Row],[Hours Worked]]*表格3_5[[#This Row],[Hourly Rate]]</f>
        <v>450</v>
      </c>
    </row>
    <row r="114" spans="1:19" ht="18">
      <c r="A114" s="217">
        <v>112</v>
      </c>
      <c r="B114" s="225" t="str">
        <f>_xlfn.CONCAT(表格3_5[[#This Row],[Name]],表格3_5[[#This Row],[Location]])</f>
        <v>Mok Yun Mei MarineTuen Mun Broadway</v>
      </c>
      <c r="C114" s="226"/>
      <c r="D114" s="218"/>
      <c r="E114" s="226" t="str">
        <f>DAY(表格3_5[[#This Row],[Date]])&amp;""</f>
        <v>7</v>
      </c>
      <c r="F114" s="236">
        <v>46180</v>
      </c>
      <c r="G114" s="232" t="str">
        <f>_xlfn.XLOOKUP(表格3_5[[#This Row],[Name]],Name_list[Full Name],Name_list[Nick Name])</f>
        <v>May M</v>
      </c>
      <c r="H114" s="219" t="s">
        <v>1021</v>
      </c>
      <c r="I114" s="220" t="s">
        <v>905</v>
      </c>
      <c r="J114" s="221">
        <v>0.5</v>
      </c>
      <c r="K114" s="221">
        <v>0.83333333333333337</v>
      </c>
      <c r="L114" s="227">
        <f>(表格3_5[[#This Row],[Out-Time]] - 表格3_5[[#This Row],[In-Time]])*24</f>
        <v>8</v>
      </c>
      <c r="M114" s="228">
        <f>表格3_5[[#This Row],[ Hours]]-表格3_5[[#This Row],[Normal working
 hours]]</f>
        <v>0</v>
      </c>
      <c r="N114" s="221">
        <v>0.5</v>
      </c>
      <c r="O114" s="221">
        <v>0.83333333333333304</v>
      </c>
      <c r="P114" s="229">
        <f>(表格3_5[[#This Row],[Out-Time2]] - 表格3_5[[#This Row],[In-Time2]])*24</f>
        <v>7.9999999999999929</v>
      </c>
      <c r="Q114" s="222">
        <v>8</v>
      </c>
      <c r="R114" s="229">
        <f>_xlfn.XLOOKUP(表格3_5[[#This Row],[Name]],Name_list[Full Name],Name_list[Hourr Rate])</f>
        <v>56.25</v>
      </c>
      <c r="S114" s="229">
        <f>表格3_5[[#This Row],[Hours Worked]]*表格3_5[[#This Row],[Hourly Rate]]</f>
        <v>450</v>
      </c>
    </row>
    <row r="115" spans="1:19" ht="18">
      <c r="A115" s="217">
        <v>113</v>
      </c>
      <c r="B115" s="225" t="str">
        <f>_xlfn.CONCAT(表格3_5[[#This Row],[Name]],表格3_5[[#This Row],[Location]])</f>
        <v>Mok Yun Mei MarineTuen Mun Broadway</v>
      </c>
      <c r="C115" s="226"/>
      <c r="D115" s="218"/>
      <c r="E115" s="226" t="str">
        <f>DAY(表格3_5[[#This Row],[Date]])&amp;""</f>
        <v>11</v>
      </c>
      <c r="F115" s="236">
        <v>46184</v>
      </c>
      <c r="G115" s="232" t="str">
        <f>_xlfn.XLOOKUP(表格3_5[[#This Row],[Name]],Name_list[Full Name],Name_list[Nick Name])</f>
        <v>May M</v>
      </c>
      <c r="H115" s="219" t="s">
        <v>1021</v>
      </c>
      <c r="I115" s="220" t="s">
        <v>905</v>
      </c>
      <c r="J115" s="221">
        <v>0.5</v>
      </c>
      <c r="K115" s="221">
        <v>0.83333333333333337</v>
      </c>
      <c r="L115" s="227">
        <f>(表格3_5[[#This Row],[Out-Time]] - 表格3_5[[#This Row],[In-Time]])*24</f>
        <v>8</v>
      </c>
      <c r="M115" s="228">
        <f>表格3_5[[#This Row],[ Hours]]-表格3_5[[#This Row],[Normal working
 hours]]</f>
        <v>0</v>
      </c>
      <c r="N115" s="221">
        <v>0.5</v>
      </c>
      <c r="O115" s="221">
        <v>0.83333333333333304</v>
      </c>
      <c r="P115" s="229">
        <f>(表格3_5[[#This Row],[Out-Time2]] - 表格3_5[[#This Row],[In-Time2]])*24</f>
        <v>7.9999999999999929</v>
      </c>
      <c r="Q115" s="222">
        <v>8</v>
      </c>
      <c r="R115" s="229">
        <f>_xlfn.XLOOKUP(表格3_5[[#This Row],[Name]],Name_list[Full Name],Name_list[Hourr Rate])</f>
        <v>56.25</v>
      </c>
      <c r="S115" s="229">
        <f>表格3_5[[#This Row],[Hours Worked]]*表格3_5[[#This Row],[Hourly Rate]]</f>
        <v>450</v>
      </c>
    </row>
    <row r="116" spans="1:19" ht="18">
      <c r="A116" s="217">
        <v>114</v>
      </c>
      <c r="B116" s="225" t="str">
        <f>_xlfn.CONCAT(表格3_5[[#This Row],[Name]],表格3_5[[#This Row],[Location]])</f>
        <v>Mok Yun Mei MarineTuen Mun Broadway</v>
      </c>
      <c r="C116" s="226"/>
      <c r="D116" s="218"/>
      <c r="E116" s="226" t="str">
        <f>DAY(表格3_5[[#This Row],[Date]])&amp;""</f>
        <v>12</v>
      </c>
      <c r="F116" s="236">
        <v>46185</v>
      </c>
      <c r="G116" s="232" t="str">
        <f>_xlfn.XLOOKUP(表格3_5[[#This Row],[Name]],Name_list[Full Name],Name_list[Nick Name])</f>
        <v>May M</v>
      </c>
      <c r="H116" s="219" t="s">
        <v>1021</v>
      </c>
      <c r="I116" s="220" t="s">
        <v>905</v>
      </c>
      <c r="J116" s="221">
        <v>0.5</v>
      </c>
      <c r="K116" s="221">
        <v>0.83333333333333337</v>
      </c>
      <c r="L116" s="227">
        <f>(表格3_5[[#This Row],[Out-Time]] - 表格3_5[[#This Row],[In-Time]])*24</f>
        <v>8</v>
      </c>
      <c r="M116" s="228">
        <f>表格3_5[[#This Row],[ Hours]]-表格3_5[[#This Row],[Normal working
 hours]]</f>
        <v>0</v>
      </c>
      <c r="N116" s="221">
        <v>0.5</v>
      </c>
      <c r="O116" s="221">
        <v>0.83333333333333304</v>
      </c>
      <c r="P116" s="229">
        <f>(表格3_5[[#This Row],[Out-Time2]] - 表格3_5[[#This Row],[In-Time2]])*24</f>
        <v>7.9999999999999929</v>
      </c>
      <c r="Q116" s="222">
        <v>8</v>
      </c>
      <c r="R116" s="229">
        <f>_xlfn.XLOOKUP(表格3_5[[#This Row],[Name]],Name_list[Full Name],Name_list[Hourr Rate])</f>
        <v>56.25</v>
      </c>
      <c r="S116" s="229">
        <f>表格3_5[[#This Row],[Hours Worked]]*表格3_5[[#This Row],[Hourly Rate]]</f>
        <v>450</v>
      </c>
    </row>
    <row r="117" spans="1:19" ht="18">
      <c r="A117" s="217">
        <v>115</v>
      </c>
      <c r="B117" s="225" t="str">
        <f>_xlfn.CONCAT(表格3_5[[#This Row],[Name]],表格3_5[[#This Row],[Location]])</f>
        <v>Mok Yun Mei MarineTuen Mun Broadway</v>
      </c>
      <c r="C117" s="226"/>
      <c r="D117" s="218"/>
      <c r="E117" s="226" t="str">
        <f>DAY(表格3_5[[#This Row],[Date]])&amp;""</f>
        <v>13</v>
      </c>
      <c r="F117" s="236">
        <v>46186</v>
      </c>
      <c r="G117" s="232" t="str">
        <f>_xlfn.XLOOKUP(表格3_5[[#This Row],[Name]],Name_list[Full Name],Name_list[Nick Name])</f>
        <v>May M</v>
      </c>
      <c r="H117" s="219" t="s">
        <v>1021</v>
      </c>
      <c r="I117" s="220" t="s">
        <v>905</v>
      </c>
      <c r="J117" s="221">
        <v>0.5</v>
      </c>
      <c r="K117" s="221">
        <v>0.83333333333333337</v>
      </c>
      <c r="L117" s="227">
        <f>(表格3_5[[#This Row],[Out-Time]] - 表格3_5[[#This Row],[In-Time]])*24</f>
        <v>8</v>
      </c>
      <c r="M117" s="228">
        <f>表格3_5[[#This Row],[ Hours]]-表格3_5[[#This Row],[Normal working
 hours]]</f>
        <v>0</v>
      </c>
      <c r="N117" s="221">
        <v>0.5</v>
      </c>
      <c r="O117" s="221">
        <v>0.83333333333333304</v>
      </c>
      <c r="P117" s="229">
        <f>(表格3_5[[#This Row],[Out-Time2]] - 表格3_5[[#This Row],[In-Time2]])*24</f>
        <v>7.9999999999999929</v>
      </c>
      <c r="Q117" s="222">
        <v>8</v>
      </c>
      <c r="R117" s="229">
        <f>_xlfn.XLOOKUP(表格3_5[[#This Row],[Name]],Name_list[Full Name],Name_list[Hourr Rate])</f>
        <v>56.25</v>
      </c>
      <c r="S117" s="229">
        <f>表格3_5[[#This Row],[Hours Worked]]*表格3_5[[#This Row],[Hourly Rate]]</f>
        <v>450</v>
      </c>
    </row>
    <row r="118" spans="1:19" ht="18">
      <c r="A118" s="217">
        <v>116</v>
      </c>
      <c r="B118" s="225" t="str">
        <f>_xlfn.CONCAT(表格3_5[[#This Row],[Name]],表格3_5[[#This Row],[Location]])</f>
        <v>Mok Yun Mei MarineTuen Mun Broadway</v>
      </c>
      <c r="C118" s="226"/>
      <c r="D118" s="218"/>
      <c r="E118" s="226" t="str">
        <f>DAY(表格3_5[[#This Row],[Date]])&amp;""</f>
        <v>14</v>
      </c>
      <c r="F118" s="236">
        <v>46187</v>
      </c>
      <c r="G118" s="232" t="str">
        <f>_xlfn.XLOOKUP(表格3_5[[#This Row],[Name]],Name_list[Full Name],Name_list[Nick Name])</f>
        <v>May M</v>
      </c>
      <c r="H118" s="219" t="s">
        <v>1021</v>
      </c>
      <c r="I118" s="220" t="s">
        <v>905</v>
      </c>
      <c r="J118" s="221">
        <v>0.5</v>
      </c>
      <c r="K118" s="221">
        <v>0.83333333333333337</v>
      </c>
      <c r="L118" s="227">
        <f>(表格3_5[[#This Row],[Out-Time]] - 表格3_5[[#This Row],[In-Time]])*24</f>
        <v>8</v>
      </c>
      <c r="M118" s="228">
        <f>表格3_5[[#This Row],[ Hours]]-表格3_5[[#This Row],[Normal working
 hours]]</f>
        <v>0</v>
      </c>
      <c r="N118" s="221">
        <v>0.5</v>
      </c>
      <c r="O118" s="221">
        <v>0.83333333333333304</v>
      </c>
      <c r="P118" s="229">
        <f>(表格3_5[[#This Row],[Out-Time2]] - 表格3_5[[#This Row],[In-Time2]])*24</f>
        <v>7.9999999999999929</v>
      </c>
      <c r="Q118" s="222">
        <v>8</v>
      </c>
      <c r="R118" s="229">
        <f>_xlfn.XLOOKUP(表格3_5[[#This Row],[Name]],Name_list[Full Name],Name_list[Hourr Rate])</f>
        <v>56.25</v>
      </c>
      <c r="S118" s="229">
        <f>表格3_5[[#This Row],[Hours Worked]]*表格3_5[[#This Row],[Hourly Rate]]</f>
        <v>450</v>
      </c>
    </row>
    <row r="119" spans="1:19" ht="18">
      <c r="A119" s="217">
        <v>117</v>
      </c>
      <c r="B119" s="225" t="str">
        <f>_xlfn.CONCAT(表格3_5[[#This Row],[Name]],表格3_5[[#This Row],[Location]])</f>
        <v>Mok Yun Mei MarineTuen Mun Broadway</v>
      </c>
      <c r="C119" s="226"/>
      <c r="D119" s="218"/>
      <c r="E119" s="226" t="str">
        <f>DAY(表格3_5[[#This Row],[Date]])&amp;""</f>
        <v>18</v>
      </c>
      <c r="F119" s="236">
        <v>46191</v>
      </c>
      <c r="G119" s="232" t="str">
        <f>_xlfn.XLOOKUP(表格3_5[[#This Row],[Name]],Name_list[Full Name],Name_list[Nick Name])</f>
        <v>May M</v>
      </c>
      <c r="H119" s="219" t="s">
        <v>1021</v>
      </c>
      <c r="I119" s="220" t="s">
        <v>905</v>
      </c>
      <c r="J119" s="221">
        <v>0.5</v>
      </c>
      <c r="K119" s="221">
        <v>0.83333333333333337</v>
      </c>
      <c r="L119" s="227">
        <f>(表格3_5[[#This Row],[Out-Time]] - 表格3_5[[#This Row],[In-Time]])*24</f>
        <v>8</v>
      </c>
      <c r="M119" s="228">
        <f>表格3_5[[#This Row],[ Hours]]-表格3_5[[#This Row],[Normal working
 hours]]</f>
        <v>0</v>
      </c>
      <c r="N119" s="221">
        <v>0.5</v>
      </c>
      <c r="O119" s="221">
        <v>0.83333333333333304</v>
      </c>
      <c r="P119" s="229">
        <f>(表格3_5[[#This Row],[Out-Time2]] - 表格3_5[[#This Row],[In-Time2]])*24</f>
        <v>7.9999999999999929</v>
      </c>
      <c r="Q119" s="222">
        <v>8</v>
      </c>
      <c r="R119" s="229">
        <f>_xlfn.XLOOKUP(表格3_5[[#This Row],[Name]],Name_list[Full Name],Name_list[Hourr Rate])</f>
        <v>56.25</v>
      </c>
      <c r="S119" s="229">
        <f>表格3_5[[#This Row],[Hours Worked]]*表格3_5[[#This Row],[Hourly Rate]]</f>
        <v>450</v>
      </c>
    </row>
    <row r="120" spans="1:19" ht="18">
      <c r="A120" s="217">
        <v>118</v>
      </c>
      <c r="B120" s="225" t="str">
        <f>_xlfn.CONCAT(表格3_5[[#This Row],[Name]],表格3_5[[#This Row],[Location]])</f>
        <v>Mok Yun Mei MarineTuen Mun Broadway</v>
      </c>
      <c r="C120" s="226"/>
      <c r="D120" s="218"/>
      <c r="E120" s="226" t="str">
        <f>DAY(表格3_5[[#This Row],[Date]])&amp;""</f>
        <v>19</v>
      </c>
      <c r="F120" s="236">
        <v>46192</v>
      </c>
      <c r="G120" s="232" t="str">
        <f>_xlfn.XLOOKUP(表格3_5[[#This Row],[Name]],Name_list[Full Name],Name_list[Nick Name])</f>
        <v>May M</v>
      </c>
      <c r="H120" s="219" t="s">
        <v>1021</v>
      </c>
      <c r="I120" s="220" t="s">
        <v>905</v>
      </c>
      <c r="J120" s="221">
        <v>0.5</v>
      </c>
      <c r="K120" s="221">
        <v>0.83333333333333337</v>
      </c>
      <c r="L120" s="227">
        <f>(表格3_5[[#This Row],[Out-Time]] - 表格3_5[[#This Row],[In-Time]])*24</f>
        <v>8</v>
      </c>
      <c r="M120" s="228">
        <f>表格3_5[[#This Row],[ Hours]]-表格3_5[[#This Row],[Normal working
 hours]]</f>
        <v>0</v>
      </c>
      <c r="N120" s="221">
        <v>0.5</v>
      </c>
      <c r="O120" s="221">
        <v>0.83333333333333304</v>
      </c>
      <c r="P120" s="229">
        <f>(表格3_5[[#This Row],[Out-Time2]] - 表格3_5[[#This Row],[In-Time2]])*24</f>
        <v>7.9999999999999929</v>
      </c>
      <c r="Q120" s="222">
        <v>8</v>
      </c>
      <c r="R120" s="229">
        <f>_xlfn.XLOOKUP(表格3_5[[#This Row],[Name]],Name_list[Full Name],Name_list[Hourr Rate])</f>
        <v>56.25</v>
      </c>
      <c r="S120" s="229">
        <f>表格3_5[[#This Row],[Hours Worked]]*表格3_5[[#This Row],[Hourly Rate]]</f>
        <v>450</v>
      </c>
    </row>
    <row r="121" spans="1:19" ht="18">
      <c r="A121" s="217">
        <v>119</v>
      </c>
      <c r="B121" s="225" t="str">
        <f>_xlfn.CONCAT(表格3_5[[#This Row],[Name]],表格3_5[[#This Row],[Location]])</f>
        <v>Mok Yun Mei MarineTuen Mun Broadway</v>
      </c>
      <c r="C121" s="226"/>
      <c r="D121" s="218"/>
      <c r="E121" s="226" t="str">
        <f>DAY(表格3_5[[#This Row],[Date]])&amp;""</f>
        <v>20</v>
      </c>
      <c r="F121" s="236">
        <v>46193</v>
      </c>
      <c r="G121" s="232" t="str">
        <f>_xlfn.XLOOKUP(表格3_5[[#This Row],[Name]],Name_list[Full Name],Name_list[Nick Name])</f>
        <v>May M</v>
      </c>
      <c r="H121" s="219" t="s">
        <v>1021</v>
      </c>
      <c r="I121" s="220" t="s">
        <v>905</v>
      </c>
      <c r="J121" s="221">
        <v>0.5</v>
      </c>
      <c r="K121" s="221">
        <v>0.83333333333333337</v>
      </c>
      <c r="L121" s="227">
        <f>(表格3_5[[#This Row],[Out-Time]] - 表格3_5[[#This Row],[In-Time]])*24</f>
        <v>8</v>
      </c>
      <c r="M121" s="228">
        <f>表格3_5[[#This Row],[ Hours]]-表格3_5[[#This Row],[Normal working
 hours]]</f>
        <v>0</v>
      </c>
      <c r="N121" s="221">
        <v>0.5</v>
      </c>
      <c r="O121" s="221">
        <v>0.83333333333333304</v>
      </c>
      <c r="P121" s="229">
        <f>(表格3_5[[#This Row],[Out-Time2]] - 表格3_5[[#This Row],[In-Time2]])*24</f>
        <v>7.9999999999999929</v>
      </c>
      <c r="Q121" s="222">
        <v>8</v>
      </c>
      <c r="R121" s="229">
        <f>_xlfn.XLOOKUP(表格3_5[[#This Row],[Name]],Name_list[Full Name],Name_list[Hourr Rate])</f>
        <v>56.25</v>
      </c>
      <c r="S121" s="229">
        <f>表格3_5[[#This Row],[Hours Worked]]*表格3_5[[#This Row],[Hourly Rate]]</f>
        <v>450</v>
      </c>
    </row>
    <row r="122" spans="1:19" ht="18">
      <c r="A122" s="217">
        <v>120</v>
      </c>
      <c r="B122" s="225" t="str">
        <f>_xlfn.CONCAT(表格3_5[[#This Row],[Name]],表格3_5[[#This Row],[Location]])</f>
        <v>Mok Yun Mei MarineTuen Mun Broadway</v>
      </c>
      <c r="C122" s="226"/>
      <c r="D122" s="218"/>
      <c r="E122" s="226" t="str">
        <f>DAY(表格3_5[[#This Row],[Date]])&amp;""</f>
        <v>21</v>
      </c>
      <c r="F122" s="236">
        <v>46194</v>
      </c>
      <c r="G122" s="232" t="str">
        <f>_xlfn.XLOOKUP(表格3_5[[#This Row],[Name]],Name_list[Full Name],Name_list[Nick Name])</f>
        <v>May M</v>
      </c>
      <c r="H122" s="219" t="s">
        <v>1021</v>
      </c>
      <c r="I122" s="220" t="s">
        <v>905</v>
      </c>
      <c r="J122" s="221">
        <v>0.5</v>
      </c>
      <c r="K122" s="221">
        <v>0.83333333333333337</v>
      </c>
      <c r="L122" s="227">
        <f>(表格3_5[[#This Row],[Out-Time]] - 表格3_5[[#This Row],[In-Time]])*24</f>
        <v>8</v>
      </c>
      <c r="M122" s="228">
        <f>表格3_5[[#This Row],[ Hours]]-表格3_5[[#This Row],[Normal working
 hours]]</f>
        <v>0</v>
      </c>
      <c r="N122" s="221">
        <v>0.5</v>
      </c>
      <c r="O122" s="221">
        <v>0.83333333333333304</v>
      </c>
      <c r="P122" s="229">
        <f>(表格3_5[[#This Row],[Out-Time2]] - 表格3_5[[#This Row],[In-Time2]])*24</f>
        <v>7.9999999999999929</v>
      </c>
      <c r="Q122" s="222">
        <v>8</v>
      </c>
      <c r="R122" s="229">
        <f>_xlfn.XLOOKUP(表格3_5[[#This Row],[Name]],Name_list[Full Name],Name_list[Hourr Rate])</f>
        <v>56.25</v>
      </c>
      <c r="S122" s="229">
        <f>表格3_5[[#This Row],[Hours Worked]]*表格3_5[[#This Row],[Hourly Rate]]</f>
        <v>450</v>
      </c>
    </row>
    <row r="123" spans="1:19" ht="18">
      <c r="A123" s="217">
        <v>121</v>
      </c>
      <c r="B123" s="225" t="str">
        <f>_xlfn.CONCAT(表格3_5[[#This Row],[Name]],表格3_5[[#This Row],[Location]])</f>
        <v>Mok Yun Mei MarineTuen Mun Broadway</v>
      </c>
      <c r="C123" s="226"/>
      <c r="D123" s="218"/>
      <c r="E123" s="226" t="str">
        <f>DAY(表格3_5[[#This Row],[Date]])&amp;""</f>
        <v>25</v>
      </c>
      <c r="F123" s="236">
        <v>46198</v>
      </c>
      <c r="G123" s="232" t="str">
        <f>_xlfn.XLOOKUP(表格3_5[[#This Row],[Name]],Name_list[Full Name],Name_list[Nick Name])</f>
        <v>May M</v>
      </c>
      <c r="H123" s="219" t="s">
        <v>1021</v>
      </c>
      <c r="I123" s="220" t="s">
        <v>905</v>
      </c>
      <c r="J123" s="221">
        <v>0.5</v>
      </c>
      <c r="K123" s="221">
        <v>0.83333333333333337</v>
      </c>
      <c r="L123" s="227">
        <f>(表格3_5[[#This Row],[Out-Time]] - 表格3_5[[#This Row],[In-Time]])*24</f>
        <v>8</v>
      </c>
      <c r="M123" s="228">
        <f>表格3_5[[#This Row],[ Hours]]-表格3_5[[#This Row],[Normal working
 hours]]</f>
        <v>0</v>
      </c>
      <c r="N123" s="221">
        <v>0.5</v>
      </c>
      <c r="O123" s="221">
        <v>0.83333333333333304</v>
      </c>
      <c r="P123" s="229">
        <f>(表格3_5[[#This Row],[Out-Time2]] - 表格3_5[[#This Row],[In-Time2]])*24</f>
        <v>7.9999999999999929</v>
      </c>
      <c r="Q123" s="222">
        <v>8</v>
      </c>
      <c r="R123" s="229">
        <f>_xlfn.XLOOKUP(表格3_5[[#This Row],[Name]],Name_list[Full Name],Name_list[Hourr Rate])</f>
        <v>56.25</v>
      </c>
      <c r="S123" s="229">
        <f>表格3_5[[#This Row],[Hours Worked]]*表格3_5[[#This Row],[Hourly Rate]]</f>
        <v>450</v>
      </c>
    </row>
    <row r="124" spans="1:19" ht="18">
      <c r="A124" s="217">
        <v>122</v>
      </c>
      <c r="B124" s="225" t="str">
        <f>_xlfn.CONCAT(表格3_5[[#This Row],[Name]],表格3_5[[#This Row],[Location]])</f>
        <v>Mok Yun Mei MarineTuen Mun Broadway</v>
      </c>
      <c r="C124" s="226"/>
      <c r="D124" s="218"/>
      <c r="E124" s="226" t="str">
        <f>DAY(表格3_5[[#This Row],[Date]])&amp;""</f>
        <v>26</v>
      </c>
      <c r="F124" s="236">
        <v>46199</v>
      </c>
      <c r="G124" s="232" t="str">
        <f>_xlfn.XLOOKUP(表格3_5[[#This Row],[Name]],Name_list[Full Name],Name_list[Nick Name])</f>
        <v>May M</v>
      </c>
      <c r="H124" s="219" t="s">
        <v>1021</v>
      </c>
      <c r="I124" s="220" t="s">
        <v>905</v>
      </c>
      <c r="J124" s="221">
        <v>0.5</v>
      </c>
      <c r="K124" s="221">
        <v>0.83333333333333337</v>
      </c>
      <c r="L124" s="227">
        <f>(表格3_5[[#This Row],[Out-Time]] - 表格3_5[[#This Row],[In-Time]])*24</f>
        <v>8</v>
      </c>
      <c r="M124" s="228">
        <f>表格3_5[[#This Row],[ Hours]]-表格3_5[[#This Row],[Normal working
 hours]]</f>
        <v>0</v>
      </c>
      <c r="N124" s="221">
        <v>0.5</v>
      </c>
      <c r="O124" s="221">
        <v>0.83333333333333304</v>
      </c>
      <c r="P124" s="229">
        <f>(表格3_5[[#This Row],[Out-Time2]] - 表格3_5[[#This Row],[In-Time2]])*24</f>
        <v>7.9999999999999929</v>
      </c>
      <c r="Q124" s="222">
        <v>8</v>
      </c>
      <c r="R124" s="229">
        <f>_xlfn.XLOOKUP(表格3_5[[#This Row],[Name]],Name_list[Full Name],Name_list[Hourr Rate])</f>
        <v>56.25</v>
      </c>
      <c r="S124" s="229">
        <f>表格3_5[[#This Row],[Hours Worked]]*表格3_5[[#This Row],[Hourly Rate]]</f>
        <v>450</v>
      </c>
    </row>
    <row r="125" spans="1:19" ht="18">
      <c r="A125" s="217">
        <v>123</v>
      </c>
      <c r="B125" s="225" t="str">
        <f>_xlfn.CONCAT(表格3_5[[#This Row],[Name]],表格3_5[[#This Row],[Location]])</f>
        <v>Mok Yun Mei MarineTuen Mun Broadway</v>
      </c>
      <c r="C125" s="226"/>
      <c r="D125" s="218"/>
      <c r="E125" s="226" t="str">
        <f>DAY(表格3_5[[#This Row],[Date]])&amp;""</f>
        <v>27</v>
      </c>
      <c r="F125" s="236">
        <v>46200</v>
      </c>
      <c r="G125" s="232" t="str">
        <f>_xlfn.XLOOKUP(表格3_5[[#This Row],[Name]],Name_list[Full Name],Name_list[Nick Name])</f>
        <v>May M</v>
      </c>
      <c r="H125" s="219" t="s">
        <v>1021</v>
      </c>
      <c r="I125" s="220" t="s">
        <v>905</v>
      </c>
      <c r="J125" s="221">
        <v>0.5</v>
      </c>
      <c r="K125" s="221">
        <v>0.83333333333333337</v>
      </c>
      <c r="L125" s="227">
        <f>(表格3_5[[#This Row],[Out-Time]] - 表格3_5[[#This Row],[In-Time]])*24</f>
        <v>8</v>
      </c>
      <c r="M125" s="228">
        <f>表格3_5[[#This Row],[ Hours]]-表格3_5[[#This Row],[Normal working
 hours]]</f>
        <v>0</v>
      </c>
      <c r="N125" s="221">
        <v>0.5</v>
      </c>
      <c r="O125" s="221">
        <v>0.83333333333333304</v>
      </c>
      <c r="P125" s="229">
        <f>(表格3_5[[#This Row],[Out-Time2]] - 表格3_5[[#This Row],[In-Time2]])*24</f>
        <v>7.9999999999999929</v>
      </c>
      <c r="Q125" s="222">
        <v>8</v>
      </c>
      <c r="R125" s="229">
        <f>_xlfn.XLOOKUP(表格3_5[[#This Row],[Name]],Name_list[Full Name],Name_list[Hourr Rate])</f>
        <v>56.25</v>
      </c>
      <c r="S125" s="229">
        <f>表格3_5[[#This Row],[Hours Worked]]*表格3_5[[#This Row],[Hourly Rate]]</f>
        <v>450</v>
      </c>
    </row>
    <row r="126" spans="1:19" ht="18">
      <c r="A126" s="217">
        <v>124</v>
      </c>
      <c r="B126" s="225" t="str">
        <f>_xlfn.CONCAT(表格3_5[[#This Row],[Name]],表格3_5[[#This Row],[Location]])</f>
        <v>Mok Yun Mei MarineTuen Mun Broadway</v>
      </c>
      <c r="C126" s="226"/>
      <c r="D126" s="218"/>
      <c r="E126" s="226" t="str">
        <f>DAY(表格3_5[[#This Row],[Date]])&amp;""</f>
        <v>28</v>
      </c>
      <c r="F126" s="236">
        <v>46201</v>
      </c>
      <c r="G126" s="232" t="str">
        <f>_xlfn.XLOOKUP(表格3_5[[#This Row],[Name]],Name_list[Full Name],Name_list[Nick Name])</f>
        <v>May M</v>
      </c>
      <c r="H126" s="219" t="s">
        <v>1021</v>
      </c>
      <c r="I126" s="220" t="s">
        <v>905</v>
      </c>
      <c r="J126" s="221">
        <v>0.5</v>
      </c>
      <c r="K126" s="221">
        <v>0.83333333333333337</v>
      </c>
      <c r="L126" s="227">
        <f>(表格3_5[[#This Row],[Out-Time]] - 表格3_5[[#This Row],[In-Time]])*24</f>
        <v>8</v>
      </c>
      <c r="M126" s="228">
        <f>表格3_5[[#This Row],[ Hours]]-表格3_5[[#This Row],[Normal working
 hours]]</f>
        <v>0</v>
      </c>
      <c r="N126" s="221">
        <v>0.5</v>
      </c>
      <c r="O126" s="221">
        <v>0.83333333333333304</v>
      </c>
      <c r="P126" s="229">
        <f>(表格3_5[[#This Row],[Out-Time2]] - 表格3_5[[#This Row],[In-Time2]])*24</f>
        <v>7.9999999999999929</v>
      </c>
      <c r="Q126" s="222">
        <v>8</v>
      </c>
      <c r="R126" s="229">
        <f>_xlfn.XLOOKUP(表格3_5[[#This Row],[Name]],Name_list[Full Name],Name_list[Hourr Rate])</f>
        <v>56.25</v>
      </c>
      <c r="S126" s="229">
        <f>表格3_5[[#This Row],[Hours Worked]]*表格3_5[[#This Row],[Hourly Rate]]</f>
        <v>450</v>
      </c>
    </row>
    <row r="127" spans="1:19" ht="18">
      <c r="A127" s="217">
        <v>125</v>
      </c>
      <c r="B127" s="225" t="str">
        <f>_xlfn.CONCAT(表格3_5[[#This Row],[Name]],表格3_5[[#This Row],[Location]])</f>
        <v>Tan Xing FangSW Wing On</v>
      </c>
      <c r="C127" s="226"/>
      <c r="D127" s="218"/>
      <c r="E127" s="226" t="str">
        <f>DAY(表格3_5[[#This Row],[Date]])&amp;""</f>
        <v>4</v>
      </c>
      <c r="F127" s="236">
        <v>46177</v>
      </c>
      <c r="G127" s="232" t="str">
        <f>_xlfn.XLOOKUP(表格3_5[[#This Row],[Name]],Name_list[Full Name],Name_list[Nick Name])</f>
        <v>Hazel</v>
      </c>
      <c r="H127" s="219" t="s">
        <v>897</v>
      </c>
      <c r="I127" s="220" t="s">
        <v>895</v>
      </c>
      <c r="J127" s="221">
        <v>0.45833333333333331</v>
      </c>
      <c r="K127" s="221">
        <v>0.79166666666666663</v>
      </c>
      <c r="L127" s="227">
        <f>(表格3_5[[#This Row],[Out-Time]] - 表格3_5[[#This Row],[In-Time]])*24</f>
        <v>8</v>
      </c>
      <c r="M127" s="228">
        <f>表格3_5[[#This Row],[ Hours]]-表格3_5[[#This Row],[Normal working
 hours]]</f>
        <v>0</v>
      </c>
      <c r="N127" s="221">
        <v>0.45833333333333331</v>
      </c>
      <c r="O127" s="221">
        <v>0.79166666666666663</v>
      </c>
      <c r="P127" s="229">
        <f>(表格3_5[[#This Row],[Out-Time2]] - 表格3_5[[#This Row],[In-Time2]])*24</f>
        <v>8</v>
      </c>
      <c r="Q127" s="222">
        <v>8</v>
      </c>
      <c r="R127" s="229">
        <f>_xlfn.XLOOKUP(表格3_5[[#This Row],[Name]],Name_list[Full Name],Name_list[Hourr Rate])</f>
        <v>60</v>
      </c>
      <c r="S127" s="229">
        <f>表格3_5[[#This Row],[Hours Worked]]*表格3_5[[#This Row],[Hourly Rate]]</f>
        <v>480</v>
      </c>
    </row>
    <row r="128" spans="1:19" ht="18">
      <c r="A128" s="217">
        <v>126</v>
      </c>
      <c r="B128" s="225" t="str">
        <f>_xlfn.CONCAT(表格3_5[[#This Row],[Name]],表格3_5[[#This Row],[Location]])</f>
        <v>Tan Xing FangSW Wing On</v>
      </c>
      <c r="C128" s="226"/>
      <c r="D128" s="218"/>
      <c r="E128" s="226" t="str">
        <f>DAY(表格3_5[[#This Row],[Date]])&amp;""</f>
        <v>5</v>
      </c>
      <c r="F128" s="236">
        <v>46178</v>
      </c>
      <c r="G128" s="232" t="str">
        <f>_xlfn.XLOOKUP(表格3_5[[#This Row],[Name]],Name_list[Full Name],Name_list[Nick Name])</f>
        <v>Hazel</v>
      </c>
      <c r="H128" s="219" t="s">
        <v>897</v>
      </c>
      <c r="I128" s="220" t="s">
        <v>895</v>
      </c>
      <c r="J128" s="221">
        <v>0.45833333333333331</v>
      </c>
      <c r="K128" s="221">
        <v>0.79166666666666663</v>
      </c>
      <c r="L128" s="227">
        <f>(表格3_5[[#This Row],[Out-Time]] - 表格3_5[[#This Row],[In-Time]])*24</f>
        <v>8</v>
      </c>
      <c r="M128" s="228">
        <f>表格3_5[[#This Row],[ Hours]]-表格3_5[[#This Row],[Normal working
 hours]]</f>
        <v>0</v>
      </c>
      <c r="N128" s="221">
        <v>0.45833333333333331</v>
      </c>
      <c r="O128" s="221">
        <v>0.79166666666666663</v>
      </c>
      <c r="P128" s="229">
        <f>(表格3_5[[#This Row],[Out-Time2]] - 表格3_5[[#This Row],[In-Time2]])*24</f>
        <v>8</v>
      </c>
      <c r="Q128" s="222">
        <v>8</v>
      </c>
      <c r="R128" s="229">
        <f>_xlfn.XLOOKUP(表格3_5[[#This Row],[Name]],Name_list[Full Name],Name_list[Hourr Rate])</f>
        <v>60</v>
      </c>
      <c r="S128" s="229">
        <f>表格3_5[[#This Row],[Hours Worked]]*表格3_5[[#This Row],[Hourly Rate]]</f>
        <v>480</v>
      </c>
    </row>
    <row r="129" spans="1:19" ht="18">
      <c r="A129" s="217">
        <v>127</v>
      </c>
      <c r="B129" s="225" t="str">
        <f>_xlfn.CONCAT(表格3_5[[#This Row],[Name]],表格3_5[[#This Row],[Location]])</f>
        <v>Tan Xing FangSW Wing On</v>
      </c>
      <c r="C129" s="226"/>
      <c r="D129" s="218"/>
      <c r="E129" s="226" t="str">
        <f>DAY(表格3_5[[#This Row],[Date]])&amp;""</f>
        <v>6</v>
      </c>
      <c r="F129" s="236">
        <v>46179</v>
      </c>
      <c r="G129" s="232" t="str">
        <f>_xlfn.XLOOKUP(表格3_5[[#This Row],[Name]],Name_list[Full Name],Name_list[Nick Name])</f>
        <v>Hazel</v>
      </c>
      <c r="H129" s="219" t="s">
        <v>897</v>
      </c>
      <c r="I129" s="220" t="s">
        <v>895</v>
      </c>
      <c r="J129" s="221">
        <v>0.45833333333333331</v>
      </c>
      <c r="K129" s="221">
        <v>0.79166666666666663</v>
      </c>
      <c r="L129" s="227">
        <f>(表格3_5[[#This Row],[Out-Time]] - 表格3_5[[#This Row],[In-Time]])*24</f>
        <v>8</v>
      </c>
      <c r="M129" s="228">
        <f>表格3_5[[#This Row],[ Hours]]-表格3_5[[#This Row],[Normal working
 hours]]</f>
        <v>0</v>
      </c>
      <c r="N129" s="221">
        <v>0.45833333333333331</v>
      </c>
      <c r="O129" s="221">
        <v>0.79166666666666663</v>
      </c>
      <c r="P129" s="229">
        <f>(表格3_5[[#This Row],[Out-Time2]] - 表格3_5[[#This Row],[In-Time2]])*24</f>
        <v>8</v>
      </c>
      <c r="Q129" s="222">
        <v>8</v>
      </c>
      <c r="R129" s="229">
        <f>_xlfn.XLOOKUP(表格3_5[[#This Row],[Name]],Name_list[Full Name],Name_list[Hourr Rate])</f>
        <v>60</v>
      </c>
      <c r="S129" s="229">
        <f>表格3_5[[#This Row],[Hours Worked]]*表格3_5[[#This Row],[Hourly Rate]]</f>
        <v>480</v>
      </c>
    </row>
    <row r="130" spans="1:19" ht="18">
      <c r="A130" s="217">
        <v>128</v>
      </c>
      <c r="B130" s="225" t="str">
        <f>_xlfn.CONCAT(表格3_5[[#This Row],[Name]],表格3_5[[#This Row],[Location]])</f>
        <v>Tan Xing FangSW Wing On</v>
      </c>
      <c r="C130" s="226"/>
      <c r="D130" s="218"/>
      <c r="E130" s="226" t="str">
        <f>DAY(表格3_5[[#This Row],[Date]])&amp;""</f>
        <v>9</v>
      </c>
      <c r="F130" s="236">
        <v>46182</v>
      </c>
      <c r="G130" s="232" t="str">
        <f>_xlfn.XLOOKUP(表格3_5[[#This Row],[Name]],Name_list[Full Name],Name_list[Nick Name])</f>
        <v>Hazel</v>
      </c>
      <c r="H130" s="219" t="s">
        <v>897</v>
      </c>
      <c r="I130" s="220" t="s">
        <v>895</v>
      </c>
      <c r="J130" s="221">
        <v>0.45833333333333331</v>
      </c>
      <c r="K130" s="221">
        <v>0.79166666666666663</v>
      </c>
      <c r="L130" s="227">
        <f>(表格3_5[[#This Row],[Out-Time]] - 表格3_5[[#This Row],[In-Time]])*24</f>
        <v>8</v>
      </c>
      <c r="M130" s="228">
        <f>表格3_5[[#This Row],[ Hours]]-表格3_5[[#This Row],[Normal working
 hours]]</f>
        <v>0</v>
      </c>
      <c r="N130" s="221">
        <v>0.45833333333333331</v>
      </c>
      <c r="O130" s="221">
        <v>0.79166666666666663</v>
      </c>
      <c r="P130" s="229">
        <f>(表格3_5[[#This Row],[Out-Time2]] - 表格3_5[[#This Row],[In-Time2]])*24</f>
        <v>8</v>
      </c>
      <c r="Q130" s="222">
        <v>8</v>
      </c>
      <c r="R130" s="229">
        <f>_xlfn.XLOOKUP(表格3_5[[#This Row],[Name]],Name_list[Full Name],Name_list[Hourr Rate])</f>
        <v>60</v>
      </c>
      <c r="S130" s="229">
        <f>表格3_5[[#This Row],[Hours Worked]]*表格3_5[[#This Row],[Hourly Rate]]</f>
        <v>480</v>
      </c>
    </row>
    <row r="131" spans="1:19" ht="18">
      <c r="A131" s="217">
        <v>129</v>
      </c>
      <c r="B131" s="225" t="str">
        <f>_xlfn.CONCAT(表格3_5[[#This Row],[Name]],表格3_5[[#This Row],[Location]])</f>
        <v>Tan Xing FangSW Wing On</v>
      </c>
      <c r="C131" s="226"/>
      <c r="D131" s="218"/>
      <c r="E131" s="226" t="str">
        <f>DAY(表格3_5[[#This Row],[Date]])&amp;""</f>
        <v>10</v>
      </c>
      <c r="F131" s="236">
        <v>46183</v>
      </c>
      <c r="G131" s="232" t="str">
        <f>_xlfn.XLOOKUP(表格3_5[[#This Row],[Name]],Name_list[Full Name],Name_list[Nick Name])</f>
        <v>Hazel</v>
      </c>
      <c r="H131" s="219" t="s">
        <v>897</v>
      </c>
      <c r="I131" s="220" t="s">
        <v>895</v>
      </c>
      <c r="J131" s="221">
        <v>0.45833333333333331</v>
      </c>
      <c r="K131" s="221">
        <v>0.79166666666666663</v>
      </c>
      <c r="L131" s="227">
        <f>(表格3_5[[#This Row],[Out-Time]] - 表格3_5[[#This Row],[In-Time]])*24</f>
        <v>8</v>
      </c>
      <c r="M131" s="228">
        <f>表格3_5[[#This Row],[ Hours]]-表格3_5[[#This Row],[Normal working
 hours]]</f>
        <v>0</v>
      </c>
      <c r="N131" s="221">
        <v>0.45833333333333331</v>
      </c>
      <c r="O131" s="221">
        <v>0.79166666666666663</v>
      </c>
      <c r="P131" s="229">
        <f>(表格3_5[[#This Row],[Out-Time2]] - 表格3_5[[#This Row],[In-Time2]])*24</f>
        <v>8</v>
      </c>
      <c r="Q131" s="222">
        <v>8</v>
      </c>
      <c r="R131" s="229">
        <f>_xlfn.XLOOKUP(表格3_5[[#This Row],[Name]],Name_list[Full Name],Name_list[Hourr Rate])</f>
        <v>60</v>
      </c>
      <c r="S131" s="229">
        <f>表格3_5[[#This Row],[Hours Worked]]*表格3_5[[#This Row],[Hourly Rate]]</f>
        <v>480</v>
      </c>
    </row>
    <row r="132" spans="1:19" ht="18">
      <c r="A132" s="217">
        <v>130</v>
      </c>
      <c r="B132" s="225" t="str">
        <f>_xlfn.CONCAT(表格3_5[[#This Row],[Name]],表格3_5[[#This Row],[Location]])</f>
        <v>Tan Xing FangSW Wing On</v>
      </c>
      <c r="C132" s="226"/>
      <c r="D132" s="218"/>
      <c r="E132" s="226" t="str">
        <f>DAY(表格3_5[[#This Row],[Date]])&amp;""</f>
        <v>11</v>
      </c>
      <c r="F132" s="236">
        <v>46184</v>
      </c>
      <c r="G132" s="232" t="str">
        <f>_xlfn.XLOOKUP(表格3_5[[#This Row],[Name]],Name_list[Full Name],Name_list[Nick Name])</f>
        <v>Hazel</v>
      </c>
      <c r="H132" s="219" t="s">
        <v>897</v>
      </c>
      <c r="I132" s="220" t="s">
        <v>895</v>
      </c>
      <c r="J132" s="221">
        <v>0.45833333333333331</v>
      </c>
      <c r="K132" s="221">
        <v>0.79166666666666663</v>
      </c>
      <c r="L132" s="227">
        <f>(表格3_5[[#This Row],[Out-Time]] - 表格3_5[[#This Row],[In-Time]])*24</f>
        <v>8</v>
      </c>
      <c r="M132" s="228">
        <f>表格3_5[[#This Row],[ Hours]]-表格3_5[[#This Row],[Normal working
 hours]]</f>
        <v>0</v>
      </c>
      <c r="N132" s="221">
        <v>0.45833333333333331</v>
      </c>
      <c r="O132" s="221">
        <v>0.79166666666666663</v>
      </c>
      <c r="P132" s="229">
        <f>(表格3_5[[#This Row],[Out-Time2]] - 表格3_5[[#This Row],[In-Time2]])*24</f>
        <v>8</v>
      </c>
      <c r="Q132" s="222">
        <v>8</v>
      </c>
      <c r="R132" s="229">
        <f>_xlfn.XLOOKUP(表格3_5[[#This Row],[Name]],Name_list[Full Name],Name_list[Hourr Rate])</f>
        <v>60</v>
      </c>
      <c r="S132" s="229">
        <f>表格3_5[[#This Row],[Hours Worked]]*表格3_5[[#This Row],[Hourly Rate]]</f>
        <v>480</v>
      </c>
    </row>
    <row r="133" spans="1:19" ht="18">
      <c r="A133" s="217">
        <v>131</v>
      </c>
      <c r="B133" s="225" t="str">
        <f>_xlfn.CONCAT(表格3_5[[#This Row],[Name]],表格3_5[[#This Row],[Location]])</f>
        <v>Tan Xing FangSW Wing On</v>
      </c>
      <c r="C133" s="226"/>
      <c r="D133" s="218"/>
      <c r="E133" s="226" t="str">
        <f>DAY(表格3_5[[#This Row],[Date]])&amp;""</f>
        <v>12</v>
      </c>
      <c r="F133" s="236">
        <v>46185</v>
      </c>
      <c r="G133" s="232" t="str">
        <f>_xlfn.XLOOKUP(表格3_5[[#This Row],[Name]],Name_list[Full Name],Name_list[Nick Name])</f>
        <v>Hazel</v>
      </c>
      <c r="H133" s="219" t="s">
        <v>897</v>
      </c>
      <c r="I133" s="220" t="s">
        <v>895</v>
      </c>
      <c r="J133" s="221">
        <v>0.45833333333333331</v>
      </c>
      <c r="K133" s="221">
        <v>0.79166666666666663</v>
      </c>
      <c r="L133" s="227">
        <f>(表格3_5[[#This Row],[Out-Time]] - 表格3_5[[#This Row],[In-Time]])*24</f>
        <v>8</v>
      </c>
      <c r="M133" s="228">
        <f>表格3_5[[#This Row],[ Hours]]-表格3_5[[#This Row],[Normal working
 hours]]</f>
        <v>0</v>
      </c>
      <c r="N133" s="221">
        <v>0.45833333333333331</v>
      </c>
      <c r="O133" s="221">
        <v>0.79166666666666663</v>
      </c>
      <c r="P133" s="229">
        <f>(表格3_5[[#This Row],[Out-Time2]] - 表格3_5[[#This Row],[In-Time2]])*24</f>
        <v>8</v>
      </c>
      <c r="Q133" s="222">
        <v>8</v>
      </c>
      <c r="R133" s="229">
        <f>_xlfn.XLOOKUP(表格3_5[[#This Row],[Name]],Name_list[Full Name],Name_list[Hourr Rate])</f>
        <v>60</v>
      </c>
      <c r="S133" s="229">
        <f>表格3_5[[#This Row],[Hours Worked]]*表格3_5[[#This Row],[Hourly Rate]]</f>
        <v>480</v>
      </c>
    </row>
    <row r="134" spans="1:19" ht="18">
      <c r="A134" s="217">
        <v>132</v>
      </c>
      <c r="B134" s="225" t="str">
        <f>_xlfn.CONCAT(表格3_5[[#This Row],[Name]],表格3_5[[#This Row],[Location]])</f>
        <v>Tan Xing FangSW Wing On</v>
      </c>
      <c r="C134" s="226"/>
      <c r="D134" s="218"/>
      <c r="E134" s="226" t="str">
        <f>DAY(表格3_5[[#This Row],[Date]])&amp;""</f>
        <v>13</v>
      </c>
      <c r="F134" s="236">
        <v>46186</v>
      </c>
      <c r="G134" s="232" t="str">
        <f>_xlfn.XLOOKUP(表格3_5[[#This Row],[Name]],Name_list[Full Name],Name_list[Nick Name])</f>
        <v>Hazel</v>
      </c>
      <c r="H134" s="219" t="s">
        <v>897</v>
      </c>
      <c r="I134" s="220" t="s">
        <v>895</v>
      </c>
      <c r="J134" s="221">
        <v>0.45833333333333331</v>
      </c>
      <c r="K134" s="221">
        <v>0.79166666666666663</v>
      </c>
      <c r="L134" s="227">
        <f>(表格3_5[[#This Row],[Out-Time]] - 表格3_5[[#This Row],[In-Time]])*24</f>
        <v>8</v>
      </c>
      <c r="M134" s="228">
        <f>表格3_5[[#This Row],[ Hours]]-表格3_5[[#This Row],[Normal working
 hours]]</f>
        <v>0</v>
      </c>
      <c r="N134" s="221">
        <v>0.45833333333333331</v>
      </c>
      <c r="O134" s="221">
        <v>0.79166666666666663</v>
      </c>
      <c r="P134" s="229">
        <f>(表格3_5[[#This Row],[Out-Time2]] - 表格3_5[[#This Row],[In-Time2]])*24</f>
        <v>8</v>
      </c>
      <c r="Q134" s="222">
        <v>8</v>
      </c>
      <c r="R134" s="229">
        <f>_xlfn.XLOOKUP(表格3_5[[#This Row],[Name]],Name_list[Full Name],Name_list[Hourr Rate])</f>
        <v>60</v>
      </c>
      <c r="S134" s="229">
        <f>表格3_5[[#This Row],[Hours Worked]]*表格3_5[[#This Row],[Hourly Rate]]</f>
        <v>480</v>
      </c>
    </row>
    <row r="135" spans="1:19" ht="18">
      <c r="A135" s="217">
        <v>133</v>
      </c>
      <c r="B135" s="225" t="str">
        <f>_xlfn.CONCAT(表格3_5[[#This Row],[Name]],表格3_5[[#This Row],[Location]])</f>
        <v>Tan Xing FangSW Wing On</v>
      </c>
      <c r="C135" s="226"/>
      <c r="D135" s="218"/>
      <c r="E135" s="226" t="str">
        <f>DAY(表格3_5[[#This Row],[Date]])&amp;""</f>
        <v>14</v>
      </c>
      <c r="F135" s="236">
        <v>46187</v>
      </c>
      <c r="G135" s="232" t="str">
        <f>_xlfn.XLOOKUP(表格3_5[[#This Row],[Name]],Name_list[Full Name],Name_list[Nick Name])</f>
        <v>Hazel</v>
      </c>
      <c r="H135" s="219" t="s">
        <v>897</v>
      </c>
      <c r="I135" s="220" t="s">
        <v>895</v>
      </c>
      <c r="J135" s="221">
        <v>0.45833333333333331</v>
      </c>
      <c r="K135" s="221">
        <v>0.79166666666666663</v>
      </c>
      <c r="L135" s="227">
        <f>(表格3_5[[#This Row],[Out-Time]] - 表格3_5[[#This Row],[In-Time]])*24</f>
        <v>8</v>
      </c>
      <c r="M135" s="228">
        <f>表格3_5[[#This Row],[ Hours]]-表格3_5[[#This Row],[Normal working
 hours]]</f>
        <v>0</v>
      </c>
      <c r="N135" s="221">
        <v>0.45833333333333331</v>
      </c>
      <c r="O135" s="221">
        <v>0.79166666666666663</v>
      </c>
      <c r="P135" s="229">
        <f>(表格3_5[[#This Row],[Out-Time2]] - 表格3_5[[#This Row],[In-Time2]])*24</f>
        <v>8</v>
      </c>
      <c r="Q135" s="222">
        <v>8</v>
      </c>
      <c r="R135" s="229">
        <f>_xlfn.XLOOKUP(表格3_5[[#This Row],[Name]],Name_list[Full Name],Name_list[Hourr Rate])</f>
        <v>60</v>
      </c>
      <c r="S135" s="229">
        <f>表格3_5[[#This Row],[Hours Worked]]*表格3_5[[#This Row],[Hourly Rate]]</f>
        <v>480</v>
      </c>
    </row>
    <row r="136" spans="1:19" ht="18">
      <c r="A136" s="217">
        <v>134</v>
      </c>
      <c r="B136" s="225" t="str">
        <f>_xlfn.CONCAT(表格3_5[[#This Row],[Name]],表格3_5[[#This Row],[Location]])</f>
        <v>Tan Xing FangSW Wing On</v>
      </c>
      <c r="C136" s="226"/>
      <c r="D136" s="218"/>
      <c r="E136" s="226" t="str">
        <f>DAY(表格3_5[[#This Row],[Date]])&amp;""</f>
        <v>15</v>
      </c>
      <c r="F136" s="236">
        <v>46188</v>
      </c>
      <c r="G136" s="232" t="str">
        <f>_xlfn.XLOOKUP(表格3_5[[#This Row],[Name]],Name_list[Full Name],Name_list[Nick Name])</f>
        <v>Hazel</v>
      </c>
      <c r="H136" s="219" t="s">
        <v>897</v>
      </c>
      <c r="I136" s="220" t="s">
        <v>895</v>
      </c>
      <c r="J136" s="221">
        <v>0.45833333333333331</v>
      </c>
      <c r="K136" s="221">
        <v>0.79166666666666663</v>
      </c>
      <c r="L136" s="227">
        <f>(表格3_5[[#This Row],[Out-Time]] - 表格3_5[[#This Row],[In-Time]])*24</f>
        <v>8</v>
      </c>
      <c r="M136" s="228">
        <f>表格3_5[[#This Row],[ Hours]]-表格3_5[[#This Row],[Normal working
 hours]]</f>
        <v>0</v>
      </c>
      <c r="N136" s="221">
        <v>0.45833333333333331</v>
      </c>
      <c r="O136" s="221">
        <v>0.79166666666666663</v>
      </c>
      <c r="P136" s="229">
        <f>(表格3_5[[#This Row],[Out-Time2]] - 表格3_5[[#This Row],[In-Time2]])*24</f>
        <v>8</v>
      </c>
      <c r="Q136" s="222">
        <v>8</v>
      </c>
      <c r="R136" s="229">
        <f>_xlfn.XLOOKUP(表格3_5[[#This Row],[Name]],Name_list[Full Name],Name_list[Hourr Rate])</f>
        <v>60</v>
      </c>
      <c r="S136" s="229">
        <f>表格3_5[[#This Row],[Hours Worked]]*表格3_5[[#This Row],[Hourly Rate]]</f>
        <v>480</v>
      </c>
    </row>
    <row r="137" spans="1:19" ht="18">
      <c r="A137" s="217">
        <v>135</v>
      </c>
      <c r="B137" s="225" t="str">
        <f>_xlfn.CONCAT(表格3_5[[#This Row],[Name]],表格3_5[[#This Row],[Location]])</f>
        <v>Tan Xing FangSW Wing On</v>
      </c>
      <c r="C137" s="226"/>
      <c r="D137" s="218"/>
      <c r="E137" s="226" t="str">
        <f>DAY(表格3_5[[#This Row],[Date]])&amp;""</f>
        <v>16</v>
      </c>
      <c r="F137" s="236">
        <v>46189</v>
      </c>
      <c r="G137" s="232" t="str">
        <f>_xlfn.XLOOKUP(表格3_5[[#This Row],[Name]],Name_list[Full Name],Name_list[Nick Name])</f>
        <v>Hazel</v>
      </c>
      <c r="H137" s="219" t="s">
        <v>897</v>
      </c>
      <c r="I137" s="220" t="s">
        <v>895</v>
      </c>
      <c r="J137" s="221">
        <v>0.45833333333333331</v>
      </c>
      <c r="K137" s="221">
        <v>0.79166666666666663</v>
      </c>
      <c r="L137" s="227">
        <f>(表格3_5[[#This Row],[Out-Time]] - 表格3_5[[#This Row],[In-Time]])*24</f>
        <v>8</v>
      </c>
      <c r="M137" s="228">
        <f>表格3_5[[#This Row],[ Hours]]-表格3_5[[#This Row],[Normal working
 hours]]</f>
        <v>0</v>
      </c>
      <c r="N137" s="221">
        <v>0.45833333333333331</v>
      </c>
      <c r="O137" s="221">
        <v>0.79166666666666663</v>
      </c>
      <c r="P137" s="229">
        <f>(表格3_5[[#This Row],[Out-Time2]] - 表格3_5[[#This Row],[In-Time2]])*24</f>
        <v>8</v>
      </c>
      <c r="Q137" s="222">
        <v>8</v>
      </c>
      <c r="R137" s="229">
        <f>_xlfn.XLOOKUP(表格3_5[[#This Row],[Name]],Name_list[Full Name],Name_list[Hourr Rate])</f>
        <v>60</v>
      </c>
      <c r="S137" s="229">
        <f>表格3_5[[#This Row],[Hours Worked]]*表格3_5[[#This Row],[Hourly Rate]]</f>
        <v>480</v>
      </c>
    </row>
    <row r="138" spans="1:19" ht="18">
      <c r="A138" s="217">
        <v>136</v>
      </c>
      <c r="B138" s="225" t="str">
        <f>_xlfn.CONCAT(表格3_5[[#This Row],[Name]],表格3_5[[#This Row],[Location]])</f>
        <v>Tan Xing FangSW Wing On</v>
      </c>
      <c r="C138" s="226"/>
      <c r="D138" s="218"/>
      <c r="E138" s="226" t="str">
        <f>DAY(表格3_5[[#This Row],[Date]])&amp;""</f>
        <v>17</v>
      </c>
      <c r="F138" s="236">
        <v>46190</v>
      </c>
      <c r="G138" s="232" t="str">
        <f>_xlfn.XLOOKUP(表格3_5[[#This Row],[Name]],Name_list[Full Name],Name_list[Nick Name])</f>
        <v>Hazel</v>
      </c>
      <c r="H138" s="219" t="s">
        <v>897</v>
      </c>
      <c r="I138" s="220" t="s">
        <v>895</v>
      </c>
      <c r="J138" s="221">
        <v>0.45833333333333331</v>
      </c>
      <c r="K138" s="221">
        <v>0.79166666666666663</v>
      </c>
      <c r="L138" s="227">
        <f>(表格3_5[[#This Row],[Out-Time]] - 表格3_5[[#This Row],[In-Time]])*24</f>
        <v>8</v>
      </c>
      <c r="M138" s="228">
        <f>表格3_5[[#This Row],[ Hours]]-表格3_5[[#This Row],[Normal working
 hours]]</f>
        <v>0</v>
      </c>
      <c r="N138" s="221">
        <v>0.45833333333333331</v>
      </c>
      <c r="O138" s="221">
        <v>0.79166666666666663</v>
      </c>
      <c r="P138" s="229">
        <f>(表格3_5[[#This Row],[Out-Time2]] - 表格3_5[[#This Row],[In-Time2]])*24</f>
        <v>8</v>
      </c>
      <c r="Q138" s="222">
        <v>8</v>
      </c>
      <c r="R138" s="229">
        <f>_xlfn.XLOOKUP(表格3_5[[#This Row],[Name]],Name_list[Full Name],Name_list[Hourr Rate])</f>
        <v>60</v>
      </c>
      <c r="S138" s="229">
        <f>表格3_5[[#This Row],[Hours Worked]]*表格3_5[[#This Row],[Hourly Rate]]</f>
        <v>480</v>
      </c>
    </row>
    <row r="139" spans="1:19" ht="18">
      <c r="A139" s="217">
        <v>137</v>
      </c>
      <c r="B139" s="225" t="str">
        <f>_xlfn.CONCAT(表格3_5[[#This Row],[Name]],表格3_5[[#This Row],[Location]])</f>
        <v>Tan Xing FangSW Wing On</v>
      </c>
      <c r="C139" s="226"/>
      <c r="D139" s="218"/>
      <c r="E139" s="226" t="str">
        <f>DAY(表格3_5[[#This Row],[Date]])&amp;""</f>
        <v>20</v>
      </c>
      <c r="F139" s="236">
        <v>46193</v>
      </c>
      <c r="G139" s="232" t="str">
        <f>_xlfn.XLOOKUP(表格3_5[[#This Row],[Name]],Name_list[Full Name],Name_list[Nick Name])</f>
        <v>Hazel</v>
      </c>
      <c r="H139" s="219" t="s">
        <v>897</v>
      </c>
      <c r="I139" s="220" t="s">
        <v>895</v>
      </c>
      <c r="J139" s="221">
        <v>0.45833333333333331</v>
      </c>
      <c r="K139" s="221">
        <v>0.79166666666666663</v>
      </c>
      <c r="L139" s="227">
        <f>(表格3_5[[#This Row],[Out-Time]] - 表格3_5[[#This Row],[In-Time]])*24</f>
        <v>8</v>
      </c>
      <c r="M139" s="228">
        <f>表格3_5[[#This Row],[ Hours]]-表格3_5[[#This Row],[Normal working
 hours]]</f>
        <v>0</v>
      </c>
      <c r="N139" s="221">
        <v>0.45833333333333331</v>
      </c>
      <c r="O139" s="221">
        <v>0.79166666666666663</v>
      </c>
      <c r="P139" s="229">
        <f>(表格3_5[[#This Row],[Out-Time2]] - 表格3_5[[#This Row],[In-Time2]])*24</f>
        <v>8</v>
      </c>
      <c r="Q139" s="222">
        <v>8</v>
      </c>
      <c r="R139" s="229">
        <f>_xlfn.XLOOKUP(表格3_5[[#This Row],[Name]],Name_list[Full Name],Name_list[Hourr Rate])</f>
        <v>60</v>
      </c>
      <c r="S139" s="229">
        <f>表格3_5[[#This Row],[Hours Worked]]*表格3_5[[#This Row],[Hourly Rate]]</f>
        <v>480</v>
      </c>
    </row>
    <row r="140" spans="1:19" ht="18">
      <c r="A140" s="217">
        <v>138</v>
      </c>
      <c r="B140" s="225" t="str">
        <f>_xlfn.CONCAT(表格3_5[[#This Row],[Name]],表格3_5[[#This Row],[Location]])</f>
        <v>Tan Xing FangSW Wing On</v>
      </c>
      <c r="C140" s="226"/>
      <c r="D140" s="218"/>
      <c r="E140" s="226" t="str">
        <f>DAY(表格3_5[[#This Row],[Date]])&amp;""</f>
        <v>21</v>
      </c>
      <c r="F140" s="236">
        <v>46194</v>
      </c>
      <c r="G140" s="232" t="str">
        <f>_xlfn.XLOOKUP(表格3_5[[#This Row],[Name]],Name_list[Full Name],Name_list[Nick Name])</f>
        <v>Hazel</v>
      </c>
      <c r="H140" s="219" t="s">
        <v>897</v>
      </c>
      <c r="I140" s="220" t="s">
        <v>895</v>
      </c>
      <c r="J140" s="221">
        <v>0.45833333333333331</v>
      </c>
      <c r="K140" s="221">
        <v>0.79166666666666663</v>
      </c>
      <c r="L140" s="227">
        <f>(表格3_5[[#This Row],[Out-Time]] - 表格3_5[[#This Row],[In-Time]])*24</f>
        <v>8</v>
      </c>
      <c r="M140" s="228">
        <f>表格3_5[[#This Row],[ Hours]]-表格3_5[[#This Row],[Normal working
 hours]]</f>
        <v>0</v>
      </c>
      <c r="N140" s="221">
        <v>0.45833333333333331</v>
      </c>
      <c r="O140" s="221">
        <v>0.79166666666666663</v>
      </c>
      <c r="P140" s="229">
        <f>(表格3_5[[#This Row],[Out-Time2]] - 表格3_5[[#This Row],[In-Time2]])*24</f>
        <v>8</v>
      </c>
      <c r="Q140" s="222">
        <v>8</v>
      </c>
      <c r="R140" s="229">
        <f>_xlfn.XLOOKUP(表格3_5[[#This Row],[Name]],Name_list[Full Name],Name_list[Hourr Rate])</f>
        <v>60</v>
      </c>
      <c r="S140" s="229">
        <f>表格3_5[[#This Row],[Hours Worked]]*表格3_5[[#This Row],[Hourly Rate]]</f>
        <v>480</v>
      </c>
    </row>
    <row r="141" spans="1:19" ht="18">
      <c r="A141" s="217">
        <v>139</v>
      </c>
      <c r="B141" s="225" t="str">
        <f>_xlfn.CONCAT(表格3_5[[#This Row],[Name]],表格3_5[[#This Row],[Location]])</f>
        <v>Tan Xing FangSW Wing On</v>
      </c>
      <c r="C141" s="226"/>
      <c r="D141" s="218"/>
      <c r="E141" s="226" t="str">
        <f>DAY(表格3_5[[#This Row],[Date]])&amp;""</f>
        <v>22</v>
      </c>
      <c r="F141" s="236">
        <v>46195</v>
      </c>
      <c r="G141" s="232" t="str">
        <f>_xlfn.XLOOKUP(表格3_5[[#This Row],[Name]],Name_list[Full Name],Name_list[Nick Name])</f>
        <v>Hazel</v>
      </c>
      <c r="H141" s="219" t="s">
        <v>897</v>
      </c>
      <c r="I141" s="220" t="s">
        <v>895</v>
      </c>
      <c r="J141" s="221">
        <v>0.45833333333333331</v>
      </c>
      <c r="K141" s="221">
        <v>0.79166666666666663</v>
      </c>
      <c r="L141" s="227">
        <f>(表格3_5[[#This Row],[Out-Time]] - 表格3_5[[#This Row],[In-Time]])*24</f>
        <v>8</v>
      </c>
      <c r="M141" s="228">
        <f>表格3_5[[#This Row],[ Hours]]-表格3_5[[#This Row],[Normal working
 hours]]</f>
        <v>0</v>
      </c>
      <c r="N141" s="221">
        <v>0.45833333333333331</v>
      </c>
      <c r="O141" s="221">
        <v>0.79166666666666663</v>
      </c>
      <c r="P141" s="229">
        <f>(表格3_5[[#This Row],[Out-Time2]] - 表格3_5[[#This Row],[In-Time2]])*24</f>
        <v>8</v>
      </c>
      <c r="Q141" s="222">
        <v>8</v>
      </c>
      <c r="R141" s="229">
        <f>_xlfn.XLOOKUP(表格3_5[[#This Row],[Name]],Name_list[Full Name],Name_list[Hourr Rate])</f>
        <v>60</v>
      </c>
      <c r="S141" s="229">
        <f>表格3_5[[#This Row],[Hours Worked]]*表格3_5[[#This Row],[Hourly Rate]]</f>
        <v>480</v>
      </c>
    </row>
    <row r="142" spans="1:19" ht="18">
      <c r="A142" s="217">
        <v>140</v>
      </c>
      <c r="B142" s="225" t="str">
        <f>_xlfn.CONCAT(表格3_5[[#This Row],[Name]],表格3_5[[#This Row],[Location]])</f>
        <v>Tan Xing FangSW Wing On</v>
      </c>
      <c r="C142" s="226"/>
      <c r="D142" s="218"/>
      <c r="E142" s="226" t="str">
        <f>DAY(表格3_5[[#This Row],[Date]])&amp;""</f>
        <v>23</v>
      </c>
      <c r="F142" s="236">
        <v>46196</v>
      </c>
      <c r="G142" s="232" t="str">
        <f>_xlfn.XLOOKUP(表格3_5[[#This Row],[Name]],Name_list[Full Name],Name_list[Nick Name])</f>
        <v>Hazel</v>
      </c>
      <c r="H142" s="219" t="s">
        <v>897</v>
      </c>
      <c r="I142" s="220" t="s">
        <v>895</v>
      </c>
      <c r="J142" s="221">
        <v>0.45833333333333331</v>
      </c>
      <c r="K142" s="221">
        <v>0.79166666666666663</v>
      </c>
      <c r="L142" s="227">
        <f>(表格3_5[[#This Row],[Out-Time]] - 表格3_5[[#This Row],[In-Time]])*24</f>
        <v>8</v>
      </c>
      <c r="M142" s="228">
        <f>表格3_5[[#This Row],[ Hours]]-表格3_5[[#This Row],[Normal working
 hours]]</f>
        <v>0</v>
      </c>
      <c r="N142" s="221">
        <v>0.45833333333333331</v>
      </c>
      <c r="O142" s="221">
        <v>0.79166666666666663</v>
      </c>
      <c r="P142" s="229">
        <f>(表格3_5[[#This Row],[Out-Time2]] - 表格3_5[[#This Row],[In-Time2]])*24</f>
        <v>8</v>
      </c>
      <c r="Q142" s="222">
        <v>8</v>
      </c>
      <c r="R142" s="229">
        <f>_xlfn.XLOOKUP(表格3_5[[#This Row],[Name]],Name_list[Full Name],Name_list[Hourr Rate])</f>
        <v>60</v>
      </c>
      <c r="S142" s="229">
        <f>表格3_5[[#This Row],[Hours Worked]]*表格3_5[[#This Row],[Hourly Rate]]</f>
        <v>480</v>
      </c>
    </row>
    <row r="143" spans="1:19" ht="18">
      <c r="A143" s="217">
        <v>141</v>
      </c>
      <c r="B143" s="225" t="str">
        <f>_xlfn.CONCAT(表格3_5[[#This Row],[Name]],表格3_5[[#This Row],[Location]])</f>
        <v>Tan Xing FangSW Wing On</v>
      </c>
      <c r="C143" s="226"/>
      <c r="D143" s="218"/>
      <c r="E143" s="226" t="str">
        <f>DAY(表格3_5[[#This Row],[Date]])&amp;""</f>
        <v>24</v>
      </c>
      <c r="F143" s="236">
        <v>46197</v>
      </c>
      <c r="G143" s="232" t="str">
        <f>_xlfn.XLOOKUP(表格3_5[[#This Row],[Name]],Name_list[Full Name],Name_list[Nick Name])</f>
        <v>Hazel</v>
      </c>
      <c r="H143" s="219" t="s">
        <v>897</v>
      </c>
      <c r="I143" s="220" t="s">
        <v>895</v>
      </c>
      <c r="J143" s="221">
        <v>0.45833333333333331</v>
      </c>
      <c r="K143" s="221">
        <v>0.79166666666666663</v>
      </c>
      <c r="L143" s="227">
        <f>(表格3_5[[#This Row],[Out-Time]] - 表格3_5[[#This Row],[In-Time]])*24</f>
        <v>8</v>
      </c>
      <c r="M143" s="228">
        <f>表格3_5[[#This Row],[ Hours]]-表格3_5[[#This Row],[Normal working
 hours]]</f>
        <v>0</v>
      </c>
      <c r="N143" s="221">
        <v>0.45833333333333331</v>
      </c>
      <c r="O143" s="221">
        <v>0.79166666666666663</v>
      </c>
      <c r="P143" s="229">
        <f>(表格3_5[[#This Row],[Out-Time2]] - 表格3_5[[#This Row],[In-Time2]])*24</f>
        <v>8</v>
      </c>
      <c r="Q143" s="222">
        <v>8</v>
      </c>
      <c r="R143" s="229">
        <f>_xlfn.XLOOKUP(表格3_5[[#This Row],[Name]],Name_list[Full Name],Name_list[Hourr Rate])</f>
        <v>60</v>
      </c>
      <c r="S143" s="229">
        <f>表格3_5[[#This Row],[Hours Worked]]*表格3_5[[#This Row],[Hourly Rate]]</f>
        <v>480</v>
      </c>
    </row>
    <row r="144" spans="1:19" ht="18">
      <c r="A144" s="217">
        <v>142</v>
      </c>
      <c r="B144" s="225" t="str">
        <f>_xlfn.CONCAT(表格3_5[[#This Row],[Name]],表格3_5[[#This Row],[Location]])</f>
        <v>Tan Xing FangSW Wing On</v>
      </c>
      <c r="C144" s="226"/>
      <c r="D144" s="218"/>
      <c r="E144" s="226" t="str">
        <f>DAY(表格3_5[[#This Row],[Date]])&amp;""</f>
        <v>26</v>
      </c>
      <c r="F144" s="236">
        <v>46199</v>
      </c>
      <c r="G144" s="232" t="str">
        <f>_xlfn.XLOOKUP(表格3_5[[#This Row],[Name]],Name_list[Full Name],Name_list[Nick Name])</f>
        <v>Hazel</v>
      </c>
      <c r="H144" s="219" t="s">
        <v>897</v>
      </c>
      <c r="I144" s="220" t="s">
        <v>895</v>
      </c>
      <c r="J144" s="221">
        <v>0.45833333333333331</v>
      </c>
      <c r="K144" s="221">
        <v>0.79166666666666663</v>
      </c>
      <c r="L144" s="227">
        <f>(表格3_5[[#This Row],[Out-Time]] - 表格3_5[[#This Row],[In-Time]])*24</f>
        <v>8</v>
      </c>
      <c r="M144" s="228">
        <f>表格3_5[[#This Row],[ Hours]]-表格3_5[[#This Row],[Normal working
 hours]]</f>
        <v>0</v>
      </c>
      <c r="N144" s="221">
        <v>0.45833333333333331</v>
      </c>
      <c r="O144" s="221">
        <v>0.79166666666666663</v>
      </c>
      <c r="P144" s="229">
        <f>(表格3_5[[#This Row],[Out-Time2]] - 表格3_5[[#This Row],[In-Time2]])*24</f>
        <v>8</v>
      </c>
      <c r="Q144" s="222">
        <v>8</v>
      </c>
      <c r="R144" s="229">
        <f>_xlfn.XLOOKUP(表格3_5[[#This Row],[Name]],Name_list[Full Name],Name_list[Hourr Rate])</f>
        <v>60</v>
      </c>
      <c r="S144" s="229">
        <f>表格3_5[[#This Row],[Hours Worked]]*表格3_5[[#This Row],[Hourly Rate]]</f>
        <v>480</v>
      </c>
    </row>
    <row r="145" spans="1:19" ht="18">
      <c r="A145" s="217">
        <v>143</v>
      </c>
      <c r="B145" s="225" t="str">
        <f>_xlfn.CONCAT(表格3_5[[#This Row],[Name]],表格3_5[[#This Row],[Location]])</f>
        <v>Tan Xing FangSW Wing On</v>
      </c>
      <c r="C145" s="226"/>
      <c r="D145" s="218"/>
      <c r="E145" s="226" t="str">
        <f>DAY(表格3_5[[#This Row],[Date]])&amp;""</f>
        <v>27</v>
      </c>
      <c r="F145" s="236">
        <v>46200</v>
      </c>
      <c r="G145" s="232" t="str">
        <f>_xlfn.XLOOKUP(表格3_5[[#This Row],[Name]],Name_list[Full Name],Name_list[Nick Name])</f>
        <v>Hazel</v>
      </c>
      <c r="H145" s="219" t="s">
        <v>897</v>
      </c>
      <c r="I145" s="220" t="s">
        <v>895</v>
      </c>
      <c r="J145" s="221">
        <v>0.45833333333333331</v>
      </c>
      <c r="K145" s="221">
        <v>0.79166666666666663</v>
      </c>
      <c r="L145" s="227">
        <f>(表格3_5[[#This Row],[Out-Time]] - 表格3_5[[#This Row],[In-Time]])*24</f>
        <v>8</v>
      </c>
      <c r="M145" s="228">
        <f>表格3_5[[#This Row],[ Hours]]-表格3_5[[#This Row],[Normal working
 hours]]</f>
        <v>0</v>
      </c>
      <c r="N145" s="221">
        <v>0.45833333333333331</v>
      </c>
      <c r="O145" s="221">
        <v>0.79166666666666663</v>
      </c>
      <c r="P145" s="229">
        <f>(表格3_5[[#This Row],[Out-Time2]] - 表格3_5[[#This Row],[In-Time2]])*24</f>
        <v>8</v>
      </c>
      <c r="Q145" s="222">
        <v>8</v>
      </c>
      <c r="R145" s="229">
        <f>_xlfn.XLOOKUP(表格3_5[[#This Row],[Name]],Name_list[Full Name],Name_list[Hourr Rate])</f>
        <v>60</v>
      </c>
      <c r="S145" s="229">
        <f>表格3_5[[#This Row],[Hours Worked]]*表格3_5[[#This Row],[Hourly Rate]]</f>
        <v>480</v>
      </c>
    </row>
    <row r="146" spans="1:19" ht="18">
      <c r="A146" s="217">
        <v>144</v>
      </c>
      <c r="B146" s="225" t="str">
        <f>_xlfn.CONCAT(表格3_5[[#This Row],[Name]],表格3_5[[#This Row],[Location]])</f>
        <v>Tan Xing FangSW Wing On</v>
      </c>
      <c r="C146" s="226"/>
      <c r="D146" s="218"/>
      <c r="E146" s="226" t="str">
        <f>DAY(表格3_5[[#This Row],[Date]])&amp;""</f>
        <v>28</v>
      </c>
      <c r="F146" s="236">
        <v>46201</v>
      </c>
      <c r="G146" s="232" t="str">
        <f>_xlfn.XLOOKUP(表格3_5[[#This Row],[Name]],Name_list[Full Name],Name_list[Nick Name])</f>
        <v>Hazel</v>
      </c>
      <c r="H146" s="219" t="s">
        <v>897</v>
      </c>
      <c r="I146" s="220" t="s">
        <v>895</v>
      </c>
      <c r="J146" s="221">
        <v>0.45833333333333331</v>
      </c>
      <c r="K146" s="221">
        <v>0.79166666666666663</v>
      </c>
      <c r="L146" s="227">
        <f>(表格3_5[[#This Row],[Out-Time]] - 表格3_5[[#This Row],[In-Time]])*24</f>
        <v>8</v>
      </c>
      <c r="M146" s="228">
        <f>表格3_5[[#This Row],[ Hours]]-表格3_5[[#This Row],[Normal working
 hours]]</f>
        <v>0</v>
      </c>
      <c r="N146" s="221">
        <v>0.45833333333333331</v>
      </c>
      <c r="O146" s="221">
        <v>0.79166666666666663</v>
      </c>
      <c r="P146" s="229">
        <f>(表格3_5[[#This Row],[Out-Time2]] - 表格3_5[[#This Row],[In-Time2]])*24</f>
        <v>8</v>
      </c>
      <c r="Q146" s="222">
        <v>8</v>
      </c>
      <c r="R146" s="229">
        <f>_xlfn.XLOOKUP(表格3_5[[#This Row],[Name]],Name_list[Full Name],Name_list[Hourr Rate])</f>
        <v>60</v>
      </c>
      <c r="S146" s="229">
        <f>表格3_5[[#This Row],[Hours Worked]]*表格3_5[[#This Row],[Hourly Rate]]</f>
        <v>480</v>
      </c>
    </row>
    <row r="147" spans="1:19" ht="18">
      <c r="A147" s="217">
        <v>145</v>
      </c>
      <c r="B147" s="225" t="str">
        <f>_xlfn.CONCAT(表格3_5[[#This Row],[Name]],表格3_5[[#This Row],[Location]])</f>
        <v>Tan Xing FangSW Wing On</v>
      </c>
      <c r="C147" s="226"/>
      <c r="D147" s="218"/>
      <c r="E147" s="226" t="str">
        <f>DAY(表格3_5[[#This Row],[Date]])&amp;""</f>
        <v>29</v>
      </c>
      <c r="F147" s="236">
        <v>46202</v>
      </c>
      <c r="G147" s="232" t="str">
        <f>_xlfn.XLOOKUP(表格3_5[[#This Row],[Name]],Name_list[Full Name],Name_list[Nick Name])</f>
        <v>Hazel</v>
      </c>
      <c r="H147" s="219" t="s">
        <v>897</v>
      </c>
      <c r="I147" s="220" t="s">
        <v>895</v>
      </c>
      <c r="J147" s="221">
        <v>0.45833333333333331</v>
      </c>
      <c r="K147" s="221">
        <v>0.79166666666666663</v>
      </c>
      <c r="L147" s="227">
        <f>(表格3_5[[#This Row],[Out-Time]] - 表格3_5[[#This Row],[In-Time]])*24</f>
        <v>8</v>
      </c>
      <c r="M147" s="228">
        <f>表格3_5[[#This Row],[ Hours]]-表格3_5[[#This Row],[Normal working
 hours]]</f>
        <v>0</v>
      </c>
      <c r="N147" s="221">
        <v>0.45833333333333331</v>
      </c>
      <c r="O147" s="221">
        <v>0.79166666666666663</v>
      </c>
      <c r="P147" s="229">
        <f>(表格3_5[[#This Row],[Out-Time2]] - 表格3_5[[#This Row],[In-Time2]])*24</f>
        <v>8</v>
      </c>
      <c r="Q147" s="222">
        <v>8</v>
      </c>
      <c r="R147" s="229">
        <f>_xlfn.XLOOKUP(表格3_5[[#This Row],[Name]],Name_list[Full Name],Name_list[Hourr Rate])</f>
        <v>60</v>
      </c>
      <c r="S147" s="229">
        <f>表格3_5[[#This Row],[Hours Worked]]*表格3_5[[#This Row],[Hourly Rate]]</f>
        <v>480</v>
      </c>
    </row>
    <row r="148" spans="1:19" ht="18">
      <c r="A148" s="217">
        <v>146</v>
      </c>
      <c r="B148" s="225" t="str">
        <f>_xlfn.CONCAT(表格3_5[[#This Row],[Name]],表格3_5[[#This Row],[Location]])</f>
        <v>Yuen Maria Wing YanSW Wing On</v>
      </c>
      <c r="C148" s="226"/>
      <c r="D148" s="218"/>
      <c r="E148" s="226" t="str">
        <f>DAY(表格3_5[[#This Row],[Date]])&amp;""</f>
        <v>3</v>
      </c>
      <c r="F148" s="236">
        <v>46176</v>
      </c>
      <c r="G148" s="232" t="str">
        <f>_xlfn.XLOOKUP(表格3_5[[#This Row],[Name]],Name_list[Full Name],Name_list[Nick Name])</f>
        <v>Carol</v>
      </c>
      <c r="H148" s="219" t="s">
        <v>897</v>
      </c>
      <c r="I148" s="220" t="s">
        <v>233</v>
      </c>
      <c r="J148" s="221">
        <v>0.45833333333333298</v>
      </c>
      <c r="K148" s="221">
        <v>0.79166666666666696</v>
      </c>
      <c r="L148" s="227">
        <f>(表格3_5[[#This Row],[Out-Time]] - 表格3_5[[#This Row],[In-Time]])*24</f>
        <v>8.000000000000016</v>
      </c>
      <c r="M148" s="228">
        <f>表格3_5[[#This Row],[ Hours]]-表格3_5[[#This Row],[Normal working
 hours]]</f>
        <v>0</v>
      </c>
      <c r="N148" s="221">
        <v>0.45833333333333298</v>
      </c>
      <c r="O148" s="221">
        <v>0.79166666666666696</v>
      </c>
      <c r="P148" s="229">
        <f>(表格3_5[[#This Row],[Out-Time2]] - 表格3_5[[#This Row],[In-Time2]])*24</f>
        <v>8.000000000000016</v>
      </c>
      <c r="Q148" s="222">
        <v>8</v>
      </c>
      <c r="R148" s="229">
        <f>_xlfn.XLOOKUP(表格3_5[[#This Row],[Name]],Name_list[Full Name],Name_list[Hourr Rate])</f>
        <v>60</v>
      </c>
      <c r="S148" s="229">
        <f>表格3_5[[#This Row],[Hours Worked]]*表格3_5[[#This Row],[Hourly Rate]]</f>
        <v>480</v>
      </c>
    </row>
    <row r="149" spans="1:19" ht="18">
      <c r="A149" s="217">
        <v>147</v>
      </c>
      <c r="B149" s="225" t="str">
        <f>_xlfn.CONCAT(表格3_5[[#This Row],[Name]],表格3_5[[#This Row],[Location]])</f>
        <v>Yuen Maria Wing YanSW Wing On</v>
      </c>
      <c r="C149" s="226"/>
      <c r="D149" s="218"/>
      <c r="E149" s="226" t="str">
        <f>DAY(表格3_5[[#This Row],[Date]])&amp;""</f>
        <v>18</v>
      </c>
      <c r="F149" s="236">
        <v>46191</v>
      </c>
      <c r="G149" s="232" t="str">
        <f>_xlfn.XLOOKUP(表格3_5[[#This Row],[Name]],Name_list[Full Name],Name_list[Nick Name])</f>
        <v>Carol</v>
      </c>
      <c r="H149" s="219" t="s">
        <v>897</v>
      </c>
      <c r="I149" s="220" t="s">
        <v>233</v>
      </c>
      <c r="J149" s="221">
        <v>0.45833333333333298</v>
      </c>
      <c r="K149" s="221">
        <v>0.79166666666666696</v>
      </c>
      <c r="L149" s="227">
        <f>(表格3_5[[#This Row],[Out-Time]] - 表格3_5[[#This Row],[In-Time]])*24</f>
        <v>8.000000000000016</v>
      </c>
      <c r="M149" s="228">
        <f>表格3_5[[#This Row],[ Hours]]-表格3_5[[#This Row],[Normal working
 hours]]</f>
        <v>0</v>
      </c>
      <c r="N149" s="221">
        <v>0.45833333333333298</v>
      </c>
      <c r="O149" s="221">
        <v>0.79166666666666696</v>
      </c>
      <c r="P149" s="229">
        <f>(表格3_5[[#This Row],[Out-Time2]] - 表格3_5[[#This Row],[In-Time2]])*24</f>
        <v>8.000000000000016</v>
      </c>
      <c r="Q149" s="222">
        <v>8</v>
      </c>
      <c r="R149" s="229">
        <f>_xlfn.XLOOKUP(表格3_5[[#This Row],[Name]],Name_list[Full Name],Name_list[Hourr Rate])</f>
        <v>60</v>
      </c>
      <c r="S149" s="229">
        <f>表格3_5[[#This Row],[Hours Worked]]*表格3_5[[#This Row],[Hourly Rate]]</f>
        <v>480</v>
      </c>
    </row>
    <row r="150" spans="1:19" ht="18">
      <c r="A150" s="217">
        <v>148</v>
      </c>
      <c r="B150" s="225" t="str">
        <f>_xlfn.CONCAT(表格3_5[[#This Row],[Name]],表格3_5[[#This Row],[Location]])</f>
        <v>Yuen Maria Wing YanSW Wing On</v>
      </c>
      <c r="C150" s="226"/>
      <c r="D150" s="218"/>
      <c r="E150" s="226" t="str">
        <f>DAY(表格3_5[[#This Row],[Date]])&amp;""</f>
        <v>19</v>
      </c>
      <c r="F150" s="236">
        <v>46192</v>
      </c>
      <c r="G150" s="232" t="str">
        <f>_xlfn.XLOOKUP(表格3_5[[#This Row],[Name]],Name_list[Full Name],Name_list[Nick Name])</f>
        <v>Carol</v>
      </c>
      <c r="H150" s="219" t="s">
        <v>897</v>
      </c>
      <c r="I150" s="220" t="s">
        <v>233</v>
      </c>
      <c r="J150" s="221">
        <v>0.45833333333333198</v>
      </c>
      <c r="K150" s="221">
        <v>0.79166666666666796</v>
      </c>
      <c r="L150" s="227">
        <f>(表格3_5[[#This Row],[Out-Time]] - 表格3_5[[#This Row],[In-Time]])*24</f>
        <v>8.0000000000000639</v>
      </c>
      <c r="M150" s="228">
        <f>表格3_5[[#This Row],[ Hours]]-表格3_5[[#This Row],[Normal working
 hours]]</f>
        <v>0</v>
      </c>
      <c r="N150" s="221">
        <v>0.45833333333333198</v>
      </c>
      <c r="O150" s="221">
        <v>0.79166666666666796</v>
      </c>
      <c r="P150" s="229">
        <f>(表格3_5[[#This Row],[Out-Time2]] - 表格3_5[[#This Row],[In-Time2]])*24</f>
        <v>8.0000000000000639</v>
      </c>
      <c r="Q150" s="222">
        <v>8</v>
      </c>
      <c r="R150" s="229">
        <f>_xlfn.XLOOKUP(表格3_5[[#This Row],[Name]],Name_list[Full Name],Name_list[Hourr Rate])</f>
        <v>60</v>
      </c>
      <c r="S150" s="229">
        <f>表格3_5[[#This Row],[Hours Worked]]*表格3_5[[#This Row],[Hourly Rate]]</f>
        <v>480</v>
      </c>
    </row>
    <row r="151" spans="1:19" ht="18">
      <c r="A151" s="217">
        <v>149</v>
      </c>
      <c r="B151" s="225" t="str">
        <f>_xlfn.CONCAT(表格3_5[[#This Row],[Name]],表格3_5[[#This Row],[Location]])</f>
        <v>Yuen Maria Wing YanSW Wing On</v>
      </c>
      <c r="C151" s="226"/>
      <c r="D151" s="218"/>
      <c r="E151" s="226" t="str">
        <f>DAY(表格3_5[[#This Row],[Date]])&amp;""</f>
        <v>25</v>
      </c>
      <c r="F151" s="236">
        <v>46198</v>
      </c>
      <c r="G151" s="232" t="str">
        <f>_xlfn.XLOOKUP(表格3_5[[#This Row],[Name]],Name_list[Full Name],Name_list[Nick Name])</f>
        <v>Carol</v>
      </c>
      <c r="H151" s="219" t="s">
        <v>897</v>
      </c>
      <c r="I151" s="220" t="s">
        <v>233</v>
      </c>
      <c r="J151" s="221">
        <v>0.45833333333333198</v>
      </c>
      <c r="K151" s="221">
        <v>0.79166666666666796</v>
      </c>
      <c r="L151" s="227">
        <f>(表格3_5[[#This Row],[Out-Time]] - 表格3_5[[#This Row],[In-Time]])*24</f>
        <v>8.0000000000000639</v>
      </c>
      <c r="M151" s="228">
        <f>表格3_5[[#This Row],[ Hours]]-表格3_5[[#This Row],[Normal working
 hours]]</f>
        <v>0</v>
      </c>
      <c r="N151" s="221">
        <v>0.45833333333333198</v>
      </c>
      <c r="O151" s="221">
        <v>0.79166666666666796</v>
      </c>
      <c r="P151" s="229">
        <f>(表格3_5[[#This Row],[Out-Time2]] - 表格3_5[[#This Row],[In-Time2]])*24</f>
        <v>8.0000000000000639</v>
      </c>
      <c r="Q151" s="222">
        <v>8</v>
      </c>
      <c r="R151" s="229">
        <f>_xlfn.XLOOKUP(表格3_5[[#This Row],[Name]],Name_list[Full Name],Name_list[Hourr Rate])</f>
        <v>60</v>
      </c>
      <c r="S151" s="229">
        <f>表格3_5[[#This Row],[Hours Worked]]*表格3_5[[#This Row],[Hourly Rate]]</f>
        <v>480</v>
      </c>
    </row>
    <row r="152" spans="1:19" ht="18">
      <c r="A152" s="217">
        <v>150</v>
      </c>
      <c r="B152" s="225" t="str">
        <f>_xlfn.CONCAT(表格3_5[[#This Row],[Name]],表格3_5[[#This Row],[Location]])</f>
        <v>Tang Chiu FanTW Aeon</v>
      </c>
      <c r="C152" s="226"/>
      <c r="D152" s="218"/>
      <c r="E152" s="226" t="str">
        <f>DAY(表格3_5[[#This Row],[Date]])&amp;""</f>
        <v>6</v>
      </c>
      <c r="F152" s="236">
        <v>46179</v>
      </c>
      <c r="G152" s="232" t="str">
        <f>_xlfn.XLOOKUP(表格3_5[[#This Row],[Name]],Name_list[Full Name],Name_list[Nick Name])</f>
        <v>Fan</v>
      </c>
      <c r="H152" s="219" t="s">
        <v>334</v>
      </c>
      <c r="I152" s="220" t="s">
        <v>970</v>
      </c>
      <c r="J152" s="221">
        <v>0.5</v>
      </c>
      <c r="K152" s="221">
        <v>0.83333333333333337</v>
      </c>
      <c r="L152" s="227">
        <f>(表格3_5[[#This Row],[Out-Time]] - 表格3_5[[#This Row],[In-Time]])*24</f>
        <v>8</v>
      </c>
      <c r="M152" s="228">
        <f>表格3_5[[#This Row],[ Hours]]-表格3_5[[#This Row],[Normal working
 hours]]</f>
        <v>0</v>
      </c>
      <c r="N152" s="221">
        <v>0.5</v>
      </c>
      <c r="O152" s="221">
        <v>0.83333333333333337</v>
      </c>
      <c r="P152" s="229">
        <f>(表格3_5[[#This Row],[Out-Time2]] - 表格3_5[[#This Row],[In-Time2]])*24</f>
        <v>8</v>
      </c>
      <c r="Q152" s="222">
        <v>8</v>
      </c>
      <c r="R152" s="229">
        <f>_xlfn.XLOOKUP(表格3_5[[#This Row],[Name]],Name_list[Full Name],Name_list[Hourr Rate])</f>
        <v>60</v>
      </c>
      <c r="S152" s="229">
        <f>表格3_5[[#This Row],[Hours Worked]]*表格3_5[[#This Row],[Hourly Rate]]</f>
        <v>480</v>
      </c>
    </row>
    <row r="153" spans="1:19" ht="18">
      <c r="A153" s="217">
        <v>151</v>
      </c>
      <c r="B153" s="225" t="str">
        <f>_xlfn.CONCAT(表格3_5[[#This Row],[Name]],表格3_5[[#This Row],[Location]])</f>
        <v>Tang Chiu FanTW Aeon</v>
      </c>
      <c r="C153" s="226"/>
      <c r="D153" s="218"/>
      <c r="E153" s="226" t="str">
        <f>DAY(表格3_5[[#This Row],[Date]])&amp;""</f>
        <v>7</v>
      </c>
      <c r="F153" s="236">
        <v>46180</v>
      </c>
      <c r="G153" s="232" t="str">
        <f>_xlfn.XLOOKUP(表格3_5[[#This Row],[Name]],Name_list[Full Name],Name_list[Nick Name])</f>
        <v>Fan</v>
      </c>
      <c r="H153" s="219" t="s">
        <v>334</v>
      </c>
      <c r="I153" s="220" t="s">
        <v>970</v>
      </c>
      <c r="J153" s="221">
        <v>0.5</v>
      </c>
      <c r="K153" s="221">
        <v>0.83333333333333337</v>
      </c>
      <c r="L153" s="227">
        <f>(表格3_5[[#This Row],[Out-Time]] - 表格3_5[[#This Row],[In-Time]])*24</f>
        <v>8</v>
      </c>
      <c r="M153" s="228">
        <f>表格3_5[[#This Row],[ Hours]]-表格3_5[[#This Row],[Normal working
 hours]]</f>
        <v>0</v>
      </c>
      <c r="N153" s="221">
        <v>0.5</v>
      </c>
      <c r="O153" s="221">
        <v>0.83333333333333337</v>
      </c>
      <c r="P153" s="229">
        <f>(表格3_5[[#This Row],[Out-Time2]] - 表格3_5[[#This Row],[In-Time2]])*24</f>
        <v>8</v>
      </c>
      <c r="Q153" s="222">
        <v>8</v>
      </c>
      <c r="R153" s="229">
        <f>_xlfn.XLOOKUP(表格3_5[[#This Row],[Name]],Name_list[Full Name],Name_list[Hourr Rate])</f>
        <v>60</v>
      </c>
      <c r="S153" s="229">
        <f>表格3_5[[#This Row],[Hours Worked]]*表格3_5[[#This Row],[Hourly Rate]]</f>
        <v>480</v>
      </c>
    </row>
    <row r="154" spans="1:19" ht="18">
      <c r="A154" s="217">
        <v>152</v>
      </c>
      <c r="B154" s="225" t="str">
        <f>_xlfn.CONCAT(表格3_5[[#This Row],[Name]],表格3_5[[#This Row],[Location]])</f>
        <v>Tang Chiu FanTW Aeon</v>
      </c>
      <c r="C154" s="226"/>
      <c r="D154" s="218"/>
      <c r="E154" s="226" t="str">
        <f>DAY(表格3_5[[#This Row],[Date]])&amp;""</f>
        <v>13</v>
      </c>
      <c r="F154" s="236">
        <v>46186</v>
      </c>
      <c r="G154" s="232" t="str">
        <f>_xlfn.XLOOKUP(表格3_5[[#This Row],[Name]],Name_list[Full Name],Name_list[Nick Name])</f>
        <v>Fan</v>
      </c>
      <c r="H154" s="219" t="s">
        <v>334</v>
      </c>
      <c r="I154" s="220" t="s">
        <v>970</v>
      </c>
      <c r="J154" s="221">
        <v>0.5</v>
      </c>
      <c r="K154" s="221">
        <v>0.83333333333333337</v>
      </c>
      <c r="L154" s="227">
        <f>(表格3_5[[#This Row],[Out-Time]] - 表格3_5[[#This Row],[In-Time]])*24</f>
        <v>8</v>
      </c>
      <c r="M154" s="228">
        <f>表格3_5[[#This Row],[ Hours]]-表格3_5[[#This Row],[Normal working
 hours]]</f>
        <v>0</v>
      </c>
      <c r="N154" s="221">
        <v>0.5</v>
      </c>
      <c r="O154" s="221">
        <v>0.83333333333333337</v>
      </c>
      <c r="P154" s="229">
        <f>(表格3_5[[#This Row],[Out-Time2]] - 表格3_5[[#This Row],[In-Time2]])*24</f>
        <v>8</v>
      </c>
      <c r="Q154" s="222">
        <v>8</v>
      </c>
      <c r="R154" s="229">
        <f>_xlfn.XLOOKUP(表格3_5[[#This Row],[Name]],Name_list[Full Name],Name_list[Hourr Rate])</f>
        <v>60</v>
      </c>
      <c r="S154" s="229">
        <f>表格3_5[[#This Row],[Hours Worked]]*表格3_5[[#This Row],[Hourly Rate]]</f>
        <v>480</v>
      </c>
    </row>
    <row r="155" spans="1:19" ht="18">
      <c r="A155" s="217">
        <v>153</v>
      </c>
      <c r="B155" s="225" t="str">
        <f>_xlfn.CONCAT(表格3_5[[#This Row],[Name]],表格3_5[[#This Row],[Location]])</f>
        <v>Tang Chiu FanTW Aeon</v>
      </c>
      <c r="C155" s="226"/>
      <c r="D155" s="218"/>
      <c r="E155" s="226" t="str">
        <f>DAY(表格3_5[[#This Row],[Date]])&amp;""</f>
        <v>14</v>
      </c>
      <c r="F155" s="236">
        <v>46187</v>
      </c>
      <c r="G155" s="232" t="str">
        <f>_xlfn.XLOOKUP(表格3_5[[#This Row],[Name]],Name_list[Full Name],Name_list[Nick Name])</f>
        <v>Fan</v>
      </c>
      <c r="H155" s="219" t="s">
        <v>334</v>
      </c>
      <c r="I155" s="220" t="s">
        <v>970</v>
      </c>
      <c r="J155" s="221">
        <v>0.5</v>
      </c>
      <c r="K155" s="221">
        <v>0.83333333333333337</v>
      </c>
      <c r="L155" s="227">
        <f>(表格3_5[[#This Row],[Out-Time]] - 表格3_5[[#This Row],[In-Time]])*24</f>
        <v>8</v>
      </c>
      <c r="M155" s="228">
        <f>表格3_5[[#This Row],[ Hours]]-表格3_5[[#This Row],[Normal working
 hours]]</f>
        <v>0</v>
      </c>
      <c r="N155" s="221">
        <v>0.5</v>
      </c>
      <c r="O155" s="221">
        <v>0.83333333333333337</v>
      </c>
      <c r="P155" s="229">
        <f>(表格3_5[[#This Row],[Out-Time2]] - 表格3_5[[#This Row],[In-Time2]])*24</f>
        <v>8</v>
      </c>
      <c r="Q155" s="222">
        <v>8</v>
      </c>
      <c r="R155" s="229">
        <f>_xlfn.XLOOKUP(表格3_5[[#This Row],[Name]],Name_list[Full Name],Name_list[Hourr Rate])</f>
        <v>60</v>
      </c>
      <c r="S155" s="229">
        <f>表格3_5[[#This Row],[Hours Worked]]*表格3_5[[#This Row],[Hourly Rate]]</f>
        <v>480</v>
      </c>
    </row>
    <row r="156" spans="1:19" ht="18">
      <c r="A156" s="217">
        <v>154</v>
      </c>
      <c r="B156" s="225" t="str">
        <f>_xlfn.CONCAT(表格3_5[[#This Row],[Name]],表格3_5[[#This Row],[Location]])</f>
        <v>Tang Chiu FanTW Aeon</v>
      </c>
      <c r="C156" s="226"/>
      <c r="D156" s="218"/>
      <c r="E156" s="226" t="str">
        <f>DAY(表格3_5[[#This Row],[Date]])&amp;""</f>
        <v>27</v>
      </c>
      <c r="F156" s="264">
        <v>46200</v>
      </c>
      <c r="G156" s="232" t="str">
        <f>_xlfn.XLOOKUP(表格3_5[[#This Row],[Name]],Name_list[Full Name],Name_list[Nick Name])</f>
        <v>Fan</v>
      </c>
      <c r="H156" s="219" t="s">
        <v>960</v>
      </c>
      <c r="I156" s="220" t="s">
        <v>970</v>
      </c>
      <c r="J156" s="221">
        <v>0.5</v>
      </c>
      <c r="K156" s="221">
        <v>0.83333333333333337</v>
      </c>
      <c r="L156" s="227">
        <f>(表格3_5[[#This Row],[Out-Time]] - 表格3_5[[#This Row],[In-Time]])*24</f>
        <v>8</v>
      </c>
      <c r="M156" s="228">
        <f>表格3_5[[#This Row],[ Hours]]-表格3_5[[#This Row],[Normal working
 hours]]</f>
        <v>0</v>
      </c>
      <c r="N156" s="221">
        <v>0.5</v>
      </c>
      <c r="O156" s="221">
        <v>0.83333333333333337</v>
      </c>
      <c r="P156" s="229">
        <f>(表格3_5[[#This Row],[Out-Time2]] - 表格3_5[[#This Row],[In-Time2]])*24</f>
        <v>8</v>
      </c>
      <c r="Q156" s="222">
        <v>8</v>
      </c>
      <c r="R156" s="229">
        <f>_xlfn.XLOOKUP(表格3_5[[#This Row],[Name]],Name_list[Full Name],Name_list[Hourr Rate])</f>
        <v>60</v>
      </c>
      <c r="S156" s="229">
        <f>表格3_5[[#This Row],[Hours Worked]]*表格3_5[[#This Row],[Hourly Rate]]</f>
        <v>480</v>
      </c>
    </row>
    <row r="157" spans="1:19" ht="18">
      <c r="A157" s="217">
        <v>155</v>
      </c>
      <c r="B157" s="225" t="str">
        <f>_xlfn.CONCAT(表格3_5[[#This Row],[Name]],表格3_5[[#This Row],[Location]])</f>
        <v>Tang Chiu FanTW Aeon</v>
      </c>
      <c r="C157" s="226"/>
      <c r="D157" s="218"/>
      <c r="E157" s="226" t="str">
        <f>DAY(表格3_5[[#This Row],[Date]])&amp;""</f>
        <v>28</v>
      </c>
      <c r="F157" s="236">
        <v>46201</v>
      </c>
      <c r="G157" s="232" t="str">
        <f>_xlfn.XLOOKUP(表格3_5[[#This Row],[Name]],Name_list[Full Name],Name_list[Nick Name])</f>
        <v>Fan</v>
      </c>
      <c r="H157" s="219" t="s">
        <v>334</v>
      </c>
      <c r="I157" s="220" t="s">
        <v>970</v>
      </c>
      <c r="J157" s="221">
        <v>0.5</v>
      </c>
      <c r="K157" s="221">
        <v>0.83333333333333337</v>
      </c>
      <c r="L157" s="227">
        <f>(表格3_5[[#This Row],[Out-Time]] - 表格3_5[[#This Row],[In-Time]])*24</f>
        <v>8</v>
      </c>
      <c r="M157" s="228">
        <f>表格3_5[[#This Row],[ Hours]]-表格3_5[[#This Row],[Normal working
 hours]]</f>
        <v>0</v>
      </c>
      <c r="N157" s="221">
        <v>0.5</v>
      </c>
      <c r="O157" s="221">
        <v>0.83333333333333337</v>
      </c>
      <c r="P157" s="229">
        <f>(表格3_5[[#This Row],[Out-Time2]] - 表格3_5[[#This Row],[In-Time2]])*24</f>
        <v>8</v>
      </c>
      <c r="Q157" s="222">
        <v>8</v>
      </c>
      <c r="R157" s="229">
        <f>_xlfn.XLOOKUP(表格3_5[[#This Row],[Name]],Name_list[Full Name],Name_list[Hourr Rate])</f>
        <v>60</v>
      </c>
      <c r="S157" s="229">
        <f>表格3_5[[#This Row],[Hours Worked]]*表格3_5[[#This Row],[Hourly Rate]]</f>
        <v>480</v>
      </c>
    </row>
    <row r="158" spans="1:19" ht="18">
      <c r="A158" s="217">
        <v>156</v>
      </c>
      <c r="B158" s="225" t="str">
        <f>_xlfn.CONCAT(表格3_5[[#This Row],[Name]],表格3_5[[#This Row],[Location]])</f>
        <v/>
      </c>
      <c r="C158" s="226"/>
      <c r="D158" s="218"/>
      <c r="E158" s="226" t="str">
        <f>DAY(表格3_5[[#This Row],[Date]])&amp;""</f>
        <v>0</v>
      </c>
      <c r="F158" s="236"/>
      <c r="G158" s="232">
        <f>_xlfn.XLOOKUP(表格3_5[[#This Row],[Name]],Name_list[Full Name],Name_list[Nick Name])</f>
        <v>0</v>
      </c>
      <c r="H158" s="219"/>
      <c r="I158" s="220"/>
      <c r="J158" s="221"/>
      <c r="K158" s="221"/>
      <c r="L158" s="227">
        <f>(表格3_5[[#This Row],[Out-Time]] - 表格3_5[[#This Row],[In-Time]])*24</f>
        <v>0</v>
      </c>
      <c r="M158" s="228">
        <f>表格3_5[[#This Row],[ Hours]]-表格3_5[[#This Row],[Normal working
 hours]]</f>
        <v>0</v>
      </c>
      <c r="N158" s="221"/>
      <c r="O158" s="221"/>
      <c r="P158" s="229">
        <f>(表格3_5[[#This Row],[Out-Time2]] - 表格3_5[[#This Row],[In-Time2]])*24</f>
        <v>0</v>
      </c>
      <c r="Q158" s="222"/>
      <c r="R158" s="229">
        <f>_xlfn.XLOOKUP(表格3_5[[#This Row],[Name]],Name_list[Full Name],Name_list[Hourr Rate])</f>
        <v>0</v>
      </c>
      <c r="S158" s="229">
        <f>表格3_5[[#This Row],[Hours Worked]]*表格3_5[[#This Row],[Hourly Rate]]</f>
        <v>0</v>
      </c>
    </row>
    <row r="159" spans="1:19" ht="18">
      <c r="A159" s="217">
        <v>157</v>
      </c>
      <c r="B159" s="225" t="str">
        <f>_xlfn.CONCAT(表格3_5[[#This Row],[Name]],表格3_5[[#This Row],[Location]])</f>
        <v/>
      </c>
      <c r="C159" s="226"/>
      <c r="D159" s="218"/>
      <c r="E159" s="226" t="str">
        <f>DAY(表格3_5[[#This Row],[Date]])&amp;""</f>
        <v>0</v>
      </c>
      <c r="F159" s="236"/>
      <c r="G159" s="232">
        <f>_xlfn.XLOOKUP(表格3_5[[#This Row],[Name]],Name_list[Full Name],Name_list[Nick Name])</f>
        <v>0</v>
      </c>
      <c r="H159" s="219"/>
      <c r="I159" s="220"/>
      <c r="J159" s="221"/>
      <c r="K159" s="221"/>
      <c r="L159" s="227">
        <f>(表格3_5[[#This Row],[Out-Time]] - 表格3_5[[#This Row],[In-Time]])*24</f>
        <v>0</v>
      </c>
      <c r="M159" s="228">
        <f>表格3_5[[#This Row],[ Hours]]-表格3_5[[#This Row],[Normal working
 hours]]</f>
        <v>0</v>
      </c>
      <c r="N159" s="221"/>
      <c r="O159" s="221"/>
      <c r="P159" s="229">
        <f>(表格3_5[[#This Row],[Out-Time2]] - 表格3_5[[#This Row],[In-Time2]])*24</f>
        <v>0</v>
      </c>
      <c r="Q159" s="222"/>
      <c r="R159" s="229">
        <f>_xlfn.XLOOKUP(表格3_5[[#This Row],[Name]],Name_list[Full Name],Name_list[Hourr Rate])</f>
        <v>0</v>
      </c>
      <c r="S159" s="229">
        <f>表格3_5[[#This Row],[Hours Worked]]*表格3_5[[#This Row],[Hourly Rate]]</f>
        <v>0</v>
      </c>
    </row>
    <row r="160" spans="1:19" ht="18">
      <c r="A160" s="217">
        <v>158</v>
      </c>
      <c r="B160" s="225" t="str">
        <f>_xlfn.CONCAT(表格3_5[[#This Row],[Name]],表格3_5[[#This Row],[Location]])</f>
        <v/>
      </c>
      <c r="C160" s="226"/>
      <c r="D160" s="218"/>
      <c r="E160" s="226" t="str">
        <f>DAY(表格3_5[[#This Row],[Date]])&amp;""</f>
        <v>0</v>
      </c>
      <c r="F160" s="236"/>
      <c r="G160" s="232">
        <f>_xlfn.XLOOKUP(表格3_5[[#This Row],[Name]],Name_list[Full Name],Name_list[Nick Name])</f>
        <v>0</v>
      </c>
      <c r="H160" s="219"/>
      <c r="I160" s="220"/>
      <c r="J160" s="221"/>
      <c r="K160" s="221"/>
      <c r="L160" s="227">
        <f>(表格3_5[[#This Row],[Out-Time]] - 表格3_5[[#This Row],[In-Time]])*24</f>
        <v>0</v>
      </c>
      <c r="M160" s="228">
        <f>表格3_5[[#This Row],[ Hours]]-表格3_5[[#This Row],[Normal working
 hours]]</f>
        <v>0</v>
      </c>
      <c r="N160" s="221"/>
      <c r="O160" s="221"/>
      <c r="P160" s="229">
        <f>(表格3_5[[#This Row],[Out-Time2]] - 表格3_5[[#This Row],[In-Time2]])*24</f>
        <v>0</v>
      </c>
      <c r="Q160" s="222"/>
      <c r="R160" s="229">
        <f>_xlfn.XLOOKUP(表格3_5[[#This Row],[Name]],Name_list[Full Name],Name_list[Hourr Rate])</f>
        <v>0</v>
      </c>
      <c r="S160" s="229">
        <f>表格3_5[[#This Row],[Hours Worked]]*表格3_5[[#This Row],[Hourly Rate]]</f>
        <v>0</v>
      </c>
    </row>
    <row r="161" spans="1:19" ht="18">
      <c r="A161" s="217">
        <v>159</v>
      </c>
      <c r="B161" s="225" t="str">
        <f>_xlfn.CONCAT(表格3_5[[#This Row],[Name]],表格3_5[[#This Row],[Location]])</f>
        <v/>
      </c>
      <c r="C161" s="226"/>
      <c r="D161" s="218"/>
      <c r="E161" s="226" t="str">
        <f>DAY(表格3_5[[#This Row],[Date]])&amp;""</f>
        <v>0</v>
      </c>
      <c r="F161" s="236"/>
      <c r="G161" s="232">
        <f>_xlfn.XLOOKUP(表格3_5[[#This Row],[Name]],Name_list[Full Name],Name_list[Nick Name])</f>
        <v>0</v>
      </c>
      <c r="H161" s="219"/>
      <c r="I161" s="220"/>
      <c r="J161" s="221"/>
      <c r="K161" s="221"/>
      <c r="L161" s="227">
        <f>(表格3_5[[#This Row],[Out-Time]] - 表格3_5[[#This Row],[In-Time]])*24</f>
        <v>0</v>
      </c>
      <c r="M161" s="228">
        <f>表格3_5[[#This Row],[ Hours]]-表格3_5[[#This Row],[Normal working
 hours]]</f>
        <v>0</v>
      </c>
      <c r="N161" s="221"/>
      <c r="O161" s="221"/>
      <c r="P161" s="229">
        <f>(表格3_5[[#This Row],[Out-Time2]] - 表格3_5[[#This Row],[In-Time2]])*24</f>
        <v>0</v>
      </c>
      <c r="Q161" s="222"/>
      <c r="R161" s="229">
        <f>_xlfn.XLOOKUP(表格3_5[[#This Row],[Name]],Name_list[Full Name],Name_list[Hourr Rate])</f>
        <v>0</v>
      </c>
      <c r="S161" s="229">
        <f>表格3_5[[#This Row],[Hours Worked]]*表格3_5[[#This Row],[Hourly Rate]]</f>
        <v>0</v>
      </c>
    </row>
    <row r="162" spans="1:19" ht="18">
      <c r="A162" s="217">
        <v>160</v>
      </c>
      <c r="B162" s="225" t="str">
        <f>_xlfn.CONCAT(表格3_5[[#This Row],[Name]],表格3_5[[#This Row],[Location]])</f>
        <v/>
      </c>
      <c r="C162" s="226"/>
      <c r="D162" s="218"/>
      <c r="E162" s="226" t="str">
        <f>DAY(表格3_5[[#This Row],[Date]])&amp;""</f>
        <v>0</v>
      </c>
      <c r="F162" s="236"/>
      <c r="G162" s="232">
        <f>_xlfn.XLOOKUP(表格3_5[[#This Row],[Name]],Name_list[Full Name],Name_list[Nick Name])</f>
        <v>0</v>
      </c>
      <c r="H162" s="219"/>
      <c r="I162" s="220"/>
      <c r="J162" s="221"/>
      <c r="K162" s="221"/>
      <c r="L162" s="227">
        <f>(表格3_5[[#This Row],[Out-Time]] - 表格3_5[[#This Row],[In-Time]])*24</f>
        <v>0</v>
      </c>
      <c r="M162" s="228">
        <f>表格3_5[[#This Row],[ Hours]]-表格3_5[[#This Row],[Normal working
 hours]]</f>
        <v>0</v>
      </c>
      <c r="N162" s="221"/>
      <c r="O162" s="221"/>
      <c r="P162" s="229">
        <f>(表格3_5[[#This Row],[Out-Time2]] - 表格3_5[[#This Row],[In-Time2]])*24</f>
        <v>0</v>
      </c>
      <c r="Q162" s="222"/>
      <c r="R162" s="229">
        <f>_xlfn.XLOOKUP(表格3_5[[#This Row],[Name]],Name_list[Full Name],Name_list[Hourr Rate])</f>
        <v>0</v>
      </c>
      <c r="S162" s="229">
        <f>表格3_5[[#This Row],[Hours Worked]]*表格3_5[[#This Row],[Hourly Rate]]</f>
        <v>0</v>
      </c>
    </row>
    <row r="163" spans="1:19" ht="18">
      <c r="A163" s="217">
        <v>161</v>
      </c>
      <c r="B163" s="225" t="str">
        <f>_xlfn.CONCAT(表格3_5[[#This Row],[Name]],表格3_5[[#This Row],[Location]])</f>
        <v/>
      </c>
      <c r="C163" s="226"/>
      <c r="D163" s="218"/>
      <c r="E163" s="226" t="str">
        <f>DAY(表格3_5[[#This Row],[Date]])&amp;""</f>
        <v>0</v>
      </c>
      <c r="F163" s="236"/>
      <c r="G163" s="232">
        <f>_xlfn.XLOOKUP(表格3_5[[#This Row],[Name]],Name_list[Full Name],Name_list[Nick Name])</f>
        <v>0</v>
      </c>
      <c r="H163" s="219"/>
      <c r="I163" s="220"/>
      <c r="J163" s="221"/>
      <c r="K163" s="221"/>
      <c r="L163" s="227">
        <f>(表格3_5[[#This Row],[Out-Time]] - 表格3_5[[#This Row],[In-Time]])*24</f>
        <v>0</v>
      </c>
      <c r="M163" s="228">
        <f>表格3_5[[#This Row],[ Hours]]-表格3_5[[#This Row],[Normal working
 hours]]</f>
        <v>0</v>
      </c>
      <c r="N163" s="221"/>
      <c r="O163" s="221"/>
      <c r="P163" s="229">
        <f>(表格3_5[[#This Row],[Out-Time2]] - 表格3_5[[#This Row],[In-Time2]])*24</f>
        <v>0</v>
      </c>
      <c r="Q163" s="222"/>
      <c r="R163" s="229">
        <f>_xlfn.XLOOKUP(表格3_5[[#This Row],[Name]],Name_list[Full Name],Name_list[Hourr Rate])</f>
        <v>0</v>
      </c>
      <c r="S163" s="229">
        <f>表格3_5[[#This Row],[Hours Worked]]*表格3_5[[#This Row],[Hourly Rate]]</f>
        <v>0</v>
      </c>
    </row>
    <row r="164" spans="1:19" ht="18">
      <c r="A164" s="217">
        <v>162</v>
      </c>
      <c r="B164" s="225" t="str">
        <f>_xlfn.CONCAT(表格3_5[[#This Row],[Name]],表格3_5[[#This Row],[Location]])</f>
        <v/>
      </c>
      <c r="C164" s="226"/>
      <c r="D164" s="218"/>
      <c r="E164" s="226" t="str">
        <f>DAY(表格3_5[[#This Row],[Date]])&amp;""</f>
        <v>0</v>
      </c>
      <c r="F164" s="236"/>
      <c r="G164" s="232">
        <f>_xlfn.XLOOKUP(表格3_5[[#This Row],[Name]],Name_list[Full Name],Name_list[Nick Name])</f>
        <v>0</v>
      </c>
      <c r="H164" s="219"/>
      <c r="I164" s="220"/>
      <c r="J164" s="221"/>
      <c r="K164" s="221"/>
      <c r="L164" s="227">
        <f>(表格3_5[[#This Row],[Out-Time]] - 表格3_5[[#This Row],[In-Time]])*24</f>
        <v>0</v>
      </c>
      <c r="M164" s="228">
        <f>表格3_5[[#This Row],[ Hours]]-表格3_5[[#This Row],[Normal working
 hours]]</f>
        <v>0</v>
      </c>
      <c r="N164" s="221"/>
      <c r="O164" s="221"/>
      <c r="P164" s="229">
        <f>(表格3_5[[#This Row],[Out-Time2]] - 表格3_5[[#This Row],[In-Time2]])*24</f>
        <v>0</v>
      </c>
      <c r="Q164" s="222"/>
      <c r="R164" s="229">
        <f>_xlfn.XLOOKUP(表格3_5[[#This Row],[Name]],Name_list[Full Name],Name_list[Hourr Rate])</f>
        <v>0</v>
      </c>
      <c r="S164" s="229">
        <f>表格3_5[[#This Row],[Hours Worked]]*表格3_5[[#This Row],[Hourly Rate]]</f>
        <v>0</v>
      </c>
    </row>
    <row r="165" spans="1:19" ht="18">
      <c r="A165" s="217">
        <v>163</v>
      </c>
      <c r="B165" s="225" t="str">
        <f>_xlfn.CONCAT(表格3_5[[#This Row],[Name]],表格3_5[[#This Row],[Location]])</f>
        <v/>
      </c>
      <c r="C165" s="226"/>
      <c r="D165" s="218"/>
      <c r="E165" s="226" t="str">
        <f>DAY(表格3_5[[#This Row],[Date]])&amp;""</f>
        <v>0</v>
      </c>
      <c r="F165" s="236"/>
      <c r="G165" s="232">
        <f>_xlfn.XLOOKUP(表格3_5[[#This Row],[Name]],Name_list[Full Name],Name_list[Nick Name])</f>
        <v>0</v>
      </c>
      <c r="H165" s="219"/>
      <c r="I165" s="220"/>
      <c r="J165" s="221"/>
      <c r="K165" s="221"/>
      <c r="L165" s="227">
        <f>(表格3_5[[#This Row],[Out-Time]] - 表格3_5[[#This Row],[In-Time]])*24</f>
        <v>0</v>
      </c>
      <c r="M165" s="228">
        <f>表格3_5[[#This Row],[ Hours]]-表格3_5[[#This Row],[Normal working
 hours]]</f>
        <v>0</v>
      </c>
      <c r="N165" s="221"/>
      <c r="O165" s="221"/>
      <c r="P165" s="229">
        <f>(表格3_5[[#This Row],[Out-Time2]] - 表格3_5[[#This Row],[In-Time2]])*24</f>
        <v>0</v>
      </c>
      <c r="Q165" s="222"/>
      <c r="R165" s="229">
        <f>_xlfn.XLOOKUP(表格3_5[[#This Row],[Name]],Name_list[Full Name],Name_list[Hourr Rate])</f>
        <v>0</v>
      </c>
      <c r="S165" s="229">
        <f>表格3_5[[#This Row],[Hours Worked]]*表格3_5[[#This Row],[Hourly Rate]]</f>
        <v>0</v>
      </c>
    </row>
    <row r="166" spans="1:19" ht="18">
      <c r="A166" s="217">
        <v>164</v>
      </c>
      <c r="B166" s="225" t="str">
        <f>_xlfn.CONCAT(表格3_5[[#This Row],[Name]],表格3_5[[#This Row],[Location]])</f>
        <v/>
      </c>
      <c r="C166" s="226"/>
      <c r="D166" s="218"/>
      <c r="E166" s="226" t="str">
        <f>DAY(表格3_5[[#This Row],[Date]])&amp;""</f>
        <v>0</v>
      </c>
      <c r="F166" s="236"/>
      <c r="G166" s="232">
        <f>_xlfn.XLOOKUP(表格3_5[[#This Row],[Name]],Name_list[Full Name],Name_list[Nick Name])</f>
        <v>0</v>
      </c>
      <c r="H166" s="219"/>
      <c r="I166" s="220"/>
      <c r="J166" s="221"/>
      <c r="K166" s="221"/>
      <c r="L166" s="227">
        <f>(表格3_5[[#This Row],[Out-Time]] - 表格3_5[[#This Row],[In-Time]])*24</f>
        <v>0</v>
      </c>
      <c r="M166" s="228">
        <f>表格3_5[[#This Row],[ Hours]]-表格3_5[[#This Row],[Normal working
 hours]]</f>
        <v>0</v>
      </c>
      <c r="N166" s="221"/>
      <c r="O166" s="221"/>
      <c r="P166" s="229">
        <f>(表格3_5[[#This Row],[Out-Time2]] - 表格3_5[[#This Row],[In-Time2]])*24</f>
        <v>0</v>
      </c>
      <c r="Q166" s="222"/>
      <c r="R166" s="229">
        <f>_xlfn.XLOOKUP(表格3_5[[#This Row],[Name]],Name_list[Full Name],Name_list[Hourr Rate])</f>
        <v>0</v>
      </c>
      <c r="S166" s="229">
        <f>表格3_5[[#This Row],[Hours Worked]]*表格3_5[[#This Row],[Hourly Rate]]</f>
        <v>0</v>
      </c>
    </row>
    <row r="167" spans="1:19" ht="18">
      <c r="A167" s="217">
        <v>165</v>
      </c>
      <c r="B167" s="225" t="str">
        <f>_xlfn.CONCAT(表格3_5[[#This Row],[Name]],表格3_5[[#This Row],[Location]])</f>
        <v/>
      </c>
      <c r="C167" s="226"/>
      <c r="D167" s="218"/>
      <c r="E167" s="226" t="str">
        <f>DAY(表格3_5[[#This Row],[Date]])&amp;""</f>
        <v>0</v>
      </c>
      <c r="F167" s="236"/>
      <c r="G167" s="232">
        <f>_xlfn.XLOOKUP(表格3_5[[#This Row],[Name]],Name_list[Full Name],Name_list[Nick Name])</f>
        <v>0</v>
      </c>
      <c r="H167" s="219"/>
      <c r="I167" s="220"/>
      <c r="J167" s="221"/>
      <c r="K167" s="221"/>
      <c r="L167" s="227">
        <f>(表格3_5[[#This Row],[Out-Time]] - 表格3_5[[#This Row],[In-Time]])*24</f>
        <v>0</v>
      </c>
      <c r="M167" s="228">
        <f>表格3_5[[#This Row],[ Hours]]-表格3_5[[#This Row],[Normal working
 hours]]</f>
        <v>0</v>
      </c>
      <c r="N167" s="221"/>
      <c r="O167" s="221"/>
      <c r="P167" s="229">
        <f>(表格3_5[[#This Row],[Out-Time2]] - 表格3_5[[#This Row],[In-Time2]])*24</f>
        <v>0</v>
      </c>
      <c r="Q167" s="222"/>
      <c r="R167" s="229">
        <f>_xlfn.XLOOKUP(表格3_5[[#This Row],[Name]],Name_list[Full Name],Name_list[Hourr Rate])</f>
        <v>0</v>
      </c>
      <c r="S167" s="229">
        <f>表格3_5[[#This Row],[Hours Worked]]*表格3_5[[#This Row],[Hourly Rate]]</f>
        <v>0</v>
      </c>
    </row>
    <row r="168" spans="1:19" ht="18">
      <c r="A168" s="217">
        <v>166</v>
      </c>
      <c r="B168" s="225" t="str">
        <f>_xlfn.CONCAT(表格3_5[[#This Row],[Name]],表格3_5[[#This Row],[Location]])</f>
        <v/>
      </c>
      <c r="C168" s="226"/>
      <c r="D168" s="218"/>
      <c r="E168" s="226" t="str">
        <f>DAY(表格3_5[[#This Row],[Date]])&amp;""</f>
        <v>0</v>
      </c>
      <c r="F168" s="236"/>
      <c r="G168" s="232">
        <f>_xlfn.XLOOKUP(表格3_5[[#This Row],[Name]],Name_list[Full Name],Name_list[Nick Name])</f>
        <v>0</v>
      </c>
      <c r="H168" s="219"/>
      <c r="I168" s="220"/>
      <c r="J168" s="221"/>
      <c r="K168" s="221"/>
      <c r="L168" s="227">
        <f>(表格3_5[[#This Row],[Out-Time]] - 表格3_5[[#This Row],[In-Time]])*24</f>
        <v>0</v>
      </c>
      <c r="M168" s="228">
        <f>表格3_5[[#This Row],[ Hours]]-表格3_5[[#This Row],[Normal working
 hours]]</f>
        <v>0</v>
      </c>
      <c r="N168" s="221"/>
      <c r="O168" s="221"/>
      <c r="P168" s="229">
        <f>(表格3_5[[#This Row],[Out-Time2]] - 表格3_5[[#This Row],[In-Time2]])*24</f>
        <v>0</v>
      </c>
      <c r="Q168" s="222"/>
      <c r="R168" s="229">
        <f>_xlfn.XLOOKUP(表格3_5[[#This Row],[Name]],Name_list[Full Name],Name_list[Hourr Rate])</f>
        <v>0</v>
      </c>
      <c r="S168" s="229">
        <f>表格3_5[[#This Row],[Hours Worked]]*表格3_5[[#This Row],[Hourly Rate]]</f>
        <v>0</v>
      </c>
    </row>
    <row r="169" spans="1:19" ht="18">
      <c r="A169" s="217">
        <v>167</v>
      </c>
      <c r="B169" s="225" t="str">
        <f>_xlfn.CONCAT(表格3_5[[#This Row],[Name]],表格3_5[[#This Row],[Location]])</f>
        <v/>
      </c>
      <c r="C169" s="226"/>
      <c r="D169" s="218"/>
      <c r="E169" s="226" t="str">
        <f>DAY(表格3_5[[#This Row],[Date]])&amp;""</f>
        <v>0</v>
      </c>
      <c r="F169" s="236"/>
      <c r="G169" s="232">
        <f>_xlfn.XLOOKUP(表格3_5[[#This Row],[Name]],Name_list[Full Name],Name_list[Nick Name])</f>
        <v>0</v>
      </c>
      <c r="H169" s="219"/>
      <c r="I169" s="220"/>
      <c r="J169" s="221"/>
      <c r="K169" s="221"/>
      <c r="L169" s="227">
        <f>(表格3_5[[#This Row],[Out-Time]] - 表格3_5[[#This Row],[In-Time]])*24</f>
        <v>0</v>
      </c>
      <c r="M169" s="228">
        <f>表格3_5[[#This Row],[ Hours]]-表格3_5[[#This Row],[Normal working
 hours]]</f>
        <v>0</v>
      </c>
      <c r="N169" s="221"/>
      <c r="O169" s="221"/>
      <c r="P169" s="229">
        <f>(表格3_5[[#This Row],[Out-Time2]] - 表格3_5[[#This Row],[In-Time2]])*24</f>
        <v>0</v>
      </c>
      <c r="Q169" s="222"/>
      <c r="R169" s="229">
        <f>_xlfn.XLOOKUP(表格3_5[[#This Row],[Name]],Name_list[Full Name],Name_list[Hourr Rate])</f>
        <v>0</v>
      </c>
      <c r="S169" s="229">
        <f>表格3_5[[#This Row],[Hours Worked]]*表格3_5[[#This Row],[Hourly Rate]]</f>
        <v>0</v>
      </c>
    </row>
    <row r="170" spans="1:19" ht="18">
      <c r="A170" s="217">
        <v>168</v>
      </c>
      <c r="B170" s="225" t="str">
        <f>_xlfn.CONCAT(表格3_5[[#This Row],[Name]],表格3_5[[#This Row],[Location]])</f>
        <v/>
      </c>
      <c r="C170" s="226"/>
      <c r="D170" s="218"/>
      <c r="E170" s="226" t="str">
        <f>DAY(表格3_5[[#This Row],[Date]])&amp;""</f>
        <v>0</v>
      </c>
      <c r="F170" s="236"/>
      <c r="G170" s="232">
        <f>_xlfn.XLOOKUP(表格3_5[[#This Row],[Name]],Name_list[Full Name],Name_list[Nick Name])</f>
        <v>0</v>
      </c>
      <c r="H170" s="219"/>
      <c r="I170" s="220"/>
      <c r="J170" s="221"/>
      <c r="K170" s="221"/>
      <c r="L170" s="227">
        <f>(表格3_5[[#This Row],[Out-Time]] - 表格3_5[[#This Row],[In-Time]])*24</f>
        <v>0</v>
      </c>
      <c r="M170" s="228">
        <f>表格3_5[[#This Row],[ Hours]]-表格3_5[[#This Row],[Normal working
 hours]]</f>
        <v>0</v>
      </c>
      <c r="N170" s="221"/>
      <c r="O170" s="221"/>
      <c r="P170" s="229">
        <f>(表格3_5[[#This Row],[Out-Time2]] - 表格3_5[[#This Row],[In-Time2]])*24</f>
        <v>0</v>
      </c>
      <c r="Q170" s="222"/>
      <c r="R170" s="229">
        <f>_xlfn.XLOOKUP(表格3_5[[#This Row],[Name]],Name_list[Full Name],Name_list[Hourr Rate])</f>
        <v>0</v>
      </c>
      <c r="S170" s="229">
        <f>表格3_5[[#This Row],[Hours Worked]]*表格3_5[[#This Row],[Hourly Rate]]</f>
        <v>0</v>
      </c>
    </row>
    <row r="171" spans="1:19" ht="18">
      <c r="A171" s="217">
        <v>169</v>
      </c>
      <c r="B171" s="225" t="str">
        <f>_xlfn.CONCAT(表格3_5[[#This Row],[Name]],表格3_5[[#This Row],[Location]])</f>
        <v/>
      </c>
      <c r="C171" s="226"/>
      <c r="D171" s="218"/>
      <c r="E171" s="226" t="str">
        <f>DAY(表格3_5[[#This Row],[Date]])&amp;""</f>
        <v>0</v>
      </c>
      <c r="F171" s="236"/>
      <c r="G171" s="232">
        <f>_xlfn.XLOOKUP(表格3_5[[#This Row],[Name]],Name_list[Full Name],Name_list[Nick Name])</f>
        <v>0</v>
      </c>
      <c r="H171" s="219"/>
      <c r="I171" s="220"/>
      <c r="J171" s="221"/>
      <c r="K171" s="221"/>
      <c r="L171" s="227">
        <f>(表格3_5[[#This Row],[Out-Time]] - 表格3_5[[#This Row],[In-Time]])*24</f>
        <v>0</v>
      </c>
      <c r="M171" s="228">
        <f>表格3_5[[#This Row],[ Hours]]-表格3_5[[#This Row],[Normal working
 hours]]</f>
        <v>0</v>
      </c>
      <c r="N171" s="221"/>
      <c r="O171" s="221"/>
      <c r="P171" s="229">
        <f>(表格3_5[[#This Row],[Out-Time2]] - 表格3_5[[#This Row],[In-Time2]])*24</f>
        <v>0</v>
      </c>
      <c r="Q171" s="222"/>
      <c r="R171" s="229">
        <f>_xlfn.XLOOKUP(表格3_5[[#This Row],[Name]],Name_list[Full Name],Name_list[Hourr Rate])</f>
        <v>0</v>
      </c>
      <c r="S171" s="229">
        <f>表格3_5[[#This Row],[Hours Worked]]*表格3_5[[#This Row],[Hourly Rate]]</f>
        <v>0</v>
      </c>
    </row>
    <row r="172" spans="1:19" ht="18">
      <c r="A172" s="217">
        <v>170</v>
      </c>
      <c r="B172" s="225" t="str">
        <f>_xlfn.CONCAT(表格3_5[[#This Row],[Name]],表格3_5[[#This Row],[Location]])</f>
        <v/>
      </c>
      <c r="C172" s="226"/>
      <c r="D172" s="218"/>
      <c r="E172" s="226" t="str">
        <f>DAY(表格3_5[[#This Row],[Date]])&amp;""</f>
        <v>0</v>
      </c>
      <c r="F172" s="236"/>
      <c r="G172" s="232">
        <f>_xlfn.XLOOKUP(表格3_5[[#This Row],[Name]],Name_list[Full Name],Name_list[Nick Name])</f>
        <v>0</v>
      </c>
      <c r="H172" s="219"/>
      <c r="I172" s="220"/>
      <c r="J172" s="221"/>
      <c r="K172" s="221"/>
      <c r="L172" s="227">
        <f>(表格3_5[[#This Row],[Out-Time]] - 表格3_5[[#This Row],[In-Time]])*24</f>
        <v>0</v>
      </c>
      <c r="M172" s="228">
        <f>表格3_5[[#This Row],[ Hours]]-表格3_5[[#This Row],[Normal working
 hours]]</f>
        <v>0</v>
      </c>
      <c r="N172" s="221"/>
      <c r="O172" s="221"/>
      <c r="P172" s="229">
        <f>(表格3_5[[#This Row],[Out-Time2]] - 表格3_5[[#This Row],[In-Time2]])*24</f>
        <v>0</v>
      </c>
      <c r="Q172" s="222"/>
      <c r="R172" s="229">
        <f>_xlfn.XLOOKUP(表格3_5[[#This Row],[Name]],Name_list[Full Name],Name_list[Hourr Rate])</f>
        <v>0</v>
      </c>
      <c r="S172" s="229">
        <f>表格3_5[[#This Row],[Hours Worked]]*表格3_5[[#This Row],[Hourly Rate]]</f>
        <v>0</v>
      </c>
    </row>
    <row r="173" spans="1:19" ht="18">
      <c r="A173" s="217">
        <v>171</v>
      </c>
      <c r="B173" s="225" t="str">
        <f>_xlfn.CONCAT(表格3_5[[#This Row],[Name]],表格3_5[[#This Row],[Location]])</f>
        <v/>
      </c>
      <c r="C173" s="226"/>
      <c r="D173" s="218"/>
      <c r="E173" s="226" t="str">
        <f>DAY(表格3_5[[#This Row],[Date]])&amp;""</f>
        <v>0</v>
      </c>
      <c r="F173" s="236"/>
      <c r="G173" s="232">
        <f>_xlfn.XLOOKUP(表格3_5[[#This Row],[Name]],Name_list[Full Name],Name_list[Nick Name])</f>
        <v>0</v>
      </c>
      <c r="H173" s="219"/>
      <c r="I173" s="220"/>
      <c r="J173" s="221"/>
      <c r="K173" s="221"/>
      <c r="L173" s="227">
        <f>(表格3_5[[#This Row],[Out-Time]] - 表格3_5[[#This Row],[In-Time]])*24</f>
        <v>0</v>
      </c>
      <c r="M173" s="228">
        <f>表格3_5[[#This Row],[ Hours]]-表格3_5[[#This Row],[Normal working
 hours]]</f>
        <v>0</v>
      </c>
      <c r="N173" s="221"/>
      <c r="O173" s="221"/>
      <c r="P173" s="229">
        <f>(表格3_5[[#This Row],[Out-Time2]] - 表格3_5[[#This Row],[In-Time2]])*24</f>
        <v>0</v>
      </c>
      <c r="Q173" s="222"/>
      <c r="R173" s="229">
        <f>_xlfn.XLOOKUP(表格3_5[[#This Row],[Name]],Name_list[Full Name],Name_list[Hourr Rate])</f>
        <v>0</v>
      </c>
      <c r="S173" s="229">
        <f>表格3_5[[#This Row],[Hours Worked]]*表格3_5[[#This Row],[Hourly Rate]]</f>
        <v>0</v>
      </c>
    </row>
    <row r="174" spans="1:19" ht="18">
      <c r="A174" s="217">
        <v>172</v>
      </c>
      <c r="B174" s="225" t="str">
        <f>_xlfn.CONCAT(表格3_5[[#This Row],[Name]],表格3_5[[#This Row],[Location]])</f>
        <v/>
      </c>
      <c r="C174" s="226"/>
      <c r="D174" s="218"/>
      <c r="E174" s="226" t="str">
        <f>DAY(表格3_5[[#This Row],[Date]])&amp;""</f>
        <v>0</v>
      </c>
      <c r="F174" s="236"/>
      <c r="G174" s="232">
        <f>_xlfn.XLOOKUP(表格3_5[[#This Row],[Name]],Name_list[Full Name],Name_list[Nick Name])</f>
        <v>0</v>
      </c>
      <c r="H174" s="219"/>
      <c r="I174" s="220"/>
      <c r="J174" s="221"/>
      <c r="K174" s="221"/>
      <c r="L174" s="227">
        <f>(表格3_5[[#This Row],[Out-Time]] - 表格3_5[[#This Row],[In-Time]])*24</f>
        <v>0</v>
      </c>
      <c r="M174" s="228">
        <f>表格3_5[[#This Row],[ Hours]]-表格3_5[[#This Row],[Normal working
 hours]]</f>
        <v>0</v>
      </c>
      <c r="N174" s="221"/>
      <c r="O174" s="221"/>
      <c r="P174" s="229">
        <f>(表格3_5[[#This Row],[Out-Time2]] - 表格3_5[[#This Row],[In-Time2]])*24</f>
        <v>0</v>
      </c>
      <c r="Q174" s="222"/>
      <c r="R174" s="229">
        <f>_xlfn.XLOOKUP(表格3_5[[#This Row],[Name]],Name_list[Full Name],Name_list[Hourr Rate])</f>
        <v>0</v>
      </c>
      <c r="S174" s="229">
        <f>表格3_5[[#This Row],[Hours Worked]]*表格3_5[[#This Row],[Hourly Rate]]</f>
        <v>0</v>
      </c>
    </row>
    <row r="175" spans="1:19" ht="18">
      <c r="A175" s="217">
        <v>173</v>
      </c>
      <c r="B175" s="225" t="str">
        <f>_xlfn.CONCAT(表格3_5[[#This Row],[Name]],表格3_5[[#This Row],[Location]])</f>
        <v/>
      </c>
      <c r="C175" s="226"/>
      <c r="D175" s="218"/>
      <c r="E175" s="226" t="str">
        <f>DAY(表格3_5[[#This Row],[Date]])&amp;""</f>
        <v>0</v>
      </c>
      <c r="F175" s="236"/>
      <c r="G175" s="232">
        <f>_xlfn.XLOOKUP(表格3_5[[#This Row],[Name]],Name_list[Full Name],Name_list[Nick Name])</f>
        <v>0</v>
      </c>
      <c r="H175" s="219"/>
      <c r="I175" s="220"/>
      <c r="J175" s="221"/>
      <c r="K175" s="221"/>
      <c r="L175" s="227">
        <f>(表格3_5[[#This Row],[Out-Time]] - 表格3_5[[#This Row],[In-Time]])*24</f>
        <v>0</v>
      </c>
      <c r="M175" s="228">
        <f>表格3_5[[#This Row],[ Hours]]-表格3_5[[#This Row],[Normal working
 hours]]</f>
        <v>0</v>
      </c>
      <c r="N175" s="221"/>
      <c r="O175" s="221"/>
      <c r="P175" s="229">
        <f>(表格3_5[[#This Row],[Out-Time2]] - 表格3_5[[#This Row],[In-Time2]])*24</f>
        <v>0</v>
      </c>
      <c r="Q175" s="222"/>
      <c r="R175" s="229">
        <f>_xlfn.XLOOKUP(表格3_5[[#This Row],[Name]],Name_list[Full Name],Name_list[Hourr Rate])</f>
        <v>0</v>
      </c>
      <c r="S175" s="229">
        <f>表格3_5[[#This Row],[Hours Worked]]*表格3_5[[#This Row],[Hourly Rate]]</f>
        <v>0</v>
      </c>
    </row>
    <row r="176" spans="1:19" ht="18">
      <c r="A176" s="217">
        <v>174</v>
      </c>
      <c r="B176" s="225" t="str">
        <f>_xlfn.CONCAT(表格3_5[[#This Row],[Name]],表格3_5[[#This Row],[Location]])</f>
        <v/>
      </c>
      <c r="C176" s="226"/>
      <c r="D176" s="218"/>
      <c r="E176" s="226" t="str">
        <f>DAY(表格3_5[[#This Row],[Date]])&amp;""</f>
        <v>0</v>
      </c>
      <c r="F176" s="236"/>
      <c r="G176" s="232">
        <f>_xlfn.XLOOKUP(表格3_5[[#This Row],[Name]],Name_list[Full Name],Name_list[Nick Name])</f>
        <v>0</v>
      </c>
      <c r="H176" s="219"/>
      <c r="I176" s="220"/>
      <c r="J176" s="221"/>
      <c r="K176" s="221"/>
      <c r="L176" s="227">
        <f>(表格3_5[[#This Row],[Out-Time]] - 表格3_5[[#This Row],[In-Time]])*24</f>
        <v>0</v>
      </c>
      <c r="M176" s="228">
        <f>表格3_5[[#This Row],[ Hours]]-表格3_5[[#This Row],[Normal working
 hours]]</f>
        <v>0</v>
      </c>
      <c r="N176" s="221"/>
      <c r="O176" s="221"/>
      <c r="P176" s="229">
        <f>(表格3_5[[#This Row],[Out-Time2]] - 表格3_5[[#This Row],[In-Time2]])*24</f>
        <v>0</v>
      </c>
      <c r="Q176" s="222"/>
      <c r="R176" s="229">
        <f>_xlfn.XLOOKUP(表格3_5[[#This Row],[Name]],Name_list[Full Name],Name_list[Hourr Rate])</f>
        <v>0</v>
      </c>
      <c r="S176" s="229">
        <f>表格3_5[[#This Row],[Hours Worked]]*表格3_5[[#This Row],[Hourly Rate]]</f>
        <v>0</v>
      </c>
    </row>
    <row r="177" spans="1:19" ht="18">
      <c r="A177" s="217">
        <v>175</v>
      </c>
      <c r="B177" s="225" t="str">
        <f>_xlfn.CONCAT(表格3_5[[#This Row],[Name]],表格3_5[[#This Row],[Location]])</f>
        <v/>
      </c>
      <c r="C177" s="226"/>
      <c r="D177" s="218"/>
      <c r="E177" s="226" t="str">
        <f>DAY(表格3_5[[#This Row],[Date]])&amp;""</f>
        <v>0</v>
      </c>
      <c r="F177" s="236"/>
      <c r="G177" s="232">
        <f>_xlfn.XLOOKUP(表格3_5[[#This Row],[Name]],Name_list[Full Name],Name_list[Nick Name])</f>
        <v>0</v>
      </c>
      <c r="H177" s="219"/>
      <c r="I177" s="220"/>
      <c r="J177" s="221"/>
      <c r="K177" s="221"/>
      <c r="L177" s="227">
        <f>(表格3_5[[#This Row],[Out-Time]] - 表格3_5[[#This Row],[In-Time]])*24</f>
        <v>0</v>
      </c>
      <c r="M177" s="228">
        <f>表格3_5[[#This Row],[ Hours]]-表格3_5[[#This Row],[Normal working
 hours]]</f>
        <v>0</v>
      </c>
      <c r="N177" s="221"/>
      <c r="O177" s="221"/>
      <c r="P177" s="229">
        <f>(表格3_5[[#This Row],[Out-Time2]] - 表格3_5[[#This Row],[In-Time2]])*24</f>
        <v>0</v>
      </c>
      <c r="Q177" s="222"/>
      <c r="R177" s="229">
        <f>_xlfn.XLOOKUP(表格3_5[[#This Row],[Name]],Name_list[Full Name],Name_list[Hourr Rate])</f>
        <v>0</v>
      </c>
      <c r="S177" s="229">
        <f>表格3_5[[#This Row],[Hours Worked]]*表格3_5[[#This Row],[Hourly Rate]]</f>
        <v>0</v>
      </c>
    </row>
    <row r="178" spans="1:19" ht="18">
      <c r="A178" s="217">
        <v>176</v>
      </c>
      <c r="B178" s="225" t="str">
        <f>_xlfn.CONCAT(表格3_5[[#This Row],[Name]],表格3_5[[#This Row],[Location]])</f>
        <v/>
      </c>
      <c r="C178" s="226"/>
      <c r="D178" s="218"/>
      <c r="E178" s="226" t="str">
        <f>DAY(表格3_5[[#This Row],[Date]])&amp;""</f>
        <v>0</v>
      </c>
      <c r="F178" s="236"/>
      <c r="G178" s="232">
        <f>_xlfn.XLOOKUP(表格3_5[[#This Row],[Name]],Name_list[Full Name],Name_list[Nick Name])</f>
        <v>0</v>
      </c>
      <c r="H178" s="219"/>
      <c r="I178" s="220"/>
      <c r="J178" s="221"/>
      <c r="K178" s="221"/>
      <c r="L178" s="227">
        <f>(表格3_5[[#This Row],[Out-Time]] - 表格3_5[[#This Row],[In-Time]])*24</f>
        <v>0</v>
      </c>
      <c r="M178" s="228">
        <f>表格3_5[[#This Row],[ Hours]]-表格3_5[[#This Row],[Normal working
 hours]]</f>
        <v>0</v>
      </c>
      <c r="N178" s="221"/>
      <c r="O178" s="221"/>
      <c r="P178" s="229">
        <f>(表格3_5[[#This Row],[Out-Time2]] - 表格3_5[[#This Row],[In-Time2]])*24</f>
        <v>0</v>
      </c>
      <c r="Q178" s="222"/>
      <c r="R178" s="229">
        <f>_xlfn.XLOOKUP(表格3_5[[#This Row],[Name]],Name_list[Full Name],Name_list[Hourr Rate])</f>
        <v>0</v>
      </c>
      <c r="S178" s="229">
        <f>表格3_5[[#This Row],[Hours Worked]]*表格3_5[[#This Row],[Hourly Rate]]</f>
        <v>0</v>
      </c>
    </row>
    <row r="179" spans="1:19" ht="18">
      <c r="A179" s="217">
        <v>177</v>
      </c>
      <c r="B179" s="225" t="str">
        <f>_xlfn.CONCAT(表格3_5[[#This Row],[Name]],表格3_5[[#This Row],[Location]])</f>
        <v/>
      </c>
      <c r="C179" s="226"/>
      <c r="D179" s="218"/>
      <c r="E179" s="226" t="str">
        <f>DAY(表格3_5[[#This Row],[Date]])&amp;""</f>
        <v>0</v>
      </c>
      <c r="F179" s="236"/>
      <c r="G179" s="232">
        <f>_xlfn.XLOOKUP(表格3_5[[#This Row],[Name]],Name_list[Full Name],Name_list[Nick Name])</f>
        <v>0</v>
      </c>
      <c r="H179" s="219"/>
      <c r="I179" s="220"/>
      <c r="J179" s="221"/>
      <c r="K179" s="221"/>
      <c r="L179" s="227">
        <f>(表格3_5[[#This Row],[Out-Time]] - 表格3_5[[#This Row],[In-Time]])*24</f>
        <v>0</v>
      </c>
      <c r="M179" s="228">
        <f>表格3_5[[#This Row],[ Hours]]-表格3_5[[#This Row],[Normal working
 hours]]</f>
        <v>0</v>
      </c>
      <c r="N179" s="221"/>
      <c r="O179" s="221"/>
      <c r="P179" s="229">
        <f>(表格3_5[[#This Row],[Out-Time2]] - 表格3_5[[#This Row],[In-Time2]])*24</f>
        <v>0</v>
      </c>
      <c r="Q179" s="222"/>
      <c r="R179" s="229">
        <f>_xlfn.XLOOKUP(表格3_5[[#This Row],[Name]],Name_list[Full Name],Name_list[Hourr Rate])</f>
        <v>0</v>
      </c>
      <c r="S179" s="229">
        <f>表格3_5[[#This Row],[Hours Worked]]*表格3_5[[#This Row],[Hourly Rate]]</f>
        <v>0</v>
      </c>
    </row>
    <row r="180" spans="1:19" ht="18">
      <c r="A180" s="217">
        <v>178</v>
      </c>
      <c r="B180" s="225" t="str">
        <f>_xlfn.CONCAT(表格3_5[[#This Row],[Name]],表格3_5[[#This Row],[Location]])</f>
        <v/>
      </c>
      <c r="C180" s="226"/>
      <c r="D180" s="218"/>
      <c r="E180" s="226" t="str">
        <f>DAY(表格3_5[[#This Row],[Date]])&amp;""</f>
        <v>0</v>
      </c>
      <c r="F180" s="236"/>
      <c r="G180" s="232">
        <f>_xlfn.XLOOKUP(表格3_5[[#This Row],[Name]],Name_list[Full Name],Name_list[Nick Name])</f>
        <v>0</v>
      </c>
      <c r="H180" s="219"/>
      <c r="I180" s="220"/>
      <c r="J180" s="221"/>
      <c r="K180" s="221"/>
      <c r="L180" s="227">
        <f>(表格3_5[[#This Row],[Out-Time]] - 表格3_5[[#This Row],[In-Time]])*24</f>
        <v>0</v>
      </c>
      <c r="M180" s="228">
        <f>表格3_5[[#This Row],[ Hours]]-表格3_5[[#This Row],[Normal working
 hours]]</f>
        <v>0</v>
      </c>
      <c r="N180" s="221"/>
      <c r="O180" s="221"/>
      <c r="P180" s="229">
        <f>(表格3_5[[#This Row],[Out-Time2]] - 表格3_5[[#This Row],[In-Time2]])*24</f>
        <v>0</v>
      </c>
      <c r="Q180" s="222"/>
      <c r="R180" s="229">
        <f>_xlfn.XLOOKUP(表格3_5[[#This Row],[Name]],Name_list[Full Name],Name_list[Hourr Rate])</f>
        <v>0</v>
      </c>
      <c r="S180" s="229">
        <f>表格3_5[[#This Row],[Hours Worked]]*表格3_5[[#This Row],[Hourly Rate]]</f>
        <v>0</v>
      </c>
    </row>
    <row r="181" spans="1:19" ht="18">
      <c r="A181" s="217">
        <v>179</v>
      </c>
      <c r="B181" s="225" t="str">
        <f>_xlfn.CONCAT(表格3_5[[#This Row],[Name]],表格3_5[[#This Row],[Location]])</f>
        <v/>
      </c>
      <c r="C181" s="226"/>
      <c r="D181" s="218"/>
      <c r="E181" s="226" t="str">
        <f>DAY(表格3_5[[#This Row],[Date]])&amp;""</f>
        <v>0</v>
      </c>
      <c r="F181" s="236"/>
      <c r="G181" s="232">
        <f>_xlfn.XLOOKUP(表格3_5[[#This Row],[Name]],Name_list[Full Name],Name_list[Nick Name])</f>
        <v>0</v>
      </c>
      <c r="H181" s="219"/>
      <c r="I181" s="220"/>
      <c r="J181" s="221"/>
      <c r="K181" s="221"/>
      <c r="L181" s="227">
        <f>(表格3_5[[#This Row],[Out-Time]] - 表格3_5[[#This Row],[In-Time]])*24</f>
        <v>0</v>
      </c>
      <c r="M181" s="228">
        <f>表格3_5[[#This Row],[ Hours]]-表格3_5[[#This Row],[Normal working
 hours]]</f>
        <v>0</v>
      </c>
      <c r="N181" s="221"/>
      <c r="O181" s="221"/>
      <c r="P181" s="229">
        <f>(表格3_5[[#This Row],[Out-Time2]] - 表格3_5[[#This Row],[In-Time2]])*24</f>
        <v>0</v>
      </c>
      <c r="Q181" s="222"/>
      <c r="R181" s="229">
        <f>_xlfn.XLOOKUP(表格3_5[[#This Row],[Name]],Name_list[Full Name],Name_list[Hourr Rate])</f>
        <v>0</v>
      </c>
      <c r="S181" s="229">
        <f>表格3_5[[#This Row],[Hours Worked]]*表格3_5[[#This Row],[Hourly Rate]]</f>
        <v>0</v>
      </c>
    </row>
    <row r="182" spans="1:19" ht="18">
      <c r="A182" s="217">
        <v>180</v>
      </c>
      <c r="B182" s="225" t="str">
        <f>_xlfn.CONCAT(表格3_5[[#This Row],[Name]],表格3_5[[#This Row],[Location]])</f>
        <v/>
      </c>
      <c r="C182" s="226"/>
      <c r="D182" s="218"/>
      <c r="E182" s="226" t="str">
        <f>DAY(表格3_5[[#This Row],[Date]])&amp;""</f>
        <v>0</v>
      </c>
      <c r="F182" s="236"/>
      <c r="G182" s="232">
        <f>_xlfn.XLOOKUP(表格3_5[[#This Row],[Name]],Name_list[Full Name],Name_list[Nick Name])</f>
        <v>0</v>
      </c>
      <c r="H182" s="219"/>
      <c r="I182" s="220"/>
      <c r="J182" s="221"/>
      <c r="K182" s="221"/>
      <c r="L182" s="227">
        <f>(表格3_5[[#This Row],[Out-Time]] - 表格3_5[[#This Row],[In-Time]])*24</f>
        <v>0</v>
      </c>
      <c r="M182" s="228">
        <f>表格3_5[[#This Row],[ Hours]]-表格3_5[[#This Row],[Normal working
 hours]]</f>
        <v>0</v>
      </c>
      <c r="N182" s="221"/>
      <c r="O182" s="221"/>
      <c r="P182" s="229">
        <f>(表格3_5[[#This Row],[Out-Time2]] - 表格3_5[[#This Row],[In-Time2]])*24</f>
        <v>0</v>
      </c>
      <c r="Q182" s="222"/>
      <c r="R182" s="229">
        <f>_xlfn.XLOOKUP(表格3_5[[#This Row],[Name]],Name_list[Full Name],Name_list[Hourr Rate])</f>
        <v>0</v>
      </c>
      <c r="S182" s="229">
        <f>表格3_5[[#This Row],[Hours Worked]]*表格3_5[[#This Row],[Hourly Rate]]</f>
        <v>0</v>
      </c>
    </row>
    <row r="183" spans="1:19" ht="18">
      <c r="A183" s="217">
        <v>181</v>
      </c>
      <c r="B183" s="225" t="str">
        <f>_xlfn.CONCAT(表格3_5[[#This Row],[Name]],表格3_5[[#This Row],[Location]])</f>
        <v/>
      </c>
      <c r="C183" s="226"/>
      <c r="D183" s="218"/>
      <c r="E183" s="226" t="str">
        <f>DAY(表格3_5[[#This Row],[Date]])&amp;""</f>
        <v>0</v>
      </c>
      <c r="F183" s="236"/>
      <c r="G183" s="232">
        <f>_xlfn.XLOOKUP(表格3_5[[#This Row],[Name]],Name_list[Full Name],Name_list[Nick Name])</f>
        <v>0</v>
      </c>
      <c r="H183" s="219"/>
      <c r="I183" s="220"/>
      <c r="J183" s="221"/>
      <c r="K183" s="221"/>
      <c r="L183" s="227">
        <f>(表格3_5[[#This Row],[Out-Time]] - 表格3_5[[#This Row],[In-Time]])*24</f>
        <v>0</v>
      </c>
      <c r="M183" s="228">
        <f>表格3_5[[#This Row],[ Hours]]-表格3_5[[#This Row],[Normal working
 hours]]</f>
        <v>0</v>
      </c>
      <c r="N183" s="221"/>
      <c r="O183" s="221"/>
      <c r="P183" s="229">
        <f>(表格3_5[[#This Row],[Out-Time2]] - 表格3_5[[#This Row],[In-Time2]])*24</f>
        <v>0</v>
      </c>
      <c r="Q183" s="222"/>
      <c r="R183" s="229">
        <f>_xlfn.XLOOKUP(表格3_5[[#This Row],[Name]],Name_list[Full Name],Name_list[Hourr Rate])</f>
        <v>0</v>
      </c>
      <c r="S183" s="229">
        <f>表格3_5[[#This Row],[Hours Worked]]*表格3_5[[#This Row],[Hourly Rate]]</f>
        <v>0</v>
      </c>
    </row>
    <row r="184" spans="1:19" ht="18">
      <c r="A184" s="217">
        <v>182</v>
      </c>
      <c r="B184" s="225" t="str">
        <f>_xlfn.CONCAT(表格3_5[[#This Row],[Name]],表格3_5[[#This Row],[Location]])</f>
        <v/>
      </c>
      <c r="C184" s="226"/>
      <c r="D184" s="218"/>
      <c r="E184" s="226" t="str">
        <f>DAY(表格3_5[[#This Row],[Date]])&amp;""</f>
        <v>0</v>
      </c>
      <c r="F184" s="236"/>
      <c r="G184" s="232">
        <f>_xlfn.XLOOKUP(表格3_5[[#This Row],[Name]],Name_list[Full Name],Name_list[Nick Name])</f>
        <v>0</v>
      </c>
      <c r="H184" s="219"/>
      <c r="I184" s="220"/>
      <c r="J184" s="221"/>
      <c r="K184" s="221"/>
      <c r="L184" s="227">
        <f>(表格3_5[[#This Row],[Out-Time]] - 表格3_5[[#This Row],[In-Time]])*24</f>
        <v>0</v>
      </c>
      <c r="M184" s="228">
        <f>表格3_5[[#This Row],[ Hours]]-表格3_5[[#This Row],[Normal working
 hours]]</f>
        <v>0</v>
      </c>
      <c r="N184" s="221"/>
      <c r="O184" s="221"/>
      <c r="P184" s="229">
        <f>(表格3_5[[#This Row],[Out-Time2]] - 表格3_5[[#This Row],[In-Time2]])*24</f>
        <v>0</v>
      </c>
      <c r="Q184" s="222"/>
      <c r="R184" s="229">
        <f>_xlfn.XLOOKUP(表格3_5[[#This Row],[Name]],Name_list[Full Name],Name_list[Hourr Rate])</f>
        <v>0</v>
      </c>
      <c r="S184" s="229">
        <f>表格3_5[[#This Row],[Hours Worked]]*表格3_5[[#This Row],[Hourly Rate]]</f>
        <v>0</v>
      </c>
    </row>
  </sheetData>
  <sheetProtection algorithmName="SHA-512" hashValue="WlgiKhzRwQns8eoq5MWS7XmPQRrpwqapvWDaABgqzhrXA/qJP0LMyQTLuZpLyVEng3lZ9+vQt0gK8bCCRgB6ig==" saltValue="zsWRc1YQc1Bf5vcjJoCGKw==" spinCount="100000" sheet="1" scenarios="1" formatCells="0" formatColumns="0" formatRows="0" insertColumns="0" insertRows="0" deleteColumns="0" deleteRows="0" sort="0" autoFilter="0"/>
  <phoneticPr fontId="4" type="noConversion"/>
  <conditionalFormatting sqref="F3:I657">
    <cfRule type="expression" dxfId="31" priority="325">
      <formula>AND(     COUNTIFS($F$3:$F$1157, $F3, $I$3:$I$1157, $I3) &gt; 1,     COUNTIFS($F$3:$F$1157, $F3, $I$3:$I$1157, $I3, $H$3:$H$1157, "&lt;&gt;"&amp;$H3) &gt; 0 )</formula>
    </cfRule>
    <cfRule type="expression" dxfId="30" priority="326">
      <formula>COUNTIFS($F$3:$F$1157, $F3, $H$3:$H$1157, $H3, $I$3:$I$1157, $I3) &gt; 1</formula>
    </cfRule>
    <cfRule type="expression" dxfId="29" priority="327">
      <formula>AND(     COUNTIFS($F$3:$F$1157, $F3, $H$3:$H$1157, $H3, $I$3:$I$1157, "&lt;&gt;"&amp;$I3) &gt; 0,     COUNTIFS($F$3:$F$1157, $F3, $H$3:$H$1157, $H3) &gt; 1 )</formula>
    </cfRule>
  </conditionalFormatting>
  <conditionalFormatting sqref="M3:M657">
    <cfRule type="cellIs" dxfId="28" priority="8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C08B50-15FD-404F-8A98-8C948521F5C2}">
          <x14:formula1>
            <xm:f>'Name List'!$B$3:$B$35</xm:f>
          </x14:formula1>
          <xm:sqref>I1:I1048576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6924-9DB8-4D1E-AE6C-32F9D2385A4C}">
  <sheetPr>
    <pageSetUpPr fitToPage="1"/>
  </sheetPr>
  <dimension ref="A1:AJ32"/>
  <sheetViews>
    <sheetView tabSelected="1" zoomScale="40" zoomScaleNormal="40" workbookViewId="0">
      <pane xSplit="5" ySplit="7" topLeftCell="F8" activePane="bottomRight" state="frozen"/>
      <selection pane="topRight" activeCell="E1" sqref="E1"/>
      <selection pane="bottomLeft" activeCell="A8" sqref="A8"/>
      <selection pane="bottomRight" activeCell="F20" sqref="F20:F24"/>
    </sheetView>
  </sheetViews>
  <sheetFormatPr defaultColWidth="9" defaultRowHeight="15.75" outlineLevelCol="1"/>
  <cols>
    <col min="1" max="1" width="12.875" style="18" bestFit="1" customWidth="1"/>
    <col min="2" max="2" width="10.5" style="18" customWidth="1"/>
    <col min="3" max="3" width="45" style="18" customWidth="1"/>
    <col min="4" max="4" width="28.625" style="18" bestFit="1" customWidth="1"/>
    <col min="5" max="5" width="44.5" style="18" bestFit="1" customWidth="1"/>
    <col min="6" max="6" width="34.5" style="18" customWidth="1"/>
    <col min="7" max="7" width="124.625" style="18" customWidth="1"/>
    <col min="8" max="8" width="12.25" style="44" customWidth="1"/>
    <col min="9" max="9" width="23.625" style="45" customWidth="1"/>
    <col min="10" max="10" width="18.25" style="44" customWidth="1"/>
    <col min="11" max="11" width="34" style="18" customWidth="1"/>
    <col min="12" max="12" width="42.875" style="18" customWidth="1"/>
    <col min="13" max="13" width="15.125" style="18" customWidth="1"/>
    <col min="14" max="16" width="28.125" style="18" customWidth="1"/>
    <col min="17" max="18" width="26.5" style="18" customWidth="1"/>
    <col min="19" max="19" width="21.375" style="18" customWidth="1" outlineLevel="1"/>
    <col min="20" max="20" width="25.875" style="18" customWidth="1" outlineLevel="1"/>
    <col min="21" max="21" width="14.375" style="18" customWidth="1" outlineLevel="1"/>
    <col min="22" max="22" width="20.625" style="18" bestFit="1" customWidth="1"/>
    <col min="23" max="23" width="24.5" style="18" customWidth="1"/>
    <col min="24" max="24" width="14.125" style="18" bestFit="1" customWidth="1"/>
    <col min="25" max="25" width="24.5" style="18" customWidth="1"/>
    <col min="26" max="35" width="9" style="18"/>
    <col min="36" max="36" width="17" style="18" bestFit="1" customWidth="1"/>
    <col min="37" max="16384" width="9" style="18"/>
  </cols>
  <sheetData>
    <row r="1" spans="1:36" ht="34.5" thickBo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</row>
    <row r="2" spans="1:36" ht="33.75">
      <c r="A2" s="20" t="str">
        <f>_xlfn.CONCAT($A$5," ",$A$6," Century Field Promoter Salary Summary")</f>
        <v>2026 Jun Century Field Promoter Salary Summary</v>
      </c>
      <c r="B2" s="20"/>
      <c r="C2" s="20"/>
      <c r="D2" s="20"/>
      <c r="E2" s="20"/>
      <c r="F2" s="20"/>
      <c r="G2" s="20"/>
      <c r="H2" s="20"/>
      <c r="I2" s="20"/>
      <c r="J2" s="17"/>
      <c r="K2" s="16"/>
      <c r="L2" s="16"/>
      <c r="M2" s="20"/>
      <c r="N2" s="267" t="s">
        <v>114</v>
      </c>
      <c r="O2" s="267"/>
      <c r="P2" s="267"/>
      <c r="Q2" s="267"/>
      <c r="R2" s="267"/>
      <c r="S2" s="267"/>
      <c r="T2" s="267"/>
      <c r="U2" s="16"/>
      <c r="V2" s="21" t="s">
        <v>112</v>
      </c>
      <c r="W2" s="22"/>
      <c r="X2" s="16"/>
    </row>
    <row r="3" spans="1:36" ht="33.75">
      <c r="A3" s="20"/>
      <c r="B3" s="20"/>
      <c r="C3" s="20"/>
      <c r="D3" s="20"/>
      <c r="E3" s="20"/>
      <c r="F3" s="20"/>
      <c r="G3" s="20"/>
      <c r="H3" s="20"/>
      <c r="I3" s="20"/>
      <c r="J3" s="17"/>
      <c r="K3" s="16"/>
      <c r="L3" s="16"/>
      <c r="M3" s="20"/>
      <c r="N3" s="267"/>
      <c r="O3" s="267"/>
      <c r="P3" s="267"/>
      <c r="Q3" s="267"/>
      <c r="R3" s="267"/>
      <c r="S3" s="267"/>
      <c r="T3" s="267"/>
      <c r="U3" s="16" t="s">
        <v>113</v>
      </c>
      <c r="V3" s="23" t="s">
        <v>115</v>
      </c>
      <c r="W3" s="24"/>
      <c r="X3" s="16"/>
    </row>
    <row r="4" spans="1:36" ht="30" customHeight="1">
      <c r="A4" s="20"/>
      <c r="B4" s="20"/>
      <c r="C4" s="20"/>
      <c r="D4" s="20"/>
      <c r="E4" s="263"/>
      <c r="F4" s="20"/>
      <c r="G4" s="244" t="s">
        <v>291</v>
      </c>
      <c r="H4" s="244" t="s">
        <v>292</v>
      </c>
      <c r="I4" s="20"/>
      <c r="J4" s="17"/>
      <c r="K4" s="16"/>
      <c r="L4" s="16"/>
      <c r="M4" s="20"/>
      <c r="N4" s="20"/>
      <c r="O4" s="20"/>
      <c r="P4" s="20"/>
      <c r="Q4" s="25"/>
      <c r="R4" s="19"/>
      <c r="S4" s="19"/>
      <c r="T4" s="19"/>
      <c r="U4" s="19" t="s">
        <v>113</v>
      </c>
      <c r="V4" s="23" t="s">
        <v>116</v>
      </c>
      <c r="W4" s="24">
        <f ca="1">V6</f>
        <v>106758.04199999996</v>
      </c>
      <c r="X4" s="16"/>
    </row>
    <row r="5" spans="1:36" ht="34.5" thickBot="1">
      <c r="A5" s="179">
        <v>2026</v>
      </c>
      <c r="B5" s="20"/>
      <c r="C5" s="20"/>
      <c r="D5" s="20"/>
      <c r="E5" s="20"/>
      <c r="F5" s="20"/>
      <c r="G5" s="26"/>
      <c r="H5" s="20"/>
      <c r="I5" s="20"/>
      <c r="J5" s="17"/>
      <c r="K5" s="16"/>
      <c r="L5" s="19"/>
      <c r="M5" s="19"/>
      <c r="N5" s="19"/>
      <c r="O5" s="19"/>
      <c r="P5" s="19"/>
      <c r="Q5" s="19"/>
      <c r="R5" s="19"/>
      <c r="S5" s="19"/>
      <c r="T5" s="19"/>
      <c r="U5" s="19"/>
      <c r="V5" s="27" t="s">
        <v>117</v>
      </c>
      <c r="W5" s="28">
        <f ca="1">W3-W4</f>
        <v>-106758.04199999996</v>
      </c>
      <c r="X5" s="16"/>
    </row>
    <row r="6" spans="1:36" ht="33.75">
      <c r="A6" s="180" t="s">
        <v>971</v>
      </c>
      <c r="B6" s="16"/>
      <c r="C6" s="16"/>
      <c r="D6" s="16"/>
      <c r="E6" s="16"/>
      <c r="F6" s="16"/>
      <c r="G6" s="29"/>
      <c r="H6" s="30">
        <f t="shared" ref="H6:X6" si="0">SUM(H8:H16)</f>
        <v>109</v>
      </c>
      <c r="I6" s="174">
        <f t="shared" ref="I6:N6" si="1">SUM(I8:I29)</f>
        <v>1245.5</v>
      </c>
      <c r="J6" s="174">
        <f t="shared" si="1"/>
        <v>1010</v>
      </c>
      <c r="K6" s="174">
        <f t="shared" si="1"/>
        <v>73897.5</v>
      </c>
      <c r="L6" s="174">
        <f t="shared" ca="1" si="1"/>
        <v>1052601</v>
      </c>
      <c r="M6" s="174">
        <f t="shared" ca="1" si="1"/>
        <v>752</v>
      </c>
      <c r="N6" s="174">
        <f t="shared" ca="1" si="1"/>
        <v>31578.029999999995</v>
      </c>
      <c r="O6" s="174"/>
      <c r="P6" s="174"/>
      <c r="Q6" s="174">
        <f t="shared" ref="Q6:W6" si="2">SUM(Q8:Q29)</f>
        <v>1440</v>
      </c>
      <c r="R6" s="174">
        <f t="shared" si="2"/>
        <v>0</v>
      </c>
      <c r="S6" s="174">
        <f t="shared" si="2"/>
        <v>30</v>
      </c>
      <c r="T6" s="174">
        <f t="shared" si="2"/>
        <v>0</v>
      </c>
      <c r="U6" s="174">
        <f t="shared" ca="1" si="2"/>
        <v>-614.928</v>
      </c>
      <c r="V6" s="174">
        <f t="shared" ca="1" si="2"/>
        <v>106758.04199999996</v>
      </c>
      <c r="W6" s="174">
        <f t="shared" ca="1" si="2"/>
        <v>106759</v>
      </c>
      <c r="X6" s="31">
        <f t="shared" si="0"/>
        <v>0</v>
      </c>
    </row>
    <row r="7" spans="1:36" ht="34.5">
      <c r="A7" s="32" t="s">
        <v>258</v>
      </c>
      <c r="B7" s="32" t="s">
        <v>259</v>
      </c>
      <c r="C7" s="32" t="s">
        <v>206</v>
      </c>
      <c r="D7" s="33" t="s">
        <v>118</v>
      </c>
      <c r="E7" s="33" t="s">
        <v>204</v>
      </c>
      <c r="F7" s="34" t="s">
        <v>119</v>
      </c>
      <c r="G7" s="34" t="s">
        <v>120</v>
      </c>
      <c r="H7" s="35" t="s">
        <v>121</v>
      </c>
      <c r="I7" s="36" t="s">
        <v>122</v>
      </c>
      <c r="J7" s="35" t="s">
        <v>123</v>
      </c>
      <c r="K7" s="37" t="s">
        <v>257</v>
      </c>
      <c r="L7" s="34" t="s">
        <v>124</v>
      </c>
      <c r="M7" s="38" t="s">
        <v>125</v>
      </c>
      <c r="N7" s="34" t="s">
        <v>126</v>
      </c>
      <c r="O7" s="34" t="s">
        <v>266</v>
      </c>
      <c r="P7" s="34" t="s">
        <v>265</v>
      </c>
      <c r="Q7" s="34" t="s">
        <v>127</v>
      </c>
      <c r="R7" s="34" t="s">
        <v>128</v>
      </c>
      <c r="S7" s="39" t="s">
        <v>129</v>
      </c>
      <c r="T7" s="34" t="s">
        <v>130</v>
      </c>
      <c r="U7" s="34" t="s">
        <v>131</v>
      </c>
      <c r="V7" s="34" t="s">
        <v>132</v>
      </c>
      <c r="W7" s="34" t="s">
        <v>133</v>
      </c>
      <c r="X7" s="34" t="s">
        <v>117</v>
      </c>
      <c r="Y7" s="41" t="s">
        <v>911</v>
      </c>
    </row>
    <row r="8" spans="1:36" s="41" customFormat="1" ht="31.5">
      <c r="A8" s="40">
        <v>1</v>
      </c>
      <c r="B8" s="40">
        <v>1</v>
      </c>
      <c r="C8" s="175" t="s">
        <v>897</v>
      </c>
      <c r="D8" s="175" t="str">
        <f>_xlfn.XLOOKUP(E8,表格3_5[Name],表格3_5[Nick Name])</f>
        <v>Hazel</v>
      </c>
      <c r="E8" s="175" t="s">
        <v>289</v>
      </c>
      <c r="F8" s="175">
        <v>21186</v>
      </c>
      <c r="G8" s="175" t="str" cm="1">
        <f t="array" ref="G8">_xlfn.TEXTJOIN(",",1,_xlfn._xlws.FILTER(表格3_5[ID3],(表格3_5[Location]=C8)*(表格3_5[Name]=E8),""))&amp;"/"&amp;$A$6</f>
        <v>4,5,6,9,10,11,12,13,14,15,16,17,20,21,22,23,24,26,27,28,29/Jun</v>
      </c>
      <c r="H8" s="175" cm="1">
        <f t="array" ref="H8">IF(OR(Total!E8="", C8=""), 0,
    COUNTA(_xlfn._xlws.FILTER(工作表1!$F$3:$F$681,
        (工作表1!$I$3:$I$681=Total!E8) *
        (工作表1!$H$3:$H$681=C8) *
        (工作表1!$F$3:$F$681&lt;&gt;"")
    ))
)</f>
        <v>21</v>
      </c>
      <c r="I8" s="175">
        <f>SUMIFS(工作表1!$Q$3:$Q$681,工作表1!$I$3:$I$681,Total!E8,工作表1!$H$3:$H$681,C8)</f>
        <v>168</v>
      </c>
      <c r="J8" s="175">
        <f>_xlfn.XLOOKUP(_xlfn.CONCAT($E8,$C8),表格3_5[Test],表格3_5[Hourly Rate])</f>
        <v>60</v>
      </c>
      <c r="K8" s="175">
        <f t="shared" ref="K8" si="3">J8*I8</f>
        <v>10080</v>
      </c>
      <c r="L8" s="175">
        <f ca="1">SUMIFS(sales[Total Price],sales[Promoter],表格3[[#This Row],[Name]],sales[concat],表格3[[#This Row],[Shop]])</f>
        <v>122506.19999999997</v>
      </c>
      <c r="M8" s="175">
        <f ca="1">SUMIFS(sales[quantity],sales[Promoter],表格3[[#This Row],[Name]],sales[concat],表格3[[#This Row],[Shop]])</f>
        <v>105</v>
      </c>
      <c r="N8" s="238">
        <f ca="1">_xlfn.XLOOKUP(E8,Name_list[Full Name],Name_list[rate])*表格3[[#This Row],[Sales Amt]]</f>
        <v>3675.1859999999988</v>
      </c>
      <c r="O8" s="238"/>
      <c r="P8" s="238">
        <f>_xlfn.XLOOKUP(E8,Name_list[Full Name],Name_list[ph da comm])*表格3[[#This Row],[PH&amp;DA Sales Amt]]</f>
        <v>0</v>
      </c>
      <c r="Q8" s="41">
        <v>480</v>
      </c>
      <c r="R8" s="41">
        <f>_xlfn.XLOOKUP(E8,Name_list[Full Name],Name_list[Allowance])*H8</f>
        <v>0</v>
      </c>
      <c r="V8" s="238">
        <f ca="1">SUM(K8:U8)-表格3[[#This Row],[Sales Amt]]-表格3[[#This Row],[Qty]]-表格3[[#This Row],[PH&amp;DA Sales Amt]]</f>
        <v>14235.185999999972</v>
      </c>
      <c r="W8" s="175">
        <f t="shared" ref="W8:W17" ca="1" si="4">ROUND(V8,0)</f>
        <v>14235</v>
      </c>
      <c r="Y8" s="41" t="s">
        <v>912</v>
      </c>
    </row>
    <row r="9" spans="1:36" s="41" customFormat="1" ht="31.5">
      <c r="A9" s="40">
        <v>2</v>
      </c>
      <c r="B9" s="40">
        <v>2</v>
      </c>
      <c r="C9" s="175" t="s">
        <v>897</v>
      </c>
      <c r="D9" s="175" t="str">
        <f>_xlfn.XLOOKUP(E9,表格3_5[Name],表格3_5[Nick Name])</f>
        <v>Carol</v>
      </c>
      <c r="E9" s="175" t="s">
        <v>269</v>
      </c>
      <c r="F9" s="175" t="s">
        <v>320</v>
      </c>
      <c r="G9" s="175" t="str" cm="1">
        <f t="array" ref="G9">_xlfn.TEXTJOIN(",",1,_xlfn._xlws.FILTER(表格3_5[ID3],(表格3_5[Location]=C9)*(表格3_5[Name]=E9),""))&amp;"/"&amp;$A$6</f>
        <v>3,18,19,25/Jun</v>
      </c>
      <c r="H9" s="175" cm="1">
        <f t="array" ref="H9">IF(OR(Total!E9="", C9=""), 0,
    COUNTA(_xlfn._xlws.FILTER(工作表1!$F$3:$F$681,
        (工作表1!$I$3:$I$681=Total!E9) *
        (工作表1!$H$3:$H$681=C9) *
        (工作表1!$F$3:$F$681&lt;&gt;"")
    ))
)</f>
        <v>4</v>
      </c>
      <c r="I9" s="175">
        <f>SUMIFS(工作表1!$Q$3:$Q$681,工作表1!$I$3:$I$681,Total!E9,工作表1!$H$3:$H$681,C9)</f>
        <v>32</v>
      </c>
      <c r="J9" s="175">
        <f>_xlfn.XLOOKUP(_xlfn.CONCAT($E9,$C9),表格3_5[Test],表格3_5[Hourly Rate])</f>
        <v>60</v>
      </c>
      <c r="K9" s="175">
        <f t="shared" ref="K9:K17" si="5">J9*I9</f>
        <v>1920</v>
      </c>
      <c r="L9" s="175">
        <f ca="1">SUMIFS(sales[Total Price],sales[Promoter],表格3[[#This Row],[Name]],sales[concat],表格3[[#This Row],[Shop]])</f>
        <v>20214.600000000002</v>
      </c>
      <c r="M9" s="175">
        <f ca="1">SUMIFS(sales[quantity],sales[Promoter],表格3[[#This Row],[Name]],sales[concat],表格3[[#This Row],[Shop]])</f>
        <v>20</v>
      </c>
      <c r="N9" s="238">
        <f ca="1">_xlfn.XLOOKUP(E9,Name_list[Full Name],Name_list[rate])*表格3[[#This Row],[Sales Amt]]</f>
        <v>606.43799999999999</v>
      </c>
      <c r="O9" s="238"/>
      <c r="P9" s="238">
        <f>_xlfn.XLOOKUP(E9,Name_list[Full Name],Name_list[ph da comm])*表格3[[#This Row],[PH&amp;DA Sales Amt]]</f>
        <v>0</v>
      </c>
      <c r="R9" s="41">
        <f>_xlfn.XLOOKUP(E9,Name_list[Full Name],Name_list[Allowance])*H9</f>
        <v>0</v>
      </c>
      <c r="S9" s="175"/>
      <c r="T9" s="175"/>
      <c r="V9" s="238">
        <f ca="1">SUM(K9:U9)-表格3[[#This Row],[Sales Amt]]-表格3[[#This Row],[Qty]]-表格3[[#This Row],[PH&amp;DA Sales Amt]]</f>
        <v>2526.4379999999983</v>
      </c>
      <c r="W9" s="175">
        <f t="shared" ca="1" si="4"/>
        <v>2526</v>
      </c>
    </row>
    <row r="10" spans="1:36" s="42" customFormat="1" ht="31.5">
      <c r="A10" s="40">
        <v>3</v>
      </c>
      <c r="B10" s="40">
        <v>3</v>
      </c>
      <c r="C10" s="175" t="s">
        <v>973</v>
      </c>
      <c r="D10" s="175" t="str">
        <f>_xlfn.XLOOKUP(E10,表格3_5[Name],表格3_5[Nick Name])</f>
        <v>Wah</v>
      </c>
      <c r="E10" s="175" t="s">
        <v>268</v>
      </c>
      <c r="F10" s="175" t="s">
        <v>320</v>
      </c>
      <c r="G10" s="175" t="str" cm="1">
        <f t="array" ref="G10">_xlfn.TEXTJOIN(",",1,_xlfn._xlws.FILTER(表格3_5[ID3],(表格3_5[Location]=C10)*(表格3_5[Name]=E10),""))&amp;"/"&amp;$A$6</f>
        <v>4,5,6,7,11,12,13,14,18,19,20,21,25,26,27,28/Jun</v>
      </c>
      <c r="H10" s="175" cm="1">
        <f t="array" ref="H10">IF(OR(Total!E10="", C10=""), 0,
    COUNTA(_xlfn._xlws.FILTER(工作表1!$F$3:$F$681,
        (工作表1!$I$3:$I$681=Total!E10) *
        (工作表1!$H$3:$H$681=C10) *
        (工作表1!$F$3:$F$681&lt;&gt;"")
    ))
)</f>
        <v>16</v>
      </c>
      <c r="I10" s="175">
        <f>SUMIFS(工作表1!$Q$3:$Q$681,工作表1!$I$3:$I$681,Total!E10,工作表1!$H$3:$H$681,C10)</f>
        <v>128</v>
      </c>
      <c r="J10" s="175">
        <f>_xlfn.XLOOKUP(_xlfn.CONCAT($E10,$C10),表格3_5[Test],表格3_5[Hourly Rate])</f>
        <v>60</v>
      </c>
      <c r="K10" s="175">
        <f t="shared" si="5"/>
        <v>7680</v>
      </c>
      <c r="L10" s="175">
        <f ca="1">SUMIFS(sales[Total Price],sales[Promoter],表格3[[#This Row],[Name]],sales[concat],表格3[[#This Row],[Shop]])</f>
        <v>137952</v>
      </c>
      <c r="M10" s="175">
        <f ca="1">SUMIFS(sales[quantity],sales[Promoter],表格3[[#This Row],[Name]],sales[concat],表格3[[#This Row],[Shop]])</f>
        <v>103</v>
      </c>
      <c r="N10" s="238">
        <f ca="1">_xlfn.XLOOKUP(E10,Name_list[Full Name],Name_list[rate])*表格3[[#This Row],[Sales Amt]]</f>
        <v>4138.5599999999995</v>
      </c>
      <c r="O10" s="238"/>
      <c r="P10" s="238">
        <f>_xlfn.XLOOKUP(E10,Name_list[Full Name],Name_list[ph da comm])*表格3[[#This Row],[PH&amp;DA Sales Amt]]</f>
        <v>0</v>
      </c>
      <c r="Q10" s="41">
        <v>480</v>
      </c>
      <c r="R10" s="41">
        <f>_xlfn.XLOOKUP(E10,Name_list[Full Name],Name_list[Allowance])*H10</f>
        <v>0</v>
      </c>
      <c r="S10" s="175"/>
      <c r="T10" s="175"/>
      <c r="U10" s="41">
        <f ca="1">-_xlfn.XLOOKUP(E10,Name_list[Full Name],Name_list[MPF])*(表格3[[#This Row],[酬  金]]+表格3[[#This Row],[Basic Comm]]+表格3[[#This Row],[Allowance]]+表格3[[#This Row],[Expenses]]+表格3[[#This Row],[Adjustmant]]+表格3[[#This Row],[Attendance]])</f>
        <v>-614.928</v>
      </c>
      <c r="V10" s="238">
        <f ca="1">SUM(K10:U10)-表格3[[#This Row],[Sales Amt]]-表格3[[#This Row],[Qty]]-表格3[[#This Row],[PH&amp;DA Sales Amt]]</f>
        <v>11683.631999999983</v>
      </c>
      <c r="W10" s="175">
        <f t="shared" ca="1" si="4"/>
        <v>11684</v>
      </c>
      <c r="X10" s="41"/>
      <c r="Y10" s="41" t="s">
        <v>913</v>
      </c>
    </row>
    <row r="11" spans="1:36" s="43" customFormat="1" ht="31.5">
      <c r="A11" s="40">
        <v>4</v>
      </c>
      <c r="B11" s="40">
        <v>4</v>
      </c>
      <c r="C11" s="175" t="s">
        <v>896</v>
      </c>
      <c r="D11" s="175" t="str">
        <f>_xlfn.XLOOKUP(E11,表格3_5[Name],表格3_5[Nick Name])</f>
        <v>Ling</v>
      </c>
      <c r="E11" s="175" t="s">
        <v>889</v>
      </c>
      <c r="F11" s="175">
        <v>21187</v>
      </c>
      <c r="G11" s="175" t="str" cm="1">
        <f t="array" ref="G11">_xlfn.TEXTJOIN(",",1,_xlfn._xlws.FILTER(表格3_5[ID3],(表格3_5[Location]=C11)*(表格3_5[Name]=E11),""))&amp;"/"&amp;$A$6</f>
        <v>4,5,6,7,11,12,13,14,18,19,20,21,25,26,27,28/Jun</v>
      </c>
      <c r="H11" s="175" cm="1">
        <f t="array" ref="H11">IF(OR(Total!E11="", C11=""), 0,
    COUNTA(_xlfn._xlws.FILTER(工作表1!$F$3:$F$681,
        (工作表1!$I$3:$I$681=Total!E11) *
        (工作表1!$H$3:$H$681=C11) *
        (工作表1!$F$3:$F$681&lt;&gt;"")
    ))
)</f>
        <v>16</v>
      </c>
      <c r="I11" s="175">
        <f>SUMIFS(工作表1!$Q$3:$Q$681,工作表1!$I$3:$I$681,Total!E11,工作表1!$H$3:$H$681,C11)</f>
        <v>128</v>
      </c>
      <c r="J11" s="175">
        <f>_xlfn.XLOOKUP(_xlfn.CONCAT($E11,$C11),表格3_5[Test],表格3_5[Hourly Rate])</f>
        <v>60</v>
      </c>
      <c r="K11" s="175">
        <f t="shared" si="5"/>
        <v>7680</v>
      </c>
      <c r="L11" s="175">
        <v>46940.4</v>
      </c>
      <c r="M11" s="175">
        <f ca="1">SUMIFS(sales[quantity],sales[Promoter],表格3[[#This Row],[Name]],sales[concat],表格3[[#This Row],[Shop]])</f>
        <v>0</v>
      </c>
      <c r="N11" s="238">
        <f>_xlfn.XLOOKUP(E11,Name_list[Full Name],Name_list[rate])*表格3[[#This Row],[Sales Amt]]</f>
        <v>1408.212</v>
      </c>
      <c r="O11" s="238">
        <v>21372</v>
      </c>
      <c r="P11" s="238">
        <f>_xlfn.XLOOKUP(E11,Name_list[Full Name],Name_list[ph da comm])*表格3[[#This Row],[PH&amp;DA Sales Amt]]</f>
        <v>427.44</v>
      </c>
      <c r="Q11" s="41">
        <f>60*8</f>
        <v>480</v>
      </c>
      <c r="R11" s="41">
        <f>_xlfn.XLOOKUP(E11,Name_list[Full Name],Name_list[Allowance])*H11</f>
        <v>0</v>
      </c>
      <c r="S11" s="175"/>
      <c r="T11" s="175"/>
      <c r="U11" s="175"/>
      <c r="V11" s="238">
        <f ca="1">SUM(K11:U11)-表格3[[#This Row],[Sales Amt]]-表格3[[#This Row],[Qty]]-表格3[[#This Row],[PH&amp;DA Sales Amt]]</f>
        <v>9995.6519999999946</v>
      </c>
      <c r="W11" s="175">
        <f t="shared" ca="1" si="4"/>
        <v>9996</v>
      </c>
      <c r="X11" s="41"/>
      <c r="Y11" s="41" t="s">
        <v>913</v>
      </c>
      <c r="Z11" s="42"/>
      <c r="AA11" s="42"/>
      <c r="AB11" s="42"/>
      <c r="AC11" s="42"/>
      <c r="AD11" s="42"/>
      <c r="AE11" s="42"/>
      <c r="AF11" s="42"/>
      <c r="AG11" s="42"/>
    </row>
    <row r="12" spans="1:36" s="41" customFormat="1" ht="31.5">
      <c r="A12" s="40">
        <v>5</v>
      </c>
      <c r="B12" s="40">
        <v>5</v>
      </c>
      <c r="C12" s="175" t="s">
        <v>959</v>
      </c>
      <c r="D12" s="175" t="str">
        <f>_xlfn.XLOOKUP(E12,表格3_5[Name],表格3_5[Nick Name])</f>
        <v xml:space="preserve"> Wu Sir</v>
      </c>
      <c r="E12" s="175" t="s">
        <v>888</v>
      </c>
      <c r="F12" s="175" t="s">
        <v>320</v>
      </c>
      <c r="G12" s="175" t="str" cm="1">
        <f t="array" ref="G12">_xlfn.TEXTJOIN(",",1,_xlfn._xlws.FILTER(表格3_5[ID3],(表格3_5[Location]=C12)*(表格3_5[Name]=E12),""))&amp;"/"&amp;$A$6</f>
        <v>6,7,20,21,27,28/Jun</v>
      </c>
      <c r="H12" s="175" cm="1">
        <f t="array" ref="H12">IF(OR(Total!E12="", C12=""), 0,
    COUNTA(_xlfn._xlws.FILTER(工作表1!$F$3:$F$681,
        (工作表1!$I$3:$I$681=Total!E12) *
        (工作表1!$H$3:$H$681=C12) *
        (工作表1!$F$3:$F$681&lt;&gt;"")
    ))
)</f>
        <v>6</v>
      </c>
      <c r="I12" s="175">
        <f>SUMIFS(工作表1!$Q$3:$Q$681,工作表1!$I$3:$I$681,Total!E12,工作表1!$H$3:$H$681,C12)</f>
        <v>48</v>
      </c>
      <c r="J12" s="175">
        <f>_xlfn.XLOOKUP(_xlfn.CONCAT($E12,$C12),表格3_5[Test],表格3_5[Hourly Rate])</f>
        <v>65</v>
      </c>
      <c r="K12" s="175">
        <f t="shared" si="5"/>
        <v>3120</v>
      </c>
      <c r="L12" s="175">
        <f ca="1">SUMIFS(sales[Total Price],sales[Promoter],表格3[[#This Row],[Name]],sales[concat],表格3[[#This Row],[Shop]])</f>
        <v>84434</v>
      </c>
      <c r="M12" s="175">
        <f ca="1">SUMIFS(sales[quantity],sales[Promoter],表格3[[#This Row],[Name]],sales[concat],表格3[[#This Row],[Shop]])</f>
        <v>46</v>
      </c>
      <c r="N12" s="238">
        <f ca="1">_xlfn.XLOOKUP(E12,Name_list[Full Name],Name_list[rate])*表格3[[#This Row],[Sales Amt]]</f>
        <v>2533.02</v>
      </c>
      <c r="O12" s="238"/>
      <c r="P12" s="238">
        <f>_xlfn.XLOOKUP(E12,Name_list[Full Name],Name_list[ph da comm])*表格3[[#This Row],[PH&amp;DA Sales Amt]]</f>
        <v>0</v>
      </c>
      <c r="R12" s="41">
        <f>_xlfn.XLOOKUP(E12,Name_list[Full Name],Name_list[Allowance])*H12</f>
        <v>0</v>
      </c>
      <c r="S12" s="175"/>
      <c r="T12" s="175"/>
      <c r="U12" s="175"/>
      <c r="V12" s="238">
        <f ca="1">SUM(K12:U12)-表格3[[#This Row],[Sales Amt]]-表格3[[#This Row],[Qty]]-表格3[[#This Row],[PH&amp;DA Sales Amt]]</f>
        <v>5653.0200000000041</v>
      </c>
      <c r="W12" s="175">
        <f t="shared" ca="1" si="4"/>
        <v>5653</v>
      </c>
    </row>
    <row r="13" spans="1:36" s="41" customFormat="1" ht="31.5">
      <c r="A13" s="40">
        <v>6</v>
      </c>
      <c r="B13" s="40">
        <v>6</v>
      </c>
      <c r="C13" s="175" t="s">
        <v>992</v>
      </c>
      <c r="D13" s="175" t="str">
        <f>_xlfn.XLOOKUP(E13,表格3_5[Name],表格3_5[Nick Name])</f>
        <v>Rebacca</v>
      </c>
      <c r="E13" s="175" t="s">
        <v>887</v>
      </c>
      <c r="F13" s="175" t="s">
        <v>320</v>
      </c>
      <c r="G13" s="175" t="str" cm="1">
        <f t="array" ref="G13">_xlfn.TEXTJOIN(",",1,_xlfn._xlws.FILTER(表格3_5[ID3],(表格3_5[Location]=C13)*(表格3_5[Name]=E13),""))&amp;"/"&amp;$A$6</f>
        <v>5,6,7,12,13,14,19,20,21,26,27,28/Jun</v>
      </c>
      <c r="H13" s="175" cm="1">
        <f t="array" ref="H13">IF(OR(Total!E13="", C13=""), 0,
    COUNTA(_xlfn._xlws.FILTER(工作表1!$F$3:$F$681,
        (工作表1!$I$3:$I$681=Total!E13) *
        (工作表1!$H$3:$H$681=C13) *
        (工作表1!$F$3:$F$681&lt;&gt;"")
    ))
)</f>
        <v>12</v>
      </c>
      <c r="I13" s="175">
        <f>SUMIFS(工作表1!$Q$3:$Q$681,工作表1!$I$3:$I$681,Total!E13,工作表1!$H$3:$H$681,C13)</f>
        <v>96</v>
      </c>
      <c r="J13" s="175">
        <f>_xlfn.XLOOKUP(_xlfn.CONCAT($E13,$C13),表格3_5[Test],表格3_5[Hourly Rate])</f>
        <v>60</v>
      </c>
      <c r="K13" s="175">
        <f t="shared" si="5"/>
        <v>5760</v>
      </c>
      <c r="L13" s="175">
        <f ca="1">SUMIFS(sales[Total Price],sales[Promoter],表格3[[#This Row],[Name]],sales[concat],表格3[[#This Row],[Shop]])</f>
        <v>76395</v>
      </c>
      <c r="M13" s="175">
        <f ca="1">SUMIFS(sales[quantity],sales[Promoter],表格3[[#This Row],[Name]],sales[concat],表格3[[#This Row],[Shop]])</f>
        <v>53</v>
      </c>
      <c r="N13" s="238">
        <f ca="1">_xlfn.XLOOKUP(E13,Name_list[Full Name],Name_list[rate])*表格3[[#This Row],[Sales Amt]]</f>
        <v>2291.85</v>
      </c>
      <c r="O13" s="238"/>
      <c r="P13" s="238">
        <f>_xlfn.XLOOKUP(E13,Name_list[Full Name],Name_list[ph da comm])*表格3[[#This Row],[PH&amp;DA Sales Amt]]</f>
        <v>0</v>
      </c>
      <c r="R13" s="41">
        <f>_xlfn.XLOOKUP(E13,Name_list[Full Name],Name_list[Allowance])*H13</f>
        <v>0</v>
      </c>
      <c r="S13" s="175"/>
      <c r="T13" s="175"/>
      <c r="U13" s="175"/>
      <c r="V13" s="238">
        <f ca="1">SUM(K13:U13)-表格3[[#This Row],[Sales Amt]]-表格3[[#This Row],[Qty]]-表格3[[#This Row],[PH&amp;DA Sales Amt]]</f>
        <v>8051.8500000000058</v>
      </c>
      <c r="W13" s="175">
        <f t="shared" ca="1" si="4"/>
        <v>8052</v>
      </c>
    </row>
    <row r="14" spans="1:36" s="41" customFormat="1" ht="31.5">
      <c r="A14" s="40">
        <v>7</v>
      </c>
      <c r="B14" s="40">
        <v>7</v>
      </c>
      <c r="C14" s="175" t="s">
        <v>1020</v>
      </c>
      <c r="D14" s="175" t="str">
        <f>_xlfn.XLOOKUP(E14,表格3_5[Name],表格3_5[Nick Name])</f>
        <v>May M</v>
      </c>
      <c r="E14" s="175" t="s">
        <v>299</v>
      </c>
      <c r="F14" s="175">
        <v>21188</v>
      </c>
      <c r="G14" s="175" t="str" cm="1">
        <f t="array" ref="G14">_xlfn.TEXTJOIN(",",1,_xlfn._xlws.FILTER(表格3_5[ID3],(表格3_5[Location]=C14)*(表格3_5[Name]=E14),""))&amp;"/"&amp;$A$6</f>
        <v>4,5,6,7,11,12,13,14,18,19,20,21,25,26,27,28/Jun</v>
      </c>
      <c r="H14" s="175" cm="1">
        <f t="array" ref="H14">IF(OR(Total!E14="", C14=""), 0,
    COUNTA(_xlfn._xlws.FILTER(工作表1!$F$3:$F$681,
        (工作表1!$I$3:$I$681=Total!E14) *
        (工作表1!$H$3:$H$681=C14) *
        (工作表1!$F$3:$F$681&lt;&gt;"")
    ))
)</f>
        <v>16</v>
      </c>
      <c r="I14" s="175">
        <f>SUMIFS(工作表1!$Q$3:$Q$681,工作表1!$I$3:$I$681,Total!E14,工作表1!$H$3:$H$681,C14)</f>
        <v>128</v>
      </c>
      <c r="J14" s="175">
        <f>_xlfn.XLOOKUP(_xlfn.CONCAT($E14,$C14),表格3_5[Test],表格3_5[Hourly Rate])</f>
        <v>56.25</v>
      </c>
      <c r="K14" s="175">
        <f t="shared" si="5"/>
        <v>7200</v>
      </c>
      <c r="L14" s="175">
        <f ca="1">SUMIFS(sales[Total Price],sales[Promoter],表格3[[#This Row],[Name]],sales[concat],表格3[[#This Row],[Shop]])</f>
        <v>218918</v>
      </c>
      <c r="M14" s="175">
        <f ca="1">SUMIFS(sales[quantity],sales[Promoter],表格3[[#This Row],[Name]],sales[concat],表格3[[#This Row],[Shop]])</f>
        <v>125</v>
      </c>
      <c r="N14" s="238">
        <f ca="1">_xlfn.XLOOKUP(E14,Name_list[Full Name],Name_list[rate])*表格3[[#This Row],[Sales Amt]]</f>
        <v>6567.54</v>
      </c>
      <c r="O14" s="238"/>
      <c r="P14" s="238">
        <f>_xlfn.XLOOKUP(E14,Name_list[Full Name],Name_list[ph da comm])*表格3[[#This Row],[PH&amp;DA Sales Amt]]</f>
        <v>0</v>
      </c>
      <c r="R14" s="41">
        <f>_xlfn.XLOOKUP(E14,Name_list[Full Name],Name_list[Allowance])*H14</f>
        <v>0</v>
      </c>
      <c r="S14" s="175"/>
      <c r="T14" s="175"/>
      <c r="U14" s="175"/>
      <c r="V14" s="238">
        <f ca="1">SUM(K14:U14)-表格3[[#This Row],[Sales Amt]]-表格3[[#This Row],[Qty]]-表格3[[#This Row],[PH&amp;DA Sales Amt]]</f>
        <v>13767.540000000008</v>
      </c>
      <c r="W14" s="175">
        <f t="shared" ca="1" si="4"/>
        <v>13768</v>
      </c>
    </row>
    <row r="15" spans="1:36" s="41" customFormat="1" ht="31.5">
      <c r="A15" s="40">
        <v>8</v>
      </c>
      <c r="B15" s="40">
        <v>8</v>
      </c>
      <c r="C15" s="175" t="s">
        <v>941</v>
      </c>
      <c r="D15" s="175" t="str">
        <f>_xlfn.XLOOKUP(E15,表格3_5[Name],表格3_5[Nick Name])</f>
        <v>Margaret</v>
      </c>
      <c r="E15" s="175" t="s">
        <v>300</v>
      </c>
      <c r="F15" s="175">
        <v>21189</v>
      </c>
      <c r="G15" s="175" t="str" cm="1">
        <f t="array" ref="G15">_xlfn.TEXTJOIN(",",1,_xlfn._xlws.FILTER(表格3_5[ID3],(表格3_5[Location]=C15)*(表格3_5[Name]=E15),""))&amp;"/"&amp;$A$6</f>
        <v>5,6,7,12,13,14,19,20,21,25,29/Jun</v>
      </c>
      <c r="H15" s="175" cm="1">
        <f t="array" ref="H15">IF(OR(Total!E15="", C15=""), 0,
    COUNTA(_xlfn._xlws.FILTER(工作表1!$F$3:$F$681,
        (工作表1!$I$3:$I$681=Total!E15) *
        (工作表1!$H$3:$H$681=C15) *
        (工作表1!$F$3:$F$681&lt;&gt;"")
    ))
)</f>
        <v>11</v>
      </c>
      <c r="I15" s="175">
        <f>SUMIFS(工作表1!$Q$3:$Q$681,工作表1!$I$3:$I$681,Total!E15,工作表1!$H$3:$H$681,C15)</f>
        <v>87.999999999999943</v>
      </c>
      <c r="J15" s="175">
        <f>_xlfn.XLOOKUP(_xlfn.CONCAT($E15,$C15),表格3_5[Test],表格3_5[Hourly Rate])</f>
        <v>56.25</v>
      </c>
      <c r="K15" s="175">
        <f t="shared" si="5"/>
        <v>4949.9999999999964</v>
      </c>
      <c r="L15" s="175">
        <f ca="1">SUMIFS(sales[Total Price],sales[Promoter],表格3[[#This Row],[Name]],sales[concat],表格3[[#This Row],[Shop]])</f>
        <v>159644</v>
      </c>
      <c r="M15" s="175">
        <f ca="1">SUMIFS(sales[quantity],sales[Promoter],表格3[[#This Row],[Name]],sales[concat],表格3[[#This Row],[Shop]])</f>
        <v>106</v>
      </c>
      <c r="N15" s="238">
        <f ca="1">_xlfn.XLOOKUP(E15,Name_list[Full Name],Name_list[rate])*表格3[[#This Row],[Sales Amt]]</f>
        <v>4789.32</v>
      </c>
      <c r="O15" s="238"/>
      <c r="P15" s="238">
        <f>_xlfn.XLOOKUP(E15,Name_list[Full Name],Name_list[ph da comm])*表格3[[#This Row],[PH&amp;DA Sales Amt]]</f>
        <v>0</v>
      </c>
      <c r="R15" s="41">
        <f>_xlfn.XLOOKUP(E15,Name_list[Full Name],Name_list[Allowance])*H15</f>
        <v>0</v>
      </c>
      <c r="S15" s="175"/>
      <c r="T15" s="175"/>
      <c r="U15" s="175"/>
      <c r="V15" s="238">
        <f ca="1">SUM(K15:U15)-表格3[[#This Row],[Sales Amt]]-表格3[[#This Row],[Qty]]-表格3[[#This Row],[PH&amp;DA Sales Amt]]</f>
        <v>9739.320000000007</v>
      </c>
      <c r="W15" s="175">
        <f t="shared" ca="1" si="4"/>
        <v>9739</v>
      </c>
    </row>
    <row r="16" spans="1:36" s="41" customFormat="1" ht="31.5">
      <c r="A16" s="40">
        <v>9</v>
      </c>
      <c r="B16" s="40">
        <v>9</v>
      </c>
      <c r="C16" s="175" t="s">
        <v>943</v>
      </c>
      <c r="D16" s="175" t="str">
        <f>_xlfn.XLOOKUP(E16,表格3_5[Name],表格3_5[Nick Name])</f>
        <v>Margaret</v>
      </c>
      <c r="E16" s="175" t="s">
        <v>300</v>
      </c>
      <c r="F16" s="175">
        <v>21190</v>
      </c>
      <c r="G16" s="175" t="str" cm="1">
        <f t="array" ref="G16">_xlfn.TEXTJOIN(",",1,_xlfn._xlws.FILTER(表格3_5[ID3],(表格3_5[Location]=C16)*(表格3_5[Name]=E16),""))&amp;"/"&amp;$A$6</f>
        <v>1,2,8,9,15,22,23/Jun</v>
      </c>
      <c r="H16" s="175" cm="1">
        <f t="array" ref="H16">IF(OR(Total!E16="", C16=""), 0,
    COUNTA(_xlfn._xlws.FILTER(工作表1!$F$3:$F$681,
        (工作表1!$I$3:$I$681=Total!E16) *
        (工作表1!$H$3:$H$681=C16) *
        (工作表1!$F$3:$F$681&lt;&gt;"")
    ))
)</f>
        <v>7</v>
      </c>
      <c r="I16" s="175">
        <f>SUMIFS(工作表1!$Q$3:$Q$681,工作表1!$I$3:$I$681,Total!E16,工作表1!$H$3:$H$681,C16)</f>
        <v>56</v>
      </c>
      <c r="J16" s="175">
        <f>_xlfn.XLOOKUP(_xlfn.CONCAT($E16,$C16),表格3_5[Test],表格3_5[Hourly Rate])</f>
        <v>56.25</v>
      </c>
      <c r="K16" s="175">
        <f t="shared" si="5"/>
        <v>3150</v>
      </c>
      <c r="L16" s="175">
        <f ca="1">SUMIFS(sales[Total Price],sales[Promoter],表格3[[#This Row],[Name]],sales[concat],表格3[[#This Row],[Shop]])</f>
        <v>55390</v>
      </c>
      <c r="M16" s="175">
        <f ca="1">SUMIFS(sales[quantity],sales[Promoter],表格3[[#This Row],[Name]],sales[concat],表格3[[#This Row],[Shop]])</f>
        <v>56</v>
      </c>
      <c r="N16" s="238">
        <f ca="1">_xlfn.XLOOKUP(E16,Name_list[Full Name],Name_list[rate])*表格3[[#This Row],[Sales Amt]]</f>
        <v>1661.7</v>
      </c>
      <c r="O16" s="238"/>
      <c r="P16" s="238">
        <f>_xlfn.XLOOKUP(E16,Name_list[Full Name],Name_list[ph da comm])*表格3[[#This Row],[PH&amp;DA Sales Amt]]</f>
        <v>0</v>
      </c>
      <c r="R16" s="41">
        <f>_xlfn.XLOOKUP(E16,Name_list[Full Name],Name_list[Allowance])*H16</f>
        <v>0</v>
      </c>
      <c r="S16" s="175"/>
      <c r="T16" s="175"/>
      <c r="U16" s="175"/>
      <c r="V16" s="238">
        <f ca="1">SUM(K16:U16)-表格3[[#This Row],[Sales Amt]]-表格3[[#This Row],[Qty]]-表格3[[#This Row],[PH&amp;DA Sales Amt]]</f>
        <v>4811.6999999999971</v>
      </c>
      <c r="W16" s="175">
        <f t="shared" ca="1" si="4"/>
        <v>4812</v>
      </c>
    </row>
    <row r="17" spans="1:28" s="41" customFormat="1" ht="31.5">
      <c r="A17" s="40">
        <v>10</v>
      </c>
      <c r="B17" s="40">
        <v>10</v>
      </c>
      <c r="C17" s="175" t="s">
        <v>1010</v>
      </c>
      <c r="D17" s="175" t="str">
        <f>_xlfn.XLOOKUP(E17,表格3_5[Name],表格3_5[Nick Name])</f>
        <v>Margaret</v>
      </c>
      <c r="E17" s="175" t="s">
        <v>300</v>
      </c>
      <c r="F17" s="175">
        <v>21191</v>
      </c>
      <c r="G17" s="175" t="str" cm="1">
        <f t="array" ref="G17">_xlfn.TEXTJOIN(",",1,_xlfn._xlws.FILTER(表格3_5[ID3],(表格3_5[Location]=C17)*(表格3_5[Name]=E17),""))&amp;"/"&amp;$A$6</f>
        <v>27,28/Jun</v>
      </c>
      <c r="H17" s="175" cm="1">
        <f t="array" ref="H17">IF(OR(Total!E17="", C17=""), 0,
    COUNTA(_xlfn._xlws.FILTER(工作表1!$F$3:$F$681,
        (工作表1!$I$3:$I$681=Total!E17) *
        (工作表1!$H$3:$H$681=C17) *
        (工作表1!$F$3:$F$681&lt;&gt;"")
    ))
)</f>
        <v>2</v>
      </c>
      <c r="I17" s="175">
        <f>SUMIFS(工作表1!$Q$3:$Q$681,工作表1!$I$3:$I$681,Total!E17,工作表1!$H$3:$H$681,C17)</f>
        <v>13.999999999999998</v>
      </c>
      <c r="J17" s="175">
        <f>_xlfn.XLOOKUP(_xlfn.CONCAT($E17,$C17),表格3_5[Test],表格3_5[Hourly Rate])</f>
        <v>56.25</v>
      </c>
      <c r="K17" s="175">
        <f t="shared" si="5"/>
        <v>787.49999999999989</v>
      </c>
      <c r="L17" s="175">
        <f ca="1">SUMIFS(sales[Total Price],sales[Promoter],表格3[[#This Row],[Name]],sales[concat],表格3[[#This Row],[Shop]])</f>
        <v>0</v>
      </c>
      <c r="M17" s="175">
        <f>SUMIFS(sales[quantity],sales[Promoter],表格3[[#This Row],[Name]],sales[concat],表格3[[#This Row],[Shop]])</f>
        <v>0</v>
      </c>
      <c r="N17" s="238">
        <f ca="1">_xlfn.XLOOKUP(E17,Name_list[Full Name],Name_list[rate])*表格3[[#This Row],[Sales Amt]]</f>
        <v>0</v>
      </c>
      <c r="O17" s="238"/>
      <c r="P17" s="238">
        <f>_xlfn.XLOOKUP(E17,Name_list[Full Name],Name_list[ph da comm])*表格3[[#This Row],[PH&amp;DA Sales Amt]]</f>
        <v>0</v>
      </c>
      <c r="R17" s="41">
        <f>_xlfn.XLOOKUP(E17,Name_list[Full Name],Name_list[Allowance])*H17</f>
        <v>0</v>
      </c>
      <c r="S17" s="175"/>
      <c r="T17" s="175"/>
      <c r="U17" s="175"/>
      <c r="V17" s="238">
        <f ca="1">SUM(K17:U17)-表格3[[#This Row],[Sales Amt]]-表格3[[#This Row],[Qty]]-表格3[[#This Row],[PH&amp;DA Sales Amt]]</f>
        <v>787.49999999999989</v>
      </c>
      <c r="W17" s="175">
        <f t="shared" ca="1" si="4"/>
        <v>788</v>
      </c>
    </row>
    <row r="18" spans="1:28" s="41" customFormat="1" ht="31.5">
      <c r="A18" s="40">
        <v>11</v>
      </c>
      <c r="B18" s="40">
        <v>11</v>
      </c>
      <c r="C18" s="266" t="s">
        <v>961</v>
      </c>
      <c r="D18" s="266" t="str">
        <f>_xlfn.XLOOKUP(E18,表格3_5[Name],表格3_5[Nick Name])</f>
        <v>Jenny P</v>
      </c>
      <c r="E18" s="266" t="s">
        <v>966</v>
      </c>
      <c r="F18" s="266">
        <v>21192</v>
      </c>
      <c r="G18" s="175" t="str" cm="1">
        <f t="array" ref="G18">_xlfn.TEXTJOIN(",",1,_xlfn._xlws.FILTER(表格3_5[ID3],(表格3_5[Location]=C18)*(表格3_5[Name]=E18),""))&amp;"/"&amp;$A$6</f>
        <v>25,26,27,28/Jun</v>
      </c>
      <c r="H18" s="175" cm="1">
        <f t="array" ref="H18">IF(OR(Total!E18="", C18=""), 0,
    COUNTA(_xlfn._xlws.FILTER(工作表1!$F$3:$F$681,
        (工作表1!$I$3:$I$681=Total!E18) *
        (工作表1!$H$3:$H$681=C18) *
        (工作表1!$F$3:$F$681&lt;&gt;"")
    ))
)</f>
        <v>4</v>
      </c>
      <c r="I18" s="175">
        <f>SUMIFS(工作表1!$Q$3:$Q$681,工作表1!$I$3:$I$681,Total!E18,工作表1!$H$3:$H$681,C18)</f>
        <v>34.5</v>
      </c>
      <c r="J18" s="175">
        <f>_xlfn.XLOOKUP(_xlfn.CONCAT($E18,$C18),表格3_5[Test],表格3_5[Hourly Rate])</f>
        <v>60</v>
      </c>
      <c r="K18" s="175">
        <f t="shared" ref="K18:K28" si="6">J18*I18</f>
        <v>2070</v>
      </c>
      <c r="L18" s="175">
        <f>SUMIFS(sales[Total Price],sales[Promoter],表格3[[#This Row],[Name]],sales[concat],表格3[[#This Row],[Shop]])</f>
        <v>0</v>
      </c>
      <c r="M18" s="175">
        <f ca="1">SUMIFS(sales[quantity],sales[Promoter],表格3[[#This Row],[Name]],sales[concat],表格3[[#This Row],[Shop]])</f>
        <v>0</v>
      </c>
      <c r="N18" s="238">
        <f>_xlfn.XLOOKUP(E18,Name_list[Full Name],Name_list[rate])*表格3[[#This Row],[Sales Amt]]</f>
        <v>0</v>
      </c>
      <c r="O18" s="238"/>
      <c r="P18" s="238">
        <f>_xlfn.XLOOKUP(E18,Name_list[Full Name],Name_list[ph da comm])*表格3[[#This Row],[PH&amp;DA Sales Amt]]</f>
        <v>0</v>
      </c>
      <c r="R18" s="41">
        <f>_xlfn.XLOOKUP(E18,Name_list[Full Name],Name_list[Allowance])*H18</f>
        <v>0</v>
      </c>
      <c r="S18" s="175"/>
      <c r="T18" s="175"/>
      <c r="U18" s="175"/>
      <c r="V18" s="238">
        <f ca="1">SUM(K18:U18)-表格3[[#This Row],[Sales Amt]]-表格3[[#This Row],[Qty]]-表格3[[#This Row],[PH&amp;DA Sales Amt]]</f>
        <v>2070</v>
      </c>
      <c r="W18" s="175">
        <f t="shared" ref="W18:W28" ca="1" si="7">ROUND(V18,0)</f>
        <v>2070</v>
      </c>
      <c r="Y18" s="175"/>
      <c r="Z18" s="40"/>
      <c r="AA18" s="40"/>
      <c r="AB18" s="175"/>
    </row>
    <row r="19" spans="1:28" s="41" customFormat="1" ht="31.5">
      <c r="A19" s="40">
        <v>12</v>
      </c>
      <c r="B19" s="40">
        <v>12</v>
      </c>
      <c r="C19" s="175" t="s">
        <v>997</v>
      </c>
      <c r="D19" s="175" t="str">
        <f>_xlfn.XLOOKUP(E19,表格3_5[Name],表格3_5[Nick Name])</f>
        <v>Joe</v>
      </c>
      <c r="E19" s="175" t="s">
        <v>890</v>
      </c>
      <c r="F19" s="175">
        <v>21181</v>
      </c>
      <c r="G19" s="175" t="str" cm="1">
        <f t="array" ref="G19">_xlfn.TEXTJOIN(",",1,_xlfn._xlws.FILTER(表格3_5[ID3],(表格3_5[Location]=C19)*(表格3_5[Name]=E19),""))&amp;"/"&amp;$A$6</f>
        <v>5,6,7,12,13,14,19,20,21,26,27,28/Jun</v>
      </c>
      <c r="H19" s="175" cm="1">
        <f t="array" ref="H19">IF(OR(Total!E19="", C19=""), 0,
    COUNTA(_xlfn._xlws.FILTER(工作表1!$F$3:$F$681,
        (工作表1!$I$3:$I$681=Total!E19) *
        (工作表1!$H$3:$H$681=C19) *
        (工作表1!$F$3:$F$681&lt;&gt;"")
    ))
)</f>
        <v>12</v>
      </c>
      <c r="I19" s="175">
        <f>SUMIFS(工作表1!$Q$3:$Q$681,工作表1!$I$3:$I$681,Total!E19,工作表1!$H$3:$H$681,C19)</f>
        <v>96.999999999999943</v>
      </c>
      <c r="J19" s="175">
        <f>_xlfn.XLOOKUP(_xlfn.CONCAT($E19,$C19),表格3_5[Test],表格3_5[Hourly Rate])</f>
        <v>60</v>
      </c>
      <c r="K19" s="175">
        <f t="shared" si="6"/>
        <v>5819.9999999999964</v>
      </c>
      <c r="L19" s="175">
        <f ca="1">SUMIFS(sales[Total Price],sales[Promoter],表格3[[#This Row],[Name]],sales[concat],表格3[[#This Row],[Shop]])</f>
        <v>91042.8</v>
      </c>
      <c r="M19" s="175">
        <f ca="1">SUMIFS(sales[quantity],sales[Promoter],表格3[[#This Row],[Name]],sales[concat],表格3[[#This Row],[Shop]])</f>
        <v>95</v>
      </c>
      <c r="N19" s="238">
        <f ca="1">_xlfn.XLOOKUP(E19,Name_list[Full Name],Name_list[rate])*表格3[[#This Row],[Sales Amt]]</f>
        <v>2731.2840000000001</v>
      </c>
      <c r="O19" s="238"/>
      <c r="P19" s="238">
        <f>_xlfn.XLOOKUP(E19,Name_list[Full Name],Name_list[ph da comm])*表格3[[#This Row],[PH&amp;DA Sales Amt]]</f>
        <v>0</v>
      </c>
      <c r="R19" s="41">
        <f>_xlfn.XLOOKUP(E19,Name_list[Full Name],Name_list[Allowance])*H19</f>
        <v>0</v>
      </c>
      <c r="S19" s="175"/>
      <c r="T19" s="175"/>
      <c r="U19" s="175"/>
      <c r="V19" s="238">
        <f ca="1">SUM(K19:U19)-表格3[[#This Row],[Sales Amt]]-表格3[[#This Row],[Qty]]-表格3[[#This Row],[PH&amp;DA Sales Amt]]</f>
        <v>8551.2839999999997</v>
      </c>
      <c r="W19" s="175">
        <f t="shared" ca="1" si="7"/>
        <v>8551</v>
      </c>
      <c r="Y19" s="175"/>
      <c r="AB19" s="175"/>
    </row>
    <row r="20" spans="1:28" s="41" customFormat="1" ht="31.5">
      <c r="A20" s="40">
        <v>13</v>
      </c>
      <c r="B20" s="40">
        <v>13</v>
      </c>
      <c r="C20" s="175" t="s">
        <v>960</v>
      </c>
      <c r="D20" s="175" t="str">
        <f>_xlfn.XLOOKUP(E20,表格3_5[Name],表格3_5[Nick Name])</f>
        <v>Fan</v>
      </c>
      <c r="E20" s="175" t="s">
        <v>970</v>
      </c>
      <c r="F20" s="175">
        <v>21193</v>
      </c>
      <c r="G20" s="175" t="str" cm="1">
        <f t="array" ref="G20">_xlfn.TEXTJOIN(",",1,_xlfn._xlws.FILTER(表格3_5[ID3],(表格3_5[Location]=C20)*(表格3_5[Name]=E20),""))&amp;"/"&amp;$A$6</f>
        <v>6,7,13,14,27,28/Jun</v>
      </c>
      <c r="H20" s="175" cm="1">
        <f t="array" ref="H20">IF(OR(Total!E20="", C20=""), 0,
    COUNTA(_xlfn._xlws.FILTER(工作表1!$F$3:$F$681,
        (工作表1!$I$3:$I$681=Total!E20) *
        (工作表1!$H$3:$H$681=C20) *
        (工作表1!$F$3:$F$681&lt;&gt;"")
    ))
)</f>
        <v>6</v>
      </c>
      <c r="I20" s="175">
        <f>SUMIFS(工作表1!$Q$3:$Q$681,工作表1!$I$3:$I$681,Total!E20,工作表1!$H$3:$H$681,C20)</f>
        <v>48</v>
      </c>
      <c r="J20" s="175">
        <f>_xlfn.XLOOKUP(_xlfn.CONCAT($E20,$C20),表格3_5[Test],表格3_5[Hourly Rate])</f>
        <v>60</v>
      </c>
      <c r="K20" s="175">
        <f t="shared" si="6"/>
        <v>2880</v>
      </c>
      <c r="L20" s="175">
        <f ca="1">SUMIFS(sales[Total Price],sales[Promoter],表格3[[#This Row],[Name]],sales[concat],表格3[[#This Row],[Shop]])</f>
        <v>3578</v>
      </c>
      <c r="M20" s="175">
        <f ca="1">SUMIFS(sales[quantity],sales[Promoter],表格3[[#This Row],[Name]],sales[concat],表格3[[#This Row],[Shop]])</f>
        <v>7</v>
      </c>
      <c r="N20" s="238">
        <f ca="1">_xlfn.XLOOKUP(E20,Name_list[Full Name],Name_list[rate])*表格3[[#This Row],[Sales Amt]]</f>
        <v>107.33999999999999</v>
      </c>
      <c r="O20" s="238"/>
      <c r="P20" s="238">
        <f>_xlfn.XLOOKUP(E20,Name_list[Full Name],Name_list[ph da comm])*表格3[[#This Row],[PH&amp;DA Sales Amt]]</f>
        <v>0</v>
      </c>
      <c r="R20" s="41">
        <f>_xlfn.XLOOKUP(E20,Name_list[Full Name],Name_list[Allowance])*H20</f>
        <v>0</v>
      </c>
      <c r="S20" s="175"/>
      <c r="T20" s="175"/>
      <c r="U20" s="175"/>
      <c r="V20" s="238">
        <f ca="1">SUM(K20:U20)-表格3[[#This Row],[Sales Amt]]-表格3[[#This Row],[Qty]]-表格3[[#This Row],[PH&amp;DA Sales Amt]]</f>
        <v>2987.34</v>
      </c>
      <c r="W20" s="175">
        <f t="shared" ca="1" si="7"/>
        <v>2987</v>
      </c>
      <c r="Y20" s="175"/>
      <c r="AB20" s="175"/>
    </row>
    <row r="21" spans="1:28" ht="31.5">
      <c r="A21" s="40">
        <v>14</v>
      </c>
      <c r="B21" s="40">
        <v>14</v>
      </c>
      <c r="C21" s="175" t="s">
        <v>1014</v>
      </c>
      <c r="D21" s="175" t="str">
        <f>_xlfn.XLOOKUP(E21,表格3_5[Name],表格3_5[Nick Name])</f>
        <v>Mei Kiu</v>
      </c>
      <c r="E21" s="175" t="s">
        <v>235</v>
      </c>
      <c r="F21" s="175" t="s">
        <v>320</v>
      </c>
      <c r="G21" s="175" t="str" cm="1">
        <f t="array" ref="G21">_xlfn.TEXTJOIN(",",1,_xlfn._xlws.FILTER(表格3_5[ID3],(表格3_5[Location]=C21)*(表格3_5[Name]=E21),""))&amp;"/"&amp;$A$6</f>
        <v>6,7,13,14,20,21,27,28/Jun</v>
      </c>
      <c r="H21" s="175" cm="1">
        <f t="array" ref="H21">IF(OR(Total!E21="", C21=""), 0,
    COUNTA(_xlfn._xlws.FILTER(工作表1!$F$3:$F$681,
        (工作表1!$I$3:$I$681=Total!E21) *
        (工作表1!$H$3:$H$681=C21) *
        (工作表1!$F$3:$F$681&lt;&gt;"")
    ))
)</f>
        <v>8</v>
      </c>
      <c r="I21" s="175">
        <f>SUMIFS(工作表1!$Q$3:$Q$681,工作表1!$I$3:$I$681,Total!E21,工作表1!$H$3:$H$681,C21)</f>
        <v>64</v>
      </c>
      <c r="J21" s="175">
        <f>_xlfn.XLOOKUP(_xlfn.CONCAT($E21,$C21),表格3_5[Test],表格3_5[Hourly Rate])</f>
        <v>60</v>
      </c>
      <c r="K21" s="175">
        <f t="shared" si="6"/>
        <v>3840</v>
      </c>
      <c r="L21" s="175">
        <f ca="1">SUMIFS(sales[Total Price],sales[Promoter],表格3[[#This Row],[Name]],sales[concat],表格3[[#This Row],[Shop]])</f>
        <v>0</v>
      </c>
      <c r="M21" s="175">
        <f ca="1">SUMIFS(sales[quantity],sales[Promoter],表格3[[#This Row],[Name]],sales[concat],表格3[[#This Row],[Shop]])</f>
        <v>0</v>
      </c>
      <c r="N21" s="238">
        <f ca="1">_xlfn.XLOOKUP(E21,Name_list[Full Name],Name_list[rate])*表格3[[#This Row],[Sales Amt]]</f>
        <v>0</v>
      </c>
      <c r="O21" s="238"/>
      <c r="P21" s="238">
        <f>_xlfn.XLOOKUP(E21,Name_list[Full Name],Name_list[ph da comm])*表格3[[#This Row],[PH&amp;DA Sales Amt]]</f>
        <v>0</v>
      </c>
      <c r="Q21" s="41"/>
      <c r="R21" s="41">
        <f>_xlfn.XLOOKUP(E21,Name_list[Full Name],Name_list[Allowance])*H21</f>
        <v>0</v>
      </c>
      <c r="S21" s="175"/>
      <c r="T21" s="175"/>
      <c r="U21" s="175"/>
      <c r="V21" s="238">
        <f ca="1">SUM(K21:U21)-表格3[[#This Row],[Sales Amt]]-表格3[[#This Row],[Qty]]-表格3[[#This Row],[PH&amp;DA Sales Amt]]</f>
        <v>3840</v>
      </c>
      <c r="W21" s="175">
        <f t="shared" ca="1" si="7"/>
        <v>3840</v>
      </c>
      <c r="X21" s="41"/>
    </row>
    <row r="22" spans="1:28" ht="31.5">
      <c r="A22" s="40">
        <v>15</v>
      </c>
      <c r="B22" s="40">
        <v>15</v>
      </c>
      <c r="C22" s="175" t="s">
        <v>1017</v>
      </c>
      <c r="D22" s="175" t="str">
        <f>_xlfn.XLOOKUP(E22,表格3_5[Name],表格3_5[Nick Name])</f>
        <v>Tammy</v>
      </c>
      <c r="E22" s="175" t="s">
        <v>968</v>
      </c>
      <c r="F22" s="175" t="s">
        <v>320</v>
      </c>
      <c r="G22" s="175" t="str" cm="1">
        <f t="array" ref="G22">_xlfn.TEXTJOIN(",",1,_xlfn._xlws.FILTER(表格3_5[ID3],(表格3_5[Location]=C22)*(表格3_5[Name]=E22),""))&amp;"/"&amp;$A$6</f>
        <v>5,6,7,12,13,14,19,20,21/Jun</v>
      </c>
      <c r="H22" s="175" cm="1">
        <f t="array" ref="H22">IF(OR(Total!E22="", C22=""), 0,
    COUNTA(_xlfn._xlws.FILTER(工作表1!$F$3:$F$681,
        (工作表1!$I$3:$I$681=Total!E22) *
        (工作表1!$H$3:$H$681=C22) *
        (工作表1!$F$3:$F$681&lt;&gt;"")
    ))
)</f>
        <v>9</v>
      </c>
      <c r="I22" s="175">
        <f>SUMIFS(工作表1!$Q$3:$Q$681,工作表1!$I$3:$I$681,Total!E22,工作表1!$H$3:$H$681,C22)</f>
        <v>76</v>
      </c>
      <c r="J22" s="175">
        <f>_xlfn.XLOOKUP(_xlfn.CONCAT($E22,$C22),表格3_5[Test],表格3_5[Hourly Rate])</f>
        <v>60</v>
      </c>
      <c r="K22" s="175">
        <f t="shared" si="6"/>
        <v>4560</v>
      </c>
      <c r="L22" s="175">
        <f ca="1">SUMIFS(sales[Total Price],sales[Promoter],表格3[[#This Row],[Name]],sales[concat],表格3[[#This Row],[Shop]])</f>
        <v>30604</v>
      </c>
      <c r="M22" s="175">
        <f ca="1">SUMIFS(sales[quantity],sales[Promoter],表格3[[#This Row],[Name]],sales[concat],表格3[[#This Row],[Shop]])</f>
        <v>27</v>
      </c>
      <c r="N22" s="238">
        <f ca="1">_xlfn.XLOOKUP(E22,Name_list[Full Name],Name_list[rate])*表格3[[#This Row],[Sales Amt]]</f>
        <v>918.12</v>
      </c>
      <c r="O22" s="238"/>
      <c r="P22" s="238">
        <f>_xlfn.XLOOKUP(E22,Name_list[Full Name],Name_list[ph da comm])*表格3[[#This Row],[PH&amp;DA Sales Amt]]</f>
        <v>0</v>
      </c>
      <c r="Q22" s="41"/>
      <c r="R22" s="41">
        <f>_xlfn.XLOOKUP(E22,Name_list[Full Name],Name_list[Allowance])*H22</f>
        <v>0</v>
      </c>
      <c r="S22" s="175"/>
      <c r="T22" s="175"/>
      <c r="U22" s="175"/>
      <c r="V22" s="238">
        <f ca="1">SUM(K22:U22)-表格3[[#This Row],[Sales Amt]]-表格3[[#This Row],[Qty]]-表格3[[#This Row],[PH&amp;DA Sales Amt]]</f>
        <v>5478.1200000000026</v>
      </c>
      <c r="W22" s="175">
        <f t="shared" ca="1" si="7"/>
        <v>5478</v>
      </c>
      <c r="X22" s="41"/>
    </row>
    <row r="23" spans="1:28" ht="31.5">
      <c r="A23" s="40">
        <v>16</v>
      </c>
      <c r="B23" s="40">
        <v>16</v>
      </c>
      <c r="C23" s="175" t="s">
        <v>1007</v>
      </c>
      <c r="D23" s="175" t="str">
        <f>_xlfn.XLOOKUP(E23,表格3_5[Name],表格3_5[Nick Name])</f>
        <v>Shirley</v>
      </c>
      <c r="E23" s="175" t="s">
        <v>1006</v>
      </c>
      <c r="F23" s="175" t="s">
        <v>320</v>
      </c>
      <c r="G23" s="175" t="str" cm="1">
        <f t="array" ref="G23">_xlfn.TEXTJOIN(",",1,_xlfn._xlws.FILTER(表格3_5[ID3],(表格3_5[Location]=C23)*(表格3_5[Name]=E23),""))&amp;"/"&amp;$A$6</f>
        <v>5,6,7/Jun</v>
      </c>
      <c r="H23" s="175" cm="1">
        <f t="array" ref="H23">IF(OR(Total!E23="", C23=""), 0,
    COUNTA(_xlfn._xlws.FILTER(工作表1!$F$3:$F$681,
        (工作表1!$I$3:$I$681=Total!E23) *
        (工作表1!$H$3:$H$681=C23) *
        (工作表1!$F$3:$F$681&lt;&gt;"")
    ))
)</f>
        <v>3</v>
      </c>
      <c r="I23" s="175">
        <f>SUMIFS(工作表1!$Q$3:$Q$681,工作表1!$I$3:$I$681,Total!E23,工作表1!$H$3:$H$681,C23)</f>
        <v>24</v>
      </c>
      <c r="J23" s="175">
        <f>_xlfn.XLOOKUP(_xlfn.CONCAT($E23,$C23),表格3_5[Test],表格3_5[Hourly Rate])</f>
        <v>60</v>
      </c>
      <c r="K23" s="175">
        <f t="shared" si="6"/>
        <v>1440</v>
      </c>
      <c r="L23" s="175">
        <f ca="1">SUMIFS(sales[Total Price],sales[Promoter],表格3[[#This Row],[Name]],sales[concat],表格3[[#This Row],[Shop]])</f>
        <v>2890</v>
      </c>
      <c r="M23" s="175">
        <f ca="1">SUMIFS(sales[quantity],sales[Promoter],表格3[[#This Row],[Name]],sales[concat],表格3[[#This Row],[Shop]])</f>
        <v>5</v>
      </c>
      <c r="N23" s="238">
        <f ca="1">_xlfn.XLOOKUP(E23,Name_list[Full Name],Name_list[rate])*表格3[[#This Row],[Sales Amt]]</f>
        <v>86.7</v>
      </c>
      <c r="O23" s="238"/>
      <c r="P23" s="238">
        <f>_xlfn.XLOOKUP(E23,Name_list[Full Name],Name_list[ph da comm])*表格3[[#This Row],[PH&amp;DA Sales Amt]]</f>
        <v>0</v>
      </c>
      <c r="Q23" s="41"/>
      <c r="R23" s="41">
        <f>_xlfn.XLOOKUP(E23,Name_list[Full Name],Name_list[Allowance])*H23</f>
        <v>0</v>
      </c>
      <c r="S23" s="175"/>
      <c r="T23" s="175"/>
      <c r="U23" s="175"/>
      <c r="V23" s="238">
        <f ca="1">SUM(K23:U23)-表格3[[#This Row],[Sales Amt]]-表格3[[#This Row],[Qty]]-表格3[[#This Row],[PH&amp;DA Sales Amt]]</f>
        <v>1526.6999999999998</v>
      </c>
      <c r="W23" s="175">
        <f t="shared" ca="1" si="7"/>
        <v>1527</v>
      </c>
      <c r="X23" s="41"/>
    </row>
    <row r="24" spans="1:28" ht="31.5">
      <c r="A24" s="40">
        <v>17</v>
      </c>
      <c r="B24" s="40">
        <v>17</v>
      </c>
      <c r="C24" s="175" t="s">
        <v>960</v>
      </c>
      <c r="D24" s="175" t="str">
        <f>_xlfn.XLOOKUP(E24,表格3_5[Name],表格3_5[Nick Name])</f>
        <v>Apple</v>
      </c>
      <c r="E24" s="175" t="s">
        <v>336</v>
      </c>
      <c r="F24" s="175" t="s">
        <v>320</v>
      </c>
      <c r="G24" s="175" t="str" cm="1">
        <f t="array" ref="G24">_xlfn.TEXTJOIN(",",1,_xlfn._xlws.FILTER(表格3_5[ID3],(表格3_5[Location]=C24)*(表格3_5[Name]=E24),""))&amp;"/"&amp;$A$6</f>
        <v>20,21/Jun</v>
      </c>
      <c r="H24" s="175" cm="1">
        <f t="array" ref="H24">IF(OR(Total!E24="", C24=""), 0,
    COUNTA(_xlfn._xlws.FILTER(工作表1!$F$3:$F$681,
        (工作表1!$I$3:$I$681=Total!E24) *
        (工作表1!$H$3:$H$681=C24) *
        (工作表1!$F$3:$F$681&lt;&gt;"")
    ))
)</f>
        <v>2</v>
      </c>
      <c r="I24" s="175">
        <f>SUMIFS(工作表1!$Q$3:$Q$681,工作表1!$I$3:$I$681,Total!E24,工作表1!$H$3:$H$681,C24)</f>
        <v>16</v>
      </c>
      <c r="J24" s="175">
        <f>_xlfn.XLOOKUP(_xlfn.CONCAT($E24,$C24),表格3_5[Test],表格3_5[Hourly Rate])</f>
        <v>60</v>
      </c>
      <c r="K24" s="175">
        <f t="shared" si="6"/>
        <v>960</v>
      </c>
      <c r="L24" s="175">
        <f ca="1">SUMIFS(sales[Total Price],sales[Promoter],表格3[[#This Row],[Name]],sales[concat],表格3[[#This Row],[Shop]])</f>
        <v>2092</v>
      </c>
      <c r="M24" s="175">
        <f ca="1">SUMIFS(sales[quantity],sales[Promoter],表格3[[#This Row],[Name]],sales[concat],表格3[[#This Row],[Shop]])</f>
        <v>4</v>
      </c>
      <c r="N24" s="238">
        <f ca="1">_xlfn.XLOOKUP(E24,Name_list[Full Name],Name_list[rate])*表格3[[#This Row],[Sales Amt]]</f>
        <v>62.76</v>
      </c>
      <c r="O24" s="238"/>
      <c r="P24" s="238">
        <f>_xlfn.XLOOKUP(E24,Name_list[Full Name],Name_list[ph da comm])*表格3[[#This Row],[PH&amp;DA Sales Amt]]</f>
        <v>0</v>
      </c>
      <c r="Q24" s="41"/>
      <c r="R24" s="41">
        <f>_xlfn.XLOOKUP(E24,Name_list[Full Name],Name_list[Allowance])*H24</f>
        <v>0</v>
      </c>
      <c r="S24" s="175">
        <v>30</v>
      </c>
      <c r="T24" s="175"/>
      <c r="U24" s="175"/>
      <c r="V24" s="238">
        <f ca="1">SUM(K24:U24)-表格3[[#This Row],[Sales Amt]]-表格3[[#This Row],[Qty]]-表格3[[#This Row],[PH&amp;DA Sales Amt]]</f>
        <v>1052.7600000000002</v>
      </c>
      <c r="W24" s="175">
        <f t="shared" ca="1" si="7"/>
        <v>1053</v>
      </c>
      <c r="X24" s="41"/>
    </row>
    <row r="25" spans="1:28" ht="31.5">
      <c r="A25" s="40">
        <v>18</v>
      </c>
      <c r="B25" s="40">
        <v>18</v>
      </c>
      <c r="C25" s="175"/>
      <c r="D25" s="175">
        <f>_xlfn.XLOOKUP(E25,表格3_5[Name],表格3_5[Nick Name])</f>
        <v>0</v>
      </c>
      <c r="E25" s="175"/>
      <c r="F25" s="175"/>
      <c r="G25" s="175" t="str" cm="1">
        <f t="array" ref="G25">_xlfn.TEXTJOIN(",",1,_xlfn._xlws.FILTER(表格3_5[ID3],(表格3_5[Location]=C25)*(表格3_5[Name]=E25),""))&amp;"/"&amp;$A$6</f>
        <v>0,0,0,0,0,0,0,0,0,0,0,0,0,0,0,0,0,0,0,0,0,0,0,0,0,0,0/Jun</v>
      </c>
      <c r="H25" s="175" cm="1">
        <f t="array" ref="H25">IF(OR(Total!E25="", C25=""), 0,
    COUNTA(_xlfn._xlws.FILTER(工作表1!$F$3:$F$681,
        (工作表1!$I$3:$I$681=Total!E25) *
        (工作表1!$H$3:$H$681=C25) *
        (工作表1!$F$3:$F$681&lt;&gt;"")
    ))
)</f>
        <v>0</v>
      </c>
      <c r="I25" s="175">
        <f>SUMIFS(工作表1!$Q$3:$Q$681,工作表1!$I$3:$I$681,Total!E25,工作表1!$H$3:$H$681,C25)</f>
        <v>0</v>
      </c>
      <c r="J25" s="175">
        <f>_xlfn.XLOOKUP(_xlfn.CONCAT($E25,$C25),表格3_5[Test],表格3_5[Hourly Rate])</f>
        <v>0</v>
      </c>
      <c r="K25" s="175">
        <f t="shared" si="6"/>
        <v>0</v>
      </c>
      <c r="L25" s="175">
        <f ca="1">SUMIFS(sales[Total Price],sales[Promoter],表格3[[#This Row],[Name]],sales[concat],表格3[[#This Row],[Shop]])</f>
        <v>0</v>
      </c>
      <c r="M25" s="175">
        <f ca="1">SUMIFS(sales[quantity],sales[Promoter],表格3[[#This Row],[Name]],sales[concat],表格3[[#This Row],[Shop]])</f>
        <v>0</v>
      </c>
      <c r="N25" s="238">
        <f ca="1">_xlfn.XLOOKUP(E25,Name_list[Full Name],Name_list[rate])*表格3[[#This Row],[Sales Amt]]</f>
        <v>0</v>
      </c>
      <c r="O25" s="238"/>
      <c r="P25" s="238">
        <f>_xlfn.XLOOKUP(E25,Name_list[Full Name],Name_list[ph da comm])*表格3[[#This Row],[PH&amp;DA Sales Amt]]</f>
        <v>0</v>
      </c>
      <c r="Q25" s="41"/>
      <c r="R25" s="41">
        <f>_xlfn.XLOOKUP(E25,Name_list[Full Name],Name_list[Allowance])*H25</f>
        <v>0</v>
      </c>
      <c r="S25" s="175"/>
      <c r="T25" s="175"/>
      <c r="U25" s="175"/>
      <c r="V25" s="238">
        <f ca="1">SUM(K25:U25)-表格3[[#This Row],[Sales Amt]]-表格3[[#This Row],[Qty]]-表格3[[#This Row],[PH&amp;DA Sales Amt]]</f>
        <v>0</v>
      </c>
      <c r="W25" s="175">
        <f t="shared" ca="1" si="7"/>
        <v>0</v>
      </c>
      <c r="X25" s="41"/>
    </row>
    <row r="26" spans="1:28" ht="31.5">
      <c r="A26" s="40">
        <v>19</v>
      </c>
      <c r="B26" s="40">
        <v>19</v>
      </c>
      <c r="C26" s="175"/>
      <c r="D26" s="175">
        <f>_xlfn.XLOOKUP(E26,表格3_5[Name],表格3_5[Nick Name])</f>
        <v>0</v>
      </c>
      <c r="E26" s="175"/>
      <c r="F26" s="175"/>
      <c r="G26" s="175" t="str" cm="1">
        <f t="array" ref="G26">_xlfn.TEXTJOIN(",",1,_xlfn._xlws.FILTER(表格3_5[ID3],(表格3_5[Location]=C26)*(表格3_5[Name]=E26),""))&amp;"/"&amp;$A$6</f>
        <v>0,0,0,0,0,0,0,0,0,0,0,0,0,0,0,0,0,0,0,0,0,0,0,0,0,0,0/Jun</v>
      </c>
      <c r="H26" s="175" cm="1">
        <f t="array" ref="H26">IF(OR(Total!E26="", C26=""), 0,
    COUNTA(_xlfn._xlws.FILTER(工作表1!$F$3:$F$681,
        (工作表1!$I$3:$I$681=Total!E26) *
        (工作表1!$H$3:$H$681=C26) *
        (工作表1!$F$3:$F$681&lt;&gt;"")
    ))
)</f>
        <v>0</v>
      </c>
      <c r="I26" s="175">
        <f>SUMIFS(工作表1!$Q$3:$Q$681,工作表1!$I$3:$I$681,Total!E26,工作表1!$H$3:$H$681,C26)</f>
        <v>0</v>
      </c>
      <c r="J26" s="175">
        <f>_xlfn.XLOOKUP(_xlfn.CONCAT($E26,$C26),表格3_5[Test],表格3_5[Hourly Rate])</f>
        <v>0</v>
      </c>
      <c r="K26" s="175">
        <f t="shared" si="6"/>
        <v>0</v>
      </c>
      <c r="L26" s="175">
        <f ca="1">SUMIFS(sales[Total Price],sales[Promoter],表格3[[#This Row],[Name]],sales[concat],表格3[[#This Row],[Shop]])</f>
        <v>0</v>
      </c>
      <c r="M26" s="175">
        <f ca="1">SUMIFS(sales[quantity],sales[Promoter],表格3[[#This Row],[Name]],sales[concat],表格3[[#This Row],[Shop]])</f>
        <v>0</v>
      </c>
      <c r="N26" s="238">
        <f ca="1">_xlfn.XLOOKUP(E26,Name_list[Full Name],Name_list[rate])*表格3[[#This Row],[Sales Amt]]</f>
        <v>0</v>
      </c>
      <c r="O26" s="238"/>
      <c r="P26" s="238">
        <f>_xlfn.XLOOKUP(E26,Name_list[Full Name],Name_list[ph da comm])*表格3[[#This Row],[PH&amp;DA Sales Amt]]</f>
        <v>0</v>
      </c>
      <c r="Q26" s="41"/>
      <c r="R26" s="41">
        <f>_xlfn.XLOOKUP(E26,Name_list[Full Name],Name_list[Allowance])*H26</f>
        <v>0</v>
      </c>
      <c r="S26" s="175"/>
      <c r="T26" s="175"/>
      <c r="U26" s="175"/>
      <c r="V26" s="238">
        <f ca="1">SUM(K26:U26)-表格3[[#This Row],[Sales Amt]]-表格3[[#This Row],[Qty]]-表格3[[#This Row],[PH&amp;DA Sales Amt]]</f>
        <v>0</v>
      </c>
      <c r="W26" s="175">
        <f t="shared" ca="1" si="7"/>
        <v>0</v>
      </c>
      <c r="X26" s="41"/>
    </row>
    <row r="27" spans="1:28" ht="31.5">
      <c r="A27" s="40">
        <v>20</v>
      </c>
      <c r="B27" s="40">
        <v>20</v>
      </c>
      <c r="C27" s="175"/>
      <c r="D27" s="175">
        <f>_xlfn.XLOOKUP(E27,表格3_5[Name],表格3_5[Nick Name])</f>
        <v>0</v>
      </c>
      <c r="E27" s="175"/>
      <c r="F27" s="175"/>
      <c r="G27" s="175" t="str" cm="1">
        <f t="array" ref="G27">_xlfn.TEXTJOIN(",",1,_xlfn._xlws.FILTER(表格3_5[ID3],(表格3_5[Location]=C27)*(表格3_5[Name]=E27),""))&amp;"/"&amp;$A$6</f>
        <v>0,0,0,0,0,0,0,0,0,0,0,0,0,0,0,0,0,0,0,0,0,0,0,0,0,0,0/Jun</v>
      </c>
      <c r="H27" s="175" cm="1">
        <f t="array" ref="H27">IF(OR(Total!E27="", C27=""), 0,
    COUNTA(_xlfn._xlws.FILTER(工作表1!$F$3:$F$681,
        (工作表1!$I$3:$I$681=Total!E27) *
        (工作表1!$H$3:$H$681=C27) *
        (工作表1!$F$3:$F$681&lt;&gt;"")
    ))
)</f>
        <v>0</v>
      </c>
      <c r="I27" s="175">
        <f>SUMIFS(工作表1!$Q$3:$Q$681,工作表1!$I$3:$I$681,Total!E27,工作表1!$H$3:$H$681,C27)</f>
        <v>0</v>
      </c>
      <c r="J27" s="175">
        <f>_xlfn.XLOOKUP(_xlfn.CONCAT($E27,$C27),表格3_5[Test],表格3_5[Hourly Rate])</f>
        <v>0</v>
      </c>
      <c r="K27" s="175">
        <f t="shared" si="6"/>
        <v>0</v>
      </c>
      <c r="L27" s="175">
        <f ca="1">SUMIFS(sales[Total Price],sales[Promoter],表格3[[#This Row],[Name]],sales[concat],表格3[[#This Row],[Shop]])</f>
        <v>0</v>
      </c>
      <c r="M27" s="175">
        <f ca="1">SUMIFS(sales[quantity],sales[Promoter],表格3[[#This Row],[Name]],sales[concat],表格3[[#This Row],[Shop]])</f>
        <v>0</v>
      </c>
      <c r="N27" s="238">
        <f ca="1">_xlfn.XLOOKUP(E27,Name_list[Full Name],Name_list[rate])*表格3[[#This Row],[Sales Amt]]</f>
        <v>0</v>
      </c>
      <c r="O27" s="238"/>
      <c r="P27" s="238">
        <f>_xlfn.XLOOKUP(E27,Name_list[Full Name],Name_list[ph da comm])*表格3[[#This Row],[PH&amp;DA Sales Amt]]</f>
        <v>0</v>
      </c>
      <c r="Q27" s="41"/>
      <c r="R27" s="41">
        <f>_xlfn.XLOOKUP(E27,Name_list[Full Name],Name_list[Allowance])*H27</f>
        <v>0</v>
      </c>
      <c r="S27" s="175"/>
      <c r="T27" s="175"/>
      <c r="U27" s="175"/>
      <c r="V27" s="238">
        <f ca="1">SUM(K27:U27)-表格3[[#This Row],[Sales Amt]]-表格3[[#This Row],[Qty]]-表格3[[#This Row],[PH&amp;DA Sales Amt]]</f>
        <v>0</v>
      </c>
      <c r="W27" s="175">
        <f t="shared" ca="1" si="7"/>
        <v>0</v>
      </c>
      <c r="X27" s="41"/>
    </row>
    <row r="28" spans="1:28" ht="31.5">
      <c r="A28" s="40">
        <v>21</v>
      </c>
      <c r="B28" s="40">
        <v>21</v>
      </c>
      <c r="C28" s="175"/>
      <c r="D28" s="175">
        <f>_xlfn.XLOOKUP(E28,表格3_5[Name],表格3_5[Nick Name])</f>
        <v>0</v>
      </c>
      <c r="E28" s="175"/>
      <c r="F28" s="175"/>
      <c r="G28" s="175" t="str" cm="1">
        <f t="array" ref="G28">_xlfn.TEXTJOIN(",",1,_xlfn._xlws.FILTER(表格3_5[ID3],(表格3_5[Location]=C28)*(表格3_5[Name]=E28),""))&amp;"/"&amp;$A$6</f>
        <v>0,0,0,0,0,0,0,0,0,0,0,0,0,0,0,0,0,0,0,0,0,0,0,0,0,0,0/Jun</v>
      </c>
      <c r="H28" s="175" cm="1">
        <f t="array" ref="H28">IF(OR(Total!E28="", C28=""), 0,
    COUNTA(_xlfn._xlws.FILTER(工作表1!$F$3:$F$681,
        (工作表1!$I$3:$I$681=Total!E28) *
        (工作表1!$H$3:$H$681=C28) *
        (工作表1!$F$3:$F$681&lt;&gt;"")
    ))
)</f>
        <v>0</v>
      </c>
      <c r="I28" s="175">
        <f>SUMIFS(工作表1!$Q$3:$Q$681,工作表1!$I$3:$I$681,Total!E28,工作表1!$H$3:$H$681,C28)</f>
        <v>0</v>
      </c>
      <c r="J28" s="175">
        <f>_xlfn.XLOOKUP(_xlfn.CONCAT($E28,$C28),表格3_5[Test],表格3_5[Hourly Rate])</f>
        <v>0</v>
      </c>
      <c r="K28" s="175">
        <f t="shared" si="6"/>
        <v>0</v>
      </c>
      <c r="L28" s="175">
        <f ca="1">SUMIFS(sales[Total Price],sales[Promoter],表格3[[#This Row],[Name]],sales[concat],表格3[[#This Row],[Shop]])</f>
        <v>0</v>
      </c>
      <c r="M28" s="175">
        <f ca="1">SUMIFS(sales[quantity],sales[Promoter],表格3[[#This Row],[Name]],sales[concat],表格3[[#This Row],[Shop]])</f>
        <v>0</v>
      </c>
      <c r="N28" s="238">
        <f ca="1">_xlfn.XLOOKUP(E28,Name_list[Full Name],Name_list[rate])*表格3[[#This Row],[Sales Amt]]</f>
        <v>0</v>
      </c>
      <c r="O28" s="238"/>
      <c r="P28" s="238">
        <f>_xlfn.XLOOKUP(E28,Name_list[Full Name],Name_list[ph da comm])*表格3[[#This Row],[PH&amp;DA Sales Amt]]</f>
        <v>0</v>
      </c>
      <c r="Q28" s="41"/>
      <c r="R28" s="41">
        <f>_xlfn.XLOOKUP(E28,Name_list[Full Name],Name_list[Allowance])*H28</f>
        <v>0</v>
      </c>
      <c r="S28" s="175"/>
      <c r="T28" s="175"/>
      <c r="U28" s="175"/>
      <c r="V28" s="238">
        <f ca="1">SUM(K28:U28)-表格3[[#This Row],[Sales Amt]]-表格3[[#This Row],[Qty]]-表格3[[#This Row],[PH&amp;DA Sales Amt]]</f>
        <v>0</v>
      </c>
      <c r="W28" s="175">
        <f t="shared" ca="1" si="7"/>
        <v>0</v>
      </c>
      <c r="X28" s="41"/>
    </row>
    <row r="29" spans="1:28" ht="31.5">
      <c r="A29" s="40"/>
      <c r="B29" s="40"/>
      <c r="C29" s="175"/>
      <c r="D29" s="175"/>
      <c r="E29" s="175"/>
      <c r="F29" s="40"/>
      <c r="G29" s="40"/>
      <c r="H29" s="175"/>
      <c r="I29" s="175"/>
      <c r="J29" s="175"/>
      <c r="K29" s="40"/>
      <c r="L29" s="40"/>
      <c r="M29" s="175"/>
      <c r="N29" s="175"/>
      <c r="O29" s="175"/>
      <c r="P29" s="175"/>
      <c r="Q29" s="175"/>
      <c r="R29" s="40"/>
      <c r="S29" s="175"/>
      <c r="T29" s="175"/>
      <c r="U29" s="40"/>
      <c r="V29" s="40"/>
      <c r="W29" s="175"/>
      <c r="X29" s="175"/>
    </row>
    <row r="30" spans="1:28" ht="31.5">
      <c r="A30" s="41"/>
      <c r="B30" s="41"/>
      <c r="C30" s="175"/>
      <c r="D30" s="175"/>
      <c r="E30" s="175"/>
      <c r="F30" s="41"/>
      <c r="G30" s="41"/>
      <c r="H30" s="175"/>
      <c r="I30" s="175"/>
      <c r="J30" s="175"/>
      <c r="K30" s="41"/>
      <c r="L30" s="41"/>
      <c r="M30" s="175"/>
      <c r="N30" s="175"/>
      <c r="O30" s="175"/>
      <c r="P30" s="175"/>
      <c r="Q30" s="175"/>
      <c r="R30" s="41"/>
      <c r="S30" s="175"/>
      <c r="T30" s="175"/>
      <c r="U30" s="41"/>
      <c r="V30" s="41"/>
      <c r="W30" s="175"/>
      <c r="X30" s="175"/>
    </row>
    <row r="31" spans="1:28" ht="31.5">
      <c r="A31" s="41"/>
      <c r="B31" s="41"/>
      <c r="C31" s="175"/>
      <c r="D31" s="175"/>
      <c r="E31" s="175"/>
      <c r="F31" s="41"/>
      <c r="G31" s="41"/>
      <c r="H31" s="175"/>
      <c r="I31" s="175"/>
      <c r="J31" s="175"/>
      <c r="K31" s="41"/>
      <c r="L31" s="41"/>
      <c r="M31" s="175"/>
      <c r="N31" s="175"/>
      <c r="O31" s="175"/>
      <c r="P31" s="175"/>
      <c r="Q31" s="175"/>
      <c r="R31" s="41"/>
      <c r="S31" s="175"/>
      <c r="T31" s="175"/>
      <c r="U31" s="41"/>
      <c r="V31" s="41"/>
      <c r="W31" s="175"/>
      <c r="X31" s="175"/>
    </row>
    <row r="32" spans="1:28">
      <c r="H32" s="18"/>
      <c r="I32" s="18"/>
      <c r="J32" s="18"/>
    </row>
  </sheetData>
  <protectedRanges>
    <protectedRange sqref="N2:T3" name="範圍2_1"/>
  </protectedRanges>
  <mergeCells count="1">
    <mergeCell ref="N2:T3"/>
  </mergeCells>
  <phoneticPr fontId="4" type="noConversion"/>
  <conditionalFormatting sqref="G5">
    <cfRule type="cellIs" dxfId="27" priority="238" stopIfTrue="1" operator="equal">
      <formula>"F"</formula>
    </cfRule>
    <cfRule type="cellIs" dxfId="26" priority="239" stopIfTrue="1" operator="equal">
      <formula>"E"</formula>
    </cfRule>
    <cfRule type="cellIs" dxfId="25" priority="240" operator="equal">
      <formula>"o"</formula>
    </cfRule>
  </conditionalFormatting>
  <pageMargins left="0.31496062992125984" right="0.15748031496062992" top="0.74803149606299213" bottom="0.74803149606299213" header="0.31496062992125984" footer="0.31496062992125984"/>
  <pageSetup paperSize="9" scale="19" orientation="landscape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388C-8EF0-4525-AA81-6C4A06231660}">
  <dimension ref="A1:C17"/>
  <sheetViews>
    <sheetView workbookViewId="0">
      <selection activeCell="M34" sqref="M34"/>
    </sheetView>
  </sheetViews>
  <sheetFormatPr defaultRowHeight="16.5"/>
  <cols>
    <col min="1" max="1" width="19.5" customWidth="1"/>
    <col min="2" max="2" width="18.75" customWidth="1"/>
    <col min="3" max="3" width="23.125" customWidth="1"/>
  </cols>
  <sheetData>
    <row r="1" spans="1:3">
      <c r="A1" t="s">
        <v>0</v>
      </c>
      <c r="B1" t="s">
        <v>898</v>
      </c>
      <c r="C1" t="s">
        <v>895</v>
      </c>
    </row>
    <row r="2" spans="1:3">
      <c r="A2" t="s">
        <v>899</v>
      </c>
      <c r="B2" t="s">
        <v>335</v>
      </c>
      <c r="C2" t="s">
        <v>336</v>
      </c>
    </row>
    <row r="3" spans="1:3">
      <c r="A3" t="s">
        <v>899</v>
      </c>
      <c r="B3" t="s">
        <v>249</v>
      </c>
      <c r="C3" t="s">
        <v>230</v>
      </c>
    </row>
    <row r="4" spans="1:3">
      <c r="A4" t="s">
        <v>245</v>
      </c>
      <c r="B4" t="s">
        <v>227</v>
      </c>
      <c r="C4" t="s">
        <v>226</v>
      </c>
    </row>
    <row r="5" spans="1:3">
      <c r="A5" t="s">
        <v>246</v>
      </c>
      <c r="B5" t="s">
        <v>249</v>
      </c>
      <c r="C5" t="s">
        <v>230</v>
      </c>
    </row>
    <row r="6" spans="1:3">
      <c r="A6" t="s">
        <v>246</v>
      </c>
      <c r="B6" t="s">
        <v>900</v>
      </c>
      <c r="C6" t="s">
        <v>901</v>
      </c>
    </row>
    <row r="7" spans="1:3">
      <c r="A7" t="s">
        <v>902</v>
      </c>
      <c r="B7" t="s">
        <v>376</v>
      </c>
      <c r="C7" t="s">
        <v>348</v>
      </c>
    </row>
    <row r="8" spans="1:3">
      <c r="A8" t="s">
        <v>903</v>
      </c>
      <c r="B8" t="s">
        <v>904</v>
      </c>
      <c r="C8" t="s">
        <v>905</v>
      </c>
    </row>
    <row r="9" spans="1:3">
      <c r="A9" t="s">
        <v>906</v>
      </c>
      <c r="B9" t="s">
        <v>907</v>
      </c>
      <c r="C9" t="s">
        <v>908</v>
      </c>
    </row>
    <row r="10" spans="1:3">
      <c r="A10" t="s">
        <v>909</v>
      </c>
      <c r="B10" t="s">
        <v>907</v>
      </c>
      <c r="C10" t="s">
        <v>908</v>
      </c>
    </row>
    <row r="11" spans="1:3">
      <c r="A11" t="s">
        <v>329</v>
      </c>
      <c r="B11" t="s">
        <v>229</v>
      </c>
      <c r="C11" t="s">
        <v>228</v>
      </c>
    </row>
    <row r="12" spans="1:3">
      <c r="A12" t="s">
        <v>241</v>
      </c>
      <c r="B12" t="s">
        <v>232</v>
      </c>
      <c r="C12" t="s">
        <v>231</v>
      </c>
    </row>
    <row r="13" spans="1:3">
      <c r="A13" t="s">
        <v>241</v>
      </c>
      <c r="B13" t="s">
        <v>234</v>
      </c>
      <c r="C13" t="s">
        <v>233</v>
      </c>
    </row>
    <row r="14" spans="1:3">
      <c r="A14" t="s">
        <v>910</v>
      </c>
      <c r="B14" t="s">
        <v>335</v>
      </c>
      <c r="C14" t="s">
        <v>336</v>
      </c>
    </row>
    <row r="15" spans="1:3">
      <c r="A15" t="s">
        <v>334</v>
      </c>
      <c r="B15" t="s">
        <v>371</v>
      </c>
      <c r="C15" t="s">
        <v>372</v>
      </c>
    </row>
    <row r="16" spans="1:3">
      <c r="A16" t="s">
        <v>324</v>
      </c>
      <c r="B16" t="s">
        <v>248</v>
      </c>
      <c r="C16" t="s">
        <v>235</v>
      </c>
    </row>
    <row r="17" spans="1:3">
      <c r="A17" t="s">
        <v>324</v>
      </c>
      <c r="B17" t="s">
        <v>234</v>
      </c>
      <c r="C17" t="s">
        <v>233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9267-CA38-447A-A795-D23E94BA6862}">
  <dimension ref="A1:Q34"/>
  <sheetViews>
    <sheetView workbookViewId="0">
      <selection activeCell="I17" sqref="I17"/>
    </sheetView>
  </sheetViews>
  <sheetFormatPr defaultRowHeight="16.5"/>
  <cols>
    <col min="2" max="2" width="15.375" bestFit="1" customWidth="1"/>
    <col min="3" max="3" width="12.75" customWidth="1"/>
    <col min="4" max="4" width="14.75" customWidth="1"/>
    <col min="7" max="8" width="20.875" customWidth="1"/>
    <col min="9" max="9" width="24.5" customWidth="1"/>
    <col min="11" max="11" width="13.625" bestFit="1" customWidth="1"/>
    <col min="14" max="14" width="16.25" bestFit="1" customWidth="1"/>
    <col min="15" max="15" width="23.125" customWidth="1"/>
    <col min="16" max="16" width="21.25" bestFit="1" customWidth="1"/>
    <col min="17" max="17" width="12.375" bestFit="1" customWidth="1"/>
    <col min="21" max="21" width="12.125" bestFit="1" customWidth="1"/>
    <col min="22" max="22" width="15.375" bestFit="1" customWidth="1"/>
  </cols>
  <sheetData>
    <row r="1" spans="1:17">
      <c r="K1" s="177" t="s">
        <v>212</v>
      </c>
    </row>
    <row r="2" spans="1:17" ht="17.25">
      <c r="A2" t="s">
        <v>208</v>
      </c>
      <c r="B2" t="s">
        <v>204</v>
      </c>
      <c r="C2" t="s">
        <v>209</v>
      </c>
      <c r="D2" t="s">
        <v>210</v>
      </c>
      <c r="E2" t="s">
        <v>128</v>
      </c>
      <c r="F2" t="s">
        <v>260</v>
      </c>
      <c r="G2" t="s">
        <v>261</v>
      </c>
      <c r="H2" s="172" t="s">
        <v>274</v>
      </c>
      <c r="I2" s="231" t="s">
        <v>262</v>
      </c>
      <c r="K2" s="176" t="s">
        <v>211</v>
      </c>
      <c r="N2" s="178" t="s">
        <v>222</v>
      </c>
      <c r="O2" s="178" t="s">
        <v>224</v>
      </c>
      <c r="P2" s="178" t="s">
        <v>223</v>
      </c>
      <c r="Q2" t="s">
        <v>221</v>
      </c>
    </row>
    <row r="3" spans="1:17">
      <c r="A3">
        <v>1</v>
      </c>
      <c r="B3" t="s">
        <v>205</v>
      </c>
      <c r="C3" t="s">
        <v>219</v>
      </c>
      <c r="D3">
        <v>60</v>
      </c>
      <c r="F3" s="243">
        <v>0.03</v>
      </c>
      <c r="H3" s="173"/>
      <c r="I3" s="173"/>
      <c r="K3" t="str" cm="1">
        <f t="array" ref="K3:K17">_xlfn._xlws.SORT(_xlfn._xlws.FILTER(_xlfn.UNIQUE(表格3_5[Location]), _xlfn.UNIQUE(表格3_5[Location])&lt;&gt;0),,1)</f>
        <v>Central Fortress</v>
      </c>
      <c r="N3" t="s">
        <v>255</v>
      </c>
      <c r="O3" t="s">
        <v>240</v>
      </c>
      <c r="P3" t="s">
        <v>240</v>
      </c>
    </row>
    <row r="4" spans="1:17">
      <c r="A4">
        <v>2</v>
      </c>
      <c r="B4" t="s">
        <v>268</v>
      </c>
      <c r="C4" t="s">
        <v>227</v>
      </c>
      <c r="D4">
        <v>60</v>
      </c>
      <c r="F4" s="243">
        <v>0.03</v>
      </c>
      <c r="H4" s="173">
        <v>0.05</v>
      </c>
      <c r="I4" s="172" t="s">
        <v>894</v>
      </c>
      <c r="K4" t="str">
        <v>Festival Walk Fortress</v>
      </c>
      <c r="N4" t="s">
        <v>253</v>
      </c>
      <c r="O4" t="s">
        <v>254</v>
      </c>
      <c r="P4" t="s">
        <v>246</v>
      </c>
      <c r="Q4">
        <v>4</v>
      </c>
    </row>
    <row r="5" spans="1:17">
      <c r="A5">
        <v>3</v>
      </c>
      <c r="B5" t="s">
        <v>889</v>
      </c>
      <c r="C5" t="s">
        <v>229</v>
      </c>
      <c r="D5">
        <v>60</v>
      </c>
      <c r="F5" s="243">
        <v>0.03</v>
      </c>
      <c r="G5" s="242">
        <v>0.02</v>
      </c>
      <c r="H5" s="173"/>
      <c r="I5" s="172" t="s">
        <v>894</v>
      </c>
      <c r="K5" t="str">
        <v>In - Home Expo</v>
      </c>
      <c r="N5" t="s">
        <v>227</v>
      </c>
      <c r="O5" t="s">
        <v>226</v>
      </c>
      <c r="P5" t="s">
        <v>245</v>
      </c>
      <c r="Q5">
        <v>21</v>
      </c>
    </row>
    <row r="6" spans="1:17">
      <c r="A6">
        <v>4</v>
      </c>
      <c r="B6" t="s">
        <v>888</v>
      </c>
      <c r="C6" t="s">
        <v>275</v>
      </c>
      <c r="D6">
        <v>65</v>
      </c>
      <c r="F6" s="243">
        <v>0.03</v>
      </c>
      <c r="H6" s="173"/>
      <c r="I6" s="173"/>
      <c r="K6" t="str">
        <v>In - Home Expo 2</v>
      </c>
      <c r="N6" t="s">
        <v>237</v>
      </c>
      <c r="O6" t="s">
        <v>236</v>
      </c>
      <c r="P6" t="s">
        <v>241</v>
      </c>
      <c r="Q6">
        <v>2</v>
      </c>
    </row>
    <row r="7" spans="1:17">
      <c r="A7">
        <v>5</v>
      </c>
      <c r="B7" t="s">
        <v>890</v>
      </c>
      <c r="C7" t="s">
        <v>232</v>
      </c>
      <c r="D7">
        <v>60</v>
      </c>
      <c r="F7" s="243">
        <v>0.03</v>
      </c>
      <c r="H7" s="173"/>
      <c r="I7" s="173"/>
      <c r="K7" t="str">
        <v>Kowloon Bay Fortress</v>
      </c>
      <c r="N7" t="s">
        <v>248</v>
      </c>
      <c r="O7" t="s">
        <v>235</v>
      </c>
      <c r="P7" t="s">
        <v>242</v>
      </c>
      <c r="Q7">
        <v>6</v>
      </c>
    </row>
    <row r="8" spans="1:17">
      <c r="A8">
        <v>6</v>
      </c>
      <c r="B8" t="s">
        <v>276</v>
      </c>
      <c r="C8" t="s">
        <v>277</v>
      </c>
      <c r="D8">
        <v>60</v>
      </c>
      <c r="F8" s="243">
        <v>0.03</v>
      </c>
      <c r="H8" s="173"/>
      <c r="I8" s="173"/>
      <c r="K8" t="str">
        <v>Kwai Fong Fortress</v>
      </c>
      <c r="N8" t="s">
        <v>248</v>
      </c>
      <c r="O8" t="s">
        <v>235</v>
      </c>
      <c r="P8" t="s">
        <v>243</v>
      </c>
      <c r="Q8">
        <v>6</v>
      </c>
    </row>
    <row r="9" spans="1:17">
      <c r="A9">
        <v>7</v>
      </c>
      <c r="B9" t="s">
        <v>269</v>
      </c>
      <c r="C9" t="s">
        <v>234</v>
      </c>
      <c r="D9">
        <v>60</v>
      </c>
      <c r="F9" s="243">
        <v>0.03</v>
      </c>
      <c r="H9" s="230"/>
      <c r="I9" s="230"/>
      <c r="K9" t="str">
        <v>Shatin Fortress</v>
      </c>
      <c r="N9" t="s">
        <v>229</v>
      </c>
      <c r="O9" t="s">
        <v>228</v>
      </c>
      <c r="P9" t="s">
        <v>244</v>
      </c>
      <c r="Q9">
        <v>13</v>
      </c>
    </row>
    <row r="10" spans="1:17">
      <c r="A10">
        <v>8</v>
      </c>
      <c r="B10" t="s">
        <v>270</v>
      </c>
      <c r="C10" t="s">
        <v>278</v>
      </c>
      <c r="D10">
        <v>60</v>
      </c>
      <c r="F10" s="243">
        <v>0.03</v>
      </c>
      <c r="H10" s="230" t="s">
        <v>263</v>
      </c>
      <c r="I10" s="230" t="s">
        <v>263</v>
      </c>
      <c r="K10" t="str">
        <v>SW Wing On</v>
      </c>
      <c r="N10" t="s">
        <v>232</v>
      </c>
      <c r="O10" t="s">
        <v>231</v>
      </c>
      <c r="P10" t="s">
        <v>241</v>
      </c>
      <c r="Q10">
        <v>14</v>
      </c>
    </row>
    <row r="11" spans="1:17">
      <c r="A11">
        <v>9</v>
      </c>
      <c r="B11" t="s">
        <v>271</v>
      </c>
      <c r="C11" t="s">
        <v>279</v>
      </c>
      <c r="D11">
        <v>60</v>
      </c>
      <c r="F11" s="243">
        <v>0.03</v>
      </c>
      <c r="H11" s="173"/>
      <c r="I11" s="173"/>
      <c r="K11" t="str">
        <v>Tai Po Yata</v>
      </c>
      <c r="N11" t="s">
        <v>219</v>
      </c>
      <c r="O11" t="s">
        <v>205</v>
      </c>
      <c r="P11" t="s">
        <v>0</v>
      </c>
      <c r="Q11">
        <v>23</v>
      </c>
    </row>
    <row r="12" spans="1:17" ht="17.25">
      <c r="A12">
        <v>10</v>
      </c>
      <c r="B12" t="s">
        <v>280</v>
      </c>
      <c r="C12" s="172" t="s">
        <v>281</v>
      </c>
      <c r="D12">
        <v>60</v>
      </c>
      <c r="F12" s="243">
        <v>0.03</v>
      </c>
      <c r="H12" s="173"/>
      <c r="I12" s="173"/>
      <c r="K12" t="str">
        <v>Tai Wan Fortress</v>
      </c>
      <c r="N12" t="s">
        <v>234</v>
      </c>
      <c r="O12" t="s">
        <v>233</v>
      </c>
      <c r="P12" t="s">
        <v>239</v>
      </c>
      <c r="Q12">
        <v>4</v>
      </c>
    </row>
    <row r="13" spans="1:17">
      <c r="A13">
        <v>11</v>
      </c>
      <c r="B13" s="172" t="s">
        <v>891</v>
      </c>
      <c r="C13" t="s">
        <v>282</v>
      </c>
      <c r="D13">
        <v>60</v>
      </c>
      <c r="F13" s="243">
        <v>1.4999999999999999E-2</v>
      </c>
      <c r="H13" s="237" t="s">
        <v>263</v>
      </c>
      <c r="I13" s="237" t="s">
        <v>263</v>
      </c>
      <c r="K13" t="str">
        <v>Tsing Yi Fortress</v>
      </c>
      <c r="N13" t="s">
        <v>249</v>
      </c>
      <c r="O13" t="s">
        <v>230</v>
      </c>
      <c r="P13" t="s">
        <v>247</v>
      </c>
      <c r="Q13">
        <v>4</v>
      </c>
    </row>
    <row r="14" spans="1:17">
      <c r="A14">
        <v>12</v>
      </c>
      <c r="B14" t="s">
        <v>947</v>
      </c>
      <c r="C14" s="172" t="s">
        <v>253</v>
      </c>
      <c r="D14">
        <v>60</v>
      </c>
      <c r="F14" s="243">
        <v>0.03</v>
      </c>
      <c r="H14" s="173"/>
      <c r="I14" s="173"/>
      <c r="K14" t="str">
        <v>Tuen Mun Broadway</v>
      </c>
      <c r="N14" t="s">
        <v>249</v>
      </c>
      <c r="O14" t="s">
        <v>230</v>
      </c>
      <c r="P14" t="s">
        <v>246</v>
      </c>
      <c r="Q14">
        <v>7</v>
      </c>
    </row>
    <row r="15" spans="1:17">
      <c r="A15">
        <v>13</v>
      </c>
      <c r="B15" t="s">
        <v>283</v>
      </c>
      <c r="C15" t="s">
        <v>264</v>
      </c>
      <c r="D15">
        <v>65</v>
      </c>
      <c r="F15" s="243">
        <v>1.4999999999999999E-2</v>
      </c>
      <c r="H15" t="s">
        <v>263</v>
      </c>
      <c r="I15" t="s">
        <v>263</v>
      </c>
      <c r="K15" t="str">
        <v>TW Aeon</v>
      </c>
      <c r="N15" t="s">
        <v>220</v>
      </c>
      <c r="Q15">
        <v>104</v>
      </c>
    </row>
    <row r="16" spans="1:17">
      <c r="A16">
        <v>14</v>
      </c>
      <c r="B16" t="s">
        <v>272</v>
      </c>
      <c r="C16" s="172" t="s">
        <v>284</v>
      </c>
      <c r="D16">
        <v>60</v>
      </c>
      <c r="F16" s="243">
        <v>0.03</v>
      </c>
      <c r="H16" s="172"/>
      <c r="I16" s="172"/>
      <c r="K16" t="str">
        <v xml:space="preserve">TW YATA </v>
      </c>
    </row>
    <row r="17" spans="1:11">
      <c r="A17">
        <v>15</v>
      </c>
      <c r="B17" s="172" t="s">
        <v>273</v>
      </c>
      <c r="C17" s="172" t="s">
        <v>285</v>
      </c>
      <c r="D17">
        <v>60</v>
      </c>
      <c r="F17" s="243">
        <v>0.03</v>
      </c>
      <c r="H17" s="172"/>
      <c r="K17" t="str">
        <v>YL Citistore</v>
      </c>
    </row>
    <row r="18" spans="1:11">
      <c r="A18">
        <v>16</v>
      </c>
      <c r="B18" t="s">
        <v>286</v>
      </c>
      <c r="C18" s="172" t="s">
        <v>253</v>
      </c>
      <c r="D18">
        <v>60</v>
      </c>
      <c r="F18" s="243">
        <v>1.4999999999999999E-2</v>
      </c>
      <c r="H18" t="s">
        <v>263</v>
      </c>
      <c r="I18" t="s">
        <v>263</v>
      </c>
    </row>
    <row r="19" spans="1:11">
      <c r="A19">
        <v>17</v>
      </c>
      <c r="B19" s="172" t="s">
        <v>287</v>
      </c>
      <c r="C19" s="172" t="s">
        <v>288</v>
      </c>
      <c r="D19">
        <v>60</v>
      </c>
      <c r="F19" s="243">
        <v>0.03</v>
      </c>
    </row>
    <row r="20" spans="1:11" ht="17.25">
      <c r="A20">
        <v>18</v>
      </c>
      <c r="B20" s="172" t="s">
        <v>289</v>
      </c>
      <c r="C20" s="172" t="s">
        <v>290</v>
      </c>
      <c r="D20">
        <v>60</v>
      </c>
      <c r="F20" s="243">
        <v>0.03</v>
      </c>
      <c r="I20" s="172" t="s">
        <v>955</v>
      </c>
    </row>
    <row r="21" spans="1:11">
      <c r="A21">
        <v>19</v>
      </c>
      <c r="B21" s="172" t="s">
        <v>293</v>
      </c>
      <c r="C21" s="172" t="s">
        <v>294</v>
      </c>
      <c r="D21">
        <v>60</v>
      </c>
      <c r="F21" s="243">
        <v>0.03</v>
      </c>
    </row>
    <row r="22" spans="1:11">
      <c r="A22">
        <v>20</v>
      </c>
      <c r="B22" s="172" t="s">
        <v>298</v>
      </c>
      <c r="C22" s="172" t="s">
        <v>295</v>
      </c>
      <c r="D22">
        <v>60</v>
      </c>
      <c r="F22" s="243">
        <v>0.03</v>
      </c>
    </row>
    <row r="23" spans="1:11">
      <c r="A23">
        <v>21</v>
      </c>
      <c r="B23" s="172" t="s">
        <v>297</v>
      </c>
      <c r="C23" s="172" t="s">
        <v>296</v>
      </c>
      <c r="D23">
        <v>60</v>
      </c>
      <c r="F23" s="243">
        <v>0.03</v>
      </c>
    </row>
    <row r="24" spans="1:11">
      <c r="A24">
        <v>22</v>
      </c>
      <c r="B24" t="s">
        <v>299</v>
      </c>
      <c r="C24" s="172" t="s">
        <v>301</v>
      </c>
      <c r="D24">
        <f>450/8</f>
        <v>56.25</v>
      </c>
      <c r="F24" s="243">
        <v>0.03</v>
      </c>
      <c r="I24" s="172" t="s">
        <v>302</v>
      </c>
    </row>
    <row r="25" spans="1:11">
      <c r="A25">
        <v>23</v>
      </c>
      <c r="B25" t="s">
        <v>300</v>
      </c>
      <c r="C25" s="172" t="s">
        <v>956</v>
      </c>
      <c r="D25">
        <f>450/8</f>
        <v>56.25</v>
      </c>
      <c r="F25" s="243">
        <v>0.03</v>
      </c>
      <c r="I25" s="172" t="s">
        <v>303</v>
      </c>
    </row>
    <row r="26" spans="1:11">
      <c r="A26">
        <v>24</v>
      </c>
      <c r="B26" t="s">
        <v>887</v>
      </c>
      <c r="C26" t="s">
        <v>884</v>
      </c>
      <c r="D26">
        <v>60</v>
      </c>
      <c r="F26" s="243">
        <v>0.03</v>
      </c>
    </row>
    <row r="27" spans="1:11">
      <c r="A27">
        <v>25</v>
      </c>
      <c r="B27" t="s">
        <v>886</v>
      </c>
      <c r="C27" t="s">
        <v>885</v>
      </c>
      <c r="D27">
        <v>60</v>
      </c>
      <c r="F27" s="243">
        <v>0.03</v>
      </c>
    </row>
    <row r="28" spans="1:11">
      <c r="A28">
        <v>26</v>
      </c>
      <c r="B28" t="s">
        <v>892</v>
      </c>
      <c r="C28" s="172" t="s">
        <v>893</v>
      </c>
      <c r="D28">
        <v>60</v>
      </c>
      <c r="F28" s="243">
        <v>0.03</v>
      </c>
    </row>
    <row r="29" spans="1:11" ht="17.25">
      <c r="A29">
        <v>27</v>
      </c>
      <c r="B29" s="231" t="s">
        <v>964</v>
      </c>
      <c r="C29" s="172" t="s">
        <v>957</v>
      </c>
      <c r="D29">
        <v>60</v>
      </c>
      <c r="F29" s="243">
        <v>0.03</v>
      </c>
    </row>
    <row r="30" spans="1:11" ht="17.25">
      <c r="A30">
        <v>28</v>
      </c>
      <c r="B30" s="231" t="s">
        <v>965</v>
      </c>
      <c r="C30" s="172" t="s">
        <v>958</v>
      </c>
      <c r="D30">
        <v>60</v>
      </c>
      <c r="F30" s="243">
        <v>0.03</v>
      </c>
    </row>
    <row r="31" spans="1:11" ht="17.25">
      <c r="A31">
        <v>29</v>
      </c>
      <c r="B31" s="231" t="s">
        <v>966</v>
      </c>
      <c r="C31" s="172" t="s">
        <v>962</v>
      </c>
      <c r="D31">
        <v>60</v>
      </c>
      <c r="F31" s="243">
        <v>0.03</v>
      </c>
    </row>
    <row r="32" spans="1:11" ht="17.25">
      <c r="A32">
        <v>30</v>
      </c>
      <c r="B32" s="231" t="s">
        <v>967</v>
      </c>
      <c r="C32" s="231" t="s">
        <v>963</v>
      </c>
      <c r="D32">
        <v>60</v>
      </c>
      <c r="F32" s="243">
        <v>0.03</v>
      </c>
    </row>
    <row r="33" spans="1:6">
      <c r="A33">
        <v>31</v>
      </c>
      <c r="C33" s="172"/>
      <c r="F33" s="243"/>
    </row>
    <row r="34" spans="1:6">
      <c r="A34">
        <v>32</v>
      </c>
      <c r="C34" s="172"/>
      <c r="F34" s="243"/>
    </row>
  </sheetData>
  <phoneticPr fontId="4" type="noConversion"/>
  <conditionalFormatting sqref="B3:B15 B18:B20">
    <cfRule type="duplicateValues" dxfId="24" priority="5"/>
  </conditionalFormatting>
  <conditionalFormatting sqref="B16:B17">
    <cfRule type="duplicateValues" dxfId="23" priority="4"/>
  </conditionalFormatting>
  <conditionalFormatting sqref="B21:B23">
    <cfRule type="duplicateValues" dxfId="22" priority="3"/>
  </conditionalFormatting>
  <conditionalFormatting sqref="B24:B27 B1:B2 C26:C27 B33:B1048576">
    <cfRule type="duplicateValues" dxfId="21" priority="6"/>
  </conditionalFormatting>
  <conditionalFormatting sqref="B28">
    <cfRule type="duplicateValues" dxfId="20" priority="2"/>
  </conditionalFormatting>
  <conditionalFormatting sqref="B29:B32">
    <cfRule type="duplicateValues" dxfId="19" priority="1"/>
  </conditionalFormatting>
  <pageMargins left="0.7" right="0.7" top="0.75" bottom="0.75" header="0.3" footer="0.3"/>
  <pageSetup paperSize="9" orientation="portrait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CAE4-A61D-423A-A9E4-33B558B56378}">
  <dimension ref="A1:T1002"/>
  <sheetViews>
    <sheetView topLeftCell="A851" zoomScale="130" zoomScaleNormal="130" workbookViewId="0">
      <selection activeCell="B860" sqref="B860:C864"/>
    </sheetView>
  </sheetViews>
  <sheetFormatPr defaultColWidth="8.125" defaultRowHeight="15.75"/>
  <cols>
    <col min="1" max="1" width="6" style="1" customWidth="1"/>
    <col min="2" max="2" width="15.5" style="2" customWidth="1"/>
    <col min="3" max="3" width="16.5" style="2" customWidth="1"/>
    <col min="4" max="4" width="13.75" style="2" customWidth="1"/>
    <col min="5" max="5" width="5.75" style="2" customWidth="1"/>
    <col min="6" max="6" width="14" style="233" customWidth="1"/>
    <col min="7" max="7" width="20.375" style="3" customWidth="1"/>
    <col min="8" max="8" width="31.875" style="4" customWidth="1"/>
    <col min="9" max="9" width="12.875" style="2" customWidth="1"/>
    <col min="10" max="10" width="12.125" style="11" customWidth="1"/>
    <col min="11" max="12" width="14" style="12" customWidth="1"/>
    <col min="13" max="15" width="22.875" style="12" customWidth="1"/>
    <col min="16" max="16" width="36" style="2" customWidth="1"/>
    <col min="17" max="18" width="12.5" style="2" customWidth="1"/>
    <col min="19" max="19" width="11.875" style="2" customWidth="1"/>
    <col min="20" max="20" width="10.625" style="2" customWidth="1"/>
    <col min="21" max="16384" width="8.125" style="2"/>
  </cols>
  <sheetData>
    <row r="1" spans="1:20">
      <c r="J1" s="2">
        <f>SUBTOTAL(9,sales[quantity])</f>
        <v>889</v>
      </c>
      <c r="K1" s="2"/>
      <c r="L1" s="2">
        <f>SUBTOTAL(9,sales[Total Price])</f>
        <v>1101833.3999999994</v>
      </c>
      <c r="M1" s="2"/>
      <c r="N1" s="2"/>
      <c r="O1" s="2"/>
      <c r="P1" s="2">
        <f t="shared" ref="P1" si="0">SUM(P3:P996)</f>
        <v>0</v>
      </c>
    </row>
    <row r="2" spans="1:20" ht="17.25">
      <c r="A2" s="1" t="s">
        <v>1</v>
      </c>
      <c r="B2" s="2" t="s">
        <v>2</v>
      </c>
      <c r="C2" s="2" t="s">
        <v>3</v>
      </c>
      <c r="D2" s="5" t="s">
        <v>4</v>
      </c>
      <c r="E2" s="2" t="s">
        <v>5</v>
      </c>
      <c r="F2" s="233" t="s">
        <v>6</v>
      </c>
      <c r="G2" s="3" t="s">
        <v>7</v>
      </c>
      <c r="H2" s="2" t="s">
        <v>8</v>
      </c>
      <c r="I2" s="2" t="s">
        <v>217</v>
      </c>
      <c r="J2" s="2" t="s">
        <v>9</v>
      </c>
      <c r="K2" s="2" t="s">
        <v>10</v>
      </c>
      <c r="L2" s="5" t="s">
        <v>252</v>
      </c>
      <c r="M2" s="5" t="s">
        <v>195</v>
      </c>
      <c r="N2" s="5" t="s">
        <v>196</v>
      </c>
      <c r="O2" s="5" t="s">
        <v>197</v>
      </c>
      <c r="P2" s="2" t="s">
        <v>238</v>
      </c>
      <c r="Q2" s="5" t="s">
        <v>251</v>
      </c>
      <c r="R2" s="5" t="s">
        <v>267</v>
      </c>
      <c r="S2" s="5" t="s">
        <v>11</v>
      </c>
      <c r="T2" s="6"/>
    </row>
    <row r="3" spans="1:20" ht="16.5" customHeight="1">
      <c r="A3" s="7">
        <v>1</v>
      </c>
      <c r="B3" s="5" t="s">
        <v>976</v>
      </c>
      <c r="C3" s="2" t="s">
        <v>975</v>
      </c>
      <c r="D3" s="2" t="str">
        <f ca="1">OFFSET(Roster!$B$7, MATCH(B3&amp;" "&amp;C3&amp;"*",Roster!$B$8:$B$20,0),DAY(sales[[#This Row],[date]]),1, 1)</f>
        <v>Wah</v>
      </c>
      <c r="E3" s="2">
        <f>MONTH(sales[[#This Row],[date]])</f>
        <v>6</v>
      </c>
      <c r="F3" s="233">
        <v>46177</v>
      </c>
      <c r="G3" s="3" t="str">
        <f>VLOOKUP("*"&amp;sales[[#This Row],[Input]]&amp;"*",'Ref-List'!$A:$C,1,0)</f>
        <v>6901+541</v>
      </c>
      <c r="H3" s="2" t="str">
        <f>VLOOKUP("*"&amp;G3&amp;"*",'Ref-List'!$A:$C,3,0)</f>
        <v>RO純淨飲水機 + 濾芯</v>
      </c>
      <c r="I3" s="2">
        <v>6901</v>
      </c>
      <c r="J3" s="2">
        <v>1</v>
      </c>
      <c r="K3" s="2">
        <v>1898</v>
      </c>
      <c r="L3" s="2">
        <f>sales[[#This Row],[quantity]]*sales[[#This Row],[price]]</f>
        <v>1898</v>
      </c>
      <c r="M3" s="9">
        <f>sales[[#This Row],[Total Price]]*3%</f>
        <v>56.94</v>
      </c>
      <c r="N3" s="171">
        <f>sales[[#This Row],[Total Price]]*2.5%</f>
        <v>47.45</v>
      </c>
      <c r="O3" s="9">
        <f>sales[[#This Row],[Total Price]]*1.5%</f>
        <v>28.47</v>
      </c>
      <c r="R3" s="5" t="str">
        <f>_xlfn.CONCAT(sales[[#This Row],[Shop]]," ",sales[[#This Row],[Location]])</f>
        <v>Kowloon Bay Fortress</v>
      </c>
    </row>
    <row r="4" spans="1:20">
      <c r="A4" s="7">
        <v>2</v>
      </c>
      <c r="B4" s="5" t="s">
        <v>976</v>
      </c>
      <c r="C4" s="2" t="s">
        <v>975</v>
      </c>
      <c r="D4" s="2" t="str">
        <f ca="1">OFFSET(Roster!$B$7, MATCH(B4&amp;" "&amp;C4&amp;"*",Roster!$B$8:$B$20,0),DAY(sales[[#This Row],[date]]),1, 1)</f>
        <v>Wah</v>
      </c>
      <c r="E4" s="2">
        <f>MONTH(sales[[#This Row],[date]])</f>
        <v>6</v>
      </c>
      <c r="F4" s="233">
        <v>46177</v>
      </c>
      <c r="G4" s="3" t="str">
        <f>VLOOKUP("*"&amp;sales[[#This Row],[Input]]&amp;"*",'Ref-List'!$A:$C,1,0)</f>
        <v>3773+3922</v>
      </c>
      <c r="H4" s="2" t="str">
        <f>VLOOKUP("*"&amp;G4&amp;"*",'Ref-List'!$A:$C,3,0)</f>
        <v>水龍頭過濾器 + 濾心</v>
      </c>
      <c r="I4" s="5" t="s">
        <v>977</v>
      </c>
      <c r="J4" s="2">
        <v>1</v>
      </c>
      <c r="K4" s="2">
        <v>1338</v>
      </c>
      <c r="L4" s="2">
        <f>sales[[#This Row],[quantity]]*sales[[#This Row],[price]]</f>
        <v>1338</v>
      </c>
      <c r="M4" s="9">
        <f>sales[[#This Row],[Total Price]]*3%</f>
        <v>40.14</v>
      </c>
      <c r="N4" s="171">
        <f>sales[[#This Row],[Total Price]]*2.5%</f>
        <v>33.450000000000003</v>
      </c>
      <c r="O4" s="9">
        <f>sales[[#This Row],[Total Price]]*1.5%</f>
        <v>20.07</v>
      </c>
      <c r="R4" s="5" t="str">
        <f>_xlfn.CONCAT(sales[[#This Row],[Shop]]," ",sales[[#This Row],[Location]])</f>
        <v>Kowloon Bay Fortress</v>
      </c>
    </row>
    <row r="5" spans="1:20">
      <c r="A5" s="7">
        <v>3</v>
      </c>
      <c r="B5" s="5" t="s">
        <v>976</v>
      </c>
      <c r="C5" s="2" t="s">
        <v>975</v>
      </c>
      <c r="D5" s="2" t="str">
        <f ca="1">OFFSET(Roster!$B$7, MATCH(B5&amp;" "&amp;C5&amp;"*",Roster!$B$8:$B$20,0),DAY(sales[[#This Row],[date]]),1, 1)</f>
        <v>Wah</v>
      </c>
      <c r="E5" s="2">
        <f>MONTH(sales[[#This Row],[date]])</f>
        <v>6</v>
      </c>
      <c r="F5" s="233">
        <v>46177</v>
      </c>
      <c r="G5" s="3" t="str">
        <f>VLOOKUP("*"&amp;sales[[#This Row],[Input]]&amp;"*",'Ref-List'!$A:$C,1,0)</f>
        <v>3733+3922</v>
      </c>
      <c r="H5" s="2" t="str">
        <f>VLOOKUP("*"&amp;G5&amp;"*",'Ref-List'!$A:$C,3,0)</f>
        <v>超濾龍頭式淨水器組合</v>
      </c>
      <c r="I5" s="2">
        <v>3922</v>
      </c>
      <c r="J5" s="2">
        <v>1</v>
      </c>
      <c r="K5" s="2">
        <v>598</v>
      </c>
      <c r="L5" s="2">
        <f>sales[[#This Row],[quantity]]*sales[[#This Row],[price]]</f>
        <v>598</v>
      </c>
      <c r="M5" s="9">
        <f>sales[[#This Row],[Total Price]]*3%</f>
        <v>17.939999999999998</v>
      </c>
      <c r="N5" s="171">
        <f>sales[[#This Row],[Total Price]]*2.5%</f>
        <v>14.950000000000001</v>
      </c>
      <c r="O5" s="9">
        <f>sales[[#This Row],[Total Price]]*1.5%</f>
        <v>8.9699999999999989</v>
      </c>
      <c r="R5" s="5" t="str">
        <f>_xlfn.CONCAT(sales[[#This Row],[Shop]]," ",sales[[#This Row],[Location]])</f>
        <v>Kowloon Bay Fortress</v>
      </c>
    </row>
    <row r="6" spans="1:20" ht="16.5" customHeight="1">
      <c r="A6" s="7">
        <v>4</v>
      </c>
      <c r="B6" s="5" t="s">
        <v>976</v>
      </c>
      <c r="C6" s="2" t="s">
        <v>975</v>
      </c>
      <c r="D6" s="2" t="str">
        <f ca="1">OFFSET(Roster!$B$7, MATCH(B6&amp;" "&amp;C6&amp;"*",Roster!$B$8:$B$20,0),DAY(sales[[#This Row],[date]]),1, 1)</f>
        <v>Wah</v>
      </c>
      <c r="E6" s="2">
        <f>MONTH(sales[[#This Row],[date]])</f>
        <v>6</v>
      </c>
      <c r="F6" s="233">
        <v>46178</v>
      </c>
      <c r="G6" s="3" t="e">
        <f>VLOOKUP("*"&amp;sales[[#This Row],[Input]]&amp;"*",'Ref-List'!$A:$C,1,0)</f>
        <v>#N/A</v>
      </c>
      <c r="H6" s="2" t="e">
        <f>VLOOKUP("*"&amp;G6&amp;"*",'Ref-List'!$A:$C,3,0)</f>
        <v>#N/A</v>
      </c>
      <c r="I6" s="2">
        <v>6912</v>
      </c>
      <c r="J6" s="2">
        <v>1</v>
      </c>
      <c r="K6" s="2">
        <v>2998</v>
      </c>
      <c r="L6" s="2">
        <f>sales[[#This Row],[quantity]]*sales[[#This Row],[price]]</f>
        <v>2998</v>
      </c>
      <c r="M6" s="9">
        <f>sales[[#This Row],[Total Price]]*3%</f>
        <v>89.94</v>
      </c>
      <c r="N6" s="171">
        <f>sales[[#This Row],[Total Price]]*2.5%</f>
        <v>74.95</v>
      </c>
      <c r="O6" s="9">
        <f>sales[[#This Row],[Total Price]]*1.5%</f>
        <v>44.97</v>
      </c>
      <c r="R6" s="5" t="str">
        <f>_xlfn.CONCAT(sales[[#This Row],[Shop]]," ",sales[[#This Row],[Location]])</f>
        <v>Kowloon Bay Fortress</v>
      </c>
    </row>
    <row r="7" spans="1:20" ht="16.5" customHeight="1">
      <c r="A7" s="7">
        <v>5</v>
      </c>
      <c r="B7" s="5" t="s">
        <v>976</v>
      </c>
      <c r="C7" s="2" t="s">
        <v>975</v>
      </c>
      <c r="D7" s="2" t="str">
        <f ca="1">OFFSET(Roster!$B$7, MATCH(B7&amp;" "&amp;C7&amp;"*",Roster!$B$8:$B$20,0),DAY(sales[[#This Row],[date]]),1, 1)</f>
        <v>Wah</v>
      </c>
      <c r="E7" s="2">
        <f>MONTH(sales[[#This Row],[date]])</f>
        <v>6</v>
      </c>
      <c r="F7" s="233">
        <v>46178</v>
      </c>
      <c r="G7" s="3" t="str">
        <f>VLOOKUP("*"&amp;sales[[#This Row],[Input]]&amp;"*",'Ref-List'!$A:$C,1,0)</f>
        <v>6901+541</v>
      </c>
      <c r="H7" s="2" t="str">
        <f>VLOOKUP("*"&amp;G7&amp;"*",'Ref-List'!$A:$C,3,0)</f>
        <v>RO純淨飲水機 + 濾芯</v>
      </c>
      <c r="I7" s="2">
        <v>6901</v>
      </c>
      <c r="J7" s="2">
        <v>1</v>
      </c>
      <c r="K7" s="2">
        <v>1898</v>
      </c>
      <c r="L7" s="2">
        <f>sales[[#This Row],[quantity]]*sales[[#This Row],[price]]</f>
        <v>1898</v>
      </c>
      <c r="M7" s="9">
        <f>sales[[#This Row],[Total Price]]*3%</f>
        <v>56.94</v>
      </c>
      <c r="N7" s="171">
        <f>sales[[#This Row],[Total Price]]*2.5%</f>
        <v>47.45</v>
      </c>
      <c r="O7" s="9">
        <f>sales[[#This Row],[Total Price]]*1.5%</f>
        <v>28.47</v>
      </c>
      <c r="R7" s="5" t="str">
        <f>_xlfn.CONCAT(sales[[#This Row],[Shop]]," ",sales[[#This Row],[Location]])</f>
        <v>Kowloon Bay Fortress</v>
      </c>
    </row>
    <row r="8" spans="1:20" ht="16.5" customHeight="1">
      <c r="A8" s="7">
        <v>6</v>
      </c>
      <c r="B8" s="5" t="s">
        <v>976</v>
      </c>
      <c r="C8" s="2" t="s">
        <v>975</v>
      </c>
      <c r="D8" s="2" t="str">
        <f ca="1">OFFSET(Roster!$B$7, MATCH(B8&amp;" "&amp;C8&amp;"*",Roster!$B$8:$B$20,0),DAY(sales[[#This Row],[date]]),1, 1)</f>
        <v>Wah</v>
      </c>
      <c r="E8" s="2">
        <f>MONTH(sales[[#This Row],[date]])</f>
        <v>6</v>
      </c>
      <c r="F8" s="233">
        <v>46178</v>
      </c>
      <c r="G8" s="3" t="str">
        <f>VLOOKUP("*"&amp;sales[[#This Row],[Input]]&amp;"*",'Ref-List'!$A:$C,1,0)</f>
        <v>3733+3922</v>
      </c>
      <c r="H8" s="2" t="str">
        <f>VLOOKUP("*"&amp;G8&amp;"*",'Ref-List'!$A:$C,3,0)</f>
        <v>超濾龍頭式淨水器組合</v>
      </c>
      <c r="I8" s="2">
        <v>3922</v>
      </c>
      <c r="J8" s="2">
        <v>1</v>
      </c>
      <c r="K8" s="2">
        <v>598</v>
      </c>
      <c r="L8" s="2">
        <f>sales[[#This Row],[quantity]]*sales[[#This Row],[price]]</f>
        <v>598</v>
      </c>
      <c r="M8" s="9">
        <f>sales[[#This Row],[Total Price]]*3%</f>
        <v>17.939999999999998</v>
      </c>
      <c r="N8" s="171">
        <f>sales[[#This Row],[Total Price]]*2.5%</f>
        <v>14.950000000000001</v>
      </c>
      <c r="O8" s="9">
        <f>sales[[#This Row],[Total Price]]*1.5%</f>
        <v>8.9699999999999989</v>
      </c>
      <c r="R8" s="5" t="str">
        <f>_xlfn.CONCAT(sales[[#This Row],[Shop]]," ",sales[[#This Row],[Location]])</f>
        <v>Kowloon Bay Fortress</v>
      </c>
    </row>
    <row r="9" spans="1:20" ht="16.5" customHeight="1">
      <c r="A9" s="7">
        <v>7</v>
      </c>
      <c r="B9" s="5" t="s">
        <v>976</v>
      </c>
      <c r="C9" s="2" t="s">
        <v>975</v>
      </c>
      <c r="D9" s="2" t="str">
        <f ca="1">OFFSET(Roster!$B$7, MATCH(B9&amp;" "&amp;C9&amp;"*",Roster!$B$8:$B$20,0),DAY(sales[[#This Row],[date]]),1, 1)</f>
        <v>Wah</v>
      </c>
      <c r="E9" s="2">
        <f>MONTH(sales[[#This Row],[date]])</f>
        <v>6</v>
      </c>
      <c r="F9" s="233">
        <v>46179</v>
      </c>
      <c r="G9" s="3" t="e">
        <f>VLOOKUP("*"&amp;sales[[#This Row],[Input]]&amp;"*",'Ref-List'!$A:$C,1,0)</f>
        <v>#N/A</v>
      </c>
      <c r="H9" s="2" t="e">
        <f>VLOOKUP("*"&amp;G9&amp;"*",'Ref-List'!$A:$C,3,0)</f>
        <v>#N/A</v>
      </c>
      <c r="I9" s="2">
        <v>2754</v>
      </c>
      <c r="J9" s="2">
        <v>1</v>
      </c>
      <c r="K9" s="2">
        <v>368</v>
      </c>
      <c r="L9" s="2">
        <f>sales[[#This Row],[quantity]]*sales[[#This Row],[price]]</f>
        <v>368</v>
      </c>
      <c r="M9" s="9">
        <f>sales[[#This Row],[Total Price]]*3%</f>
        <v>11.04</v>
      </c>
      <c r="N9" s="171">
        <f>sales[[#This Row],[Total Price]]*2.5%</f>
        <v>9.2000000000000011</v>
      </c>
      <c r="O9" s="9">
        <f>sales[[#This Row],[Total Price]]*1.5%</f>
        <v>5.52</v>
      </c>
      <c r="R9" s="5" t="str">
        <f>_xlfn.CONCAT(sales[[#This Row],[Shop]]," ",sales[[#This Row],[Location]])</f>
        <v>Kowloon Bay Fortress</v>
      </c>
    </row>
    <row r="10" spans="1:20" ht="16.5" customHeight="1">
      <c r="A10" s="7">
        <v>8</v>
      </c>
      <c r="B10" s="5" t="s">
        <v>976</v>
      </c>
      <c r="C10" s="2" t="s">
        <v>975</v>
      </c>
      <c r="D10" s="2" t="str">
        <f ca="1">OFFSET(Roster!$B$7, MATCH(B10&amp;" "&amp;C10&amp;"*",Roster!$B$8:$B$20,0),DAY(sales[[#This Row],[date]]),1, 1)</f>
        <v>Wah</v>
      </c>
      <c r="E10" s="2">
        <f>MONTH(sales[[#This Row],[date]])</f>
        <v>6</v>
      </c>
      <c r="F10" s="233">
        <v>46179</v>
      </c>
      <c r="G10" s="3" t="str">
        <f>VLOOKUP("*"&amp;sales[[#This Row],[Input]]&amp;"*",'Ref-List'!$A:$C,1,0)</f>
        <v>6901+541</v>
      </c>
      <c r="H10" s="2" t="str">
        <f>VLOOKUP("*"&amp;G10&amp;"*",'Ref-List'!$A:$C,3,0)</f>
        <v>RO純淨飲水機 + 濾芯</v>
      </c>
      <c r="I10" s="2">
        <v>6901</v>
      </c>
      <c r="J10" s="2">
        <v>1</v>
      </c>
      <c r="K10" s="2">
        <v>1899</v>
      </c>
      <c r="L10" s="2">
        <f>sales[[#This Row],[quantity]]*sales[[#This Row],[price]]</f>
        <v>1899</v>
      </c>
      <c r="M10" s="9">
        <f>sales[[#This Row],[Total Price]]*3%</f>
        <v>56.97</v>
      </c>
      <c r="N10" s="171">
        <f>sales[[#This Row],[Total Price]]*2.5%</f>
        <v>47.475000000000001</v>
      </c>
      <c r="O10" s="9">
        <f>sales[[#This Row],[Total Price]]*1.5%</f>
        <v>28.484999999999999</v>
      </c>
      <c r="R10" s="5" t="str">
        <f>_xlfn.CONCAT(sales[[#This Row],[Shop]]," ",sales[[#This Row],[Location]])</f>
        <v>Kowloon Bay Fortress</v>
      </c>
    </row>
    <row r="11" spans="1:20" ht="16.5" customHeight="1">
      <c r="A11" s="7">
        <v>9</v>
      </c>
      <c r="B11" s="5" t="s">
        <v>976</v>
      </c>
      <c r="C11" s="2" t="s">
        <v>975</v>
      </c>
      <c r="D11" s="2" t="str">
        <f ca="1">OFFSET(Roster!$B$7, MATCH(B11&amp;" "&amp;C11&amp;"*",Roster!$B$8:$B$20,0),DAY(sales[[#This Row],[date]]),1, 1)</f>
        <v>Wah</v>
      </c>
      <c r="E11" s="2">
        <f>MONTH(sales[[#This Row],[date]])</f>
        <v>6</v>
      </c>
      <c r="F11" s="233">
        <v>46179</v>
      </c>
      <c r="G11" s="3" t="e">
        <f>VLOOKUP("*"&amp;sales[[#This Row],[Input]]&amp;"*",'Ref-List'!$A:$C,1,0)</f>
        <v>#N/A</v>
      </c>
      <c r="H11" s="2" t="e">
        <f>VLOOKUP("*"&amp;G11&amp;"*",'Ref-List'!$A:$C,3,0)</f>
        <v>#N/A</v>
      </c>
      <c r="I11" s="2">
        <v>6912</v>
      </c>
      <c r="J11" s="2">
        <v>1</v>
      </c>
      <c r="K11" s="2">
        <v>2998</v>
      </c>
      <c r="L11" s="2">
        <f>sales[[#This Row],[quantity]]*sales[[#This Row],[price]]</f>
        <v>2998</v>
      </c>
      <c r="M11" s="9">
        <f>sales[[#This Row],[Total Price]]*3%</f>
        <v>89.94</v>
      </c>
      <c r="N11" s="171">
        <f>sales[[#This Row],[Total Price]]*2.5%</f>
        <v>74.95</v>
      </c>
      <c r="O11" s="9">
        <f>sales[[#This Row],[Total Price]]*1.5%</f>
        <v>44.97</v>
      </c>
      <c r="R11" s="5" t="str">
        <f>_xlfn.CONCAT(sales[[#This Row],[Shop]]," ",sales[[#This Row],[Location]])</f>
        <v>Kowloon Bay Fortress</v>
      </c>
    </row>
    <row r="12" spans="1:20" ht="16.5" customHeight="1">
      <c r="A12" s="7">
        <v>10</v>
      </c>
      <c r="B12" s="5" t="s">
        <v>976</v>
      </c>
      <c r="C12" s="2" t="s">
        <v>975</v>
      </c>
      <c r="D12" s="2" t="str">
        <f ca="1">OFFSET(Roster!$B$7, MATCH(B12&amp;" "&amp;C12&amp;"*",Roster!$B$8:$B$20,0),DAY(sales[[#This Row],[date]]),1, 1)</f>
        <v>Wah</v>
      </c>
      <c r="E12" s="2">
        <f>MONTH(sales[[#This Row],[date]])</f>
        <v>6</v>
      </c>
      <c r="F12" s="233">
        <v>46179</v>
      </c>
      <c r="G12" s="3" t="str">
        <f>VLOOKUP("*"&amp;sales[[#This Row],[Input]]&amp;"*",'Ref-List'!$A:$C,1,0)</f>
        <v>6910+550</v>
      </c>
      <c r="H12" s="2" t="str">
        <f>VLOOKUP("*"&amp;G12&amp;"*",'Ref-List'!$A:$C,3,0)</f>
        <v>冷熱飲水機 + 濾心</v>
      </c>
      <c r="I12" s="2">
        <v>550</v>
      </c>
      <c r="J12" s="2">
        <v>1</v>
      </c>
      <c r="K12" s="2">
        <v>598</v>
      </c>
      <c r="L12" s="2">
        <f>sales[[#This Row],[quantity]]*sales[[#This Row],[price]]</f>
        <v>598</v>
      </c>
      <c r="M12" s="9">
        <f>sales[[#This Row],[Total Price]]*3%</f>
        <v>17.939999999999998</v>
      </c>
      <c r="N12" s="171">
        <f>sales[[#This Row],[Total Price]]*2.5%</f>
        <v>14.950000000000001</v>
      </c>
      <c r="O12" s="9">
        <f>sales[[#This Row],[Total Price]]*1.5%</f>
        <v>8.9699999999999989</v>
      </c>
      <c r="R12" s="5" t="str">
        <f>_xlfn.CONCAT(sales[[#This Row],[Shop]]," ",sales[[#This Row],[Location]])</f>
        <v>Kowloon Bay Fortress</v>
      </c>
    </row>
    <row r="13" spans="1:20" ht="16.5" customHeight="1">
      <c r="A13" s="7">
        <v>11</v>
      </c>
      <c r="B13" s="5" t="s">
        <v>976</v>
      </c>
      <c r="C13" s="2" t="s">
        <v>975</v>
      </c>
      <c r="D13" s="2" t="str">
        <f ca="1">OFFSET(Roster!$B$7, MATCH(B13&amp;" "&amp;C13&amp;"*",Roster!$B$8:$B$20,0),DAY(sales[[#This Row],[date]]),1, 1)</f>
        <v>Wah</v>
      </c>
      <c r="E13" s="2">
        <f>MONTH(sales[[#This Row],[date]])</f>
        <v>6</v>
      </c>
      <c r="F13" s="233">
        <v>46179</v>
      </c>
      <c r="G13" s="3" t="str">
        <f>VLOOKUP("*"&amp;sales[[#This Row],[Input]]&amp;"*",'Ref-List'!$A:$C,1,0)</f>
        <v>6910+550</v>
      </c>
      <c r="H13" s="2" t="str">
        <f>VLOOKUP("*"&amp;G13&amp;"*",'Ref-List'!$A:$C,3,0)</f>
        <v>冷熱飲水機 + 濾心</v>
      </c>
      <c r="I13" s="2">
        <v>550</v>
      </c>
      <c r="J13" s="2">
        <v>1</v>
      </c>
      <c r="K13" s="2">
        <v>598</v>
      </c>
      <c r="L13" s="2">
        <f>sales[[#This Row],[quantity]]*sales[[#This Row],[price]]</f>
        <v>598</v>
      </c>
      <c r="M13" s="9">
        <f>sales[[#This Row],[Total Price]]*3%</f>
        <v>17.939999999999998</v>
      </c>
      <c r="N13" s="171">
        <f>sales[[#This Row],[Total Price]]*2.5%</f>
        <v>14.950000000000001</v>
      </c>
      <c r="O13" s="9">
        <f>sales[[#This Row],[Total Price]]*1.5%</f>
        <v>8.9699999999999989</v>
      </c>
      <c r="R13" s="5" t="str">
        <f>_xlfn.CONCAT(sales[[#This Row],[Shop]]," ",sales[[#This Row],[Location]])</f>
        <v>Kowloon Bay Fortress</v>
      </c>
    </row>
    <row r="14" spans="1:20" ht="16.5" customHeight="1">
      <c r="A14" s="7">
        <v>12</v>
      </c>
      <c r="B14" s="5" t="s">
        <v>976</v>
      </c>
      <c r="C14" s="2" t="s">
        <v>975</v>
      </c>
      <c r="D14" s="2" t="str">
        <f ca="1">OFFSET(Roster!$B$7, MATCH(B14&amp;" "&amp;C14&amp;"*",Roster!$B$8:$B$20,0),DAY(sales[[#This Row],[date]]),1, 1)</f>
        <v>Wah</v>
      </c>
      <c r="E14" s="2">
        <f>MONTH(sales[[#This Row],[date]])</f>
        <v>6</v>
      </c>
      <c r="F14" s="233">
        <v>46179</v>
      </c>
      <c r="G14" s="3" t="str">
        <f>VLOOKUP("*"&amp;sales[[#This Row],[Input]]&amp;"*",'Ref-List'!$A:$C,1,0)</f>
        <v>3780/97</v>
      </c>
      <c r="H14" s="2" t="str">
        <f>VLOOKUP("*"&amp;G14&amp;"*",'Ref-List'!$A:$C,3,0)</f>
        <v>座檯濾水器</v>
      </c>
      <c r="I14" s="2">
        <v>3780</v>
      </c>
      <c r="J14" s="2">
        <v>1</v>
      </c>
      <c r="K14" s="2">
        <v>1188</v>
      </c>
      <c r="L14" s="2">
        <f>sales[[#This Row],[quantity]]*sales[[#This Row],[price]]</f>
        <v>1188</v>
      </c>
      <c r="M14" s="9">
        <f>sales[[#This Row],[Total Price]]*3%</f>
        <v>35.64</v>
      </c>
      <c r="N14" s="171">
        <f>sales[[#This Row],[Total Price]]*2.5%</f>
        <v>29.700000000000003</v>
      </c>
      <c r="O14" s="9">
        <f>sales[[#This Row],[Total Price]]*1.5%</f>
        <v>17.82</v>
      </c>
      <c r="R14" s="5" t="str">
        <f>_xlfn.CONCAT(sales[[#This Row],[Shop]]," ",sales[[#This Row],[Location]])</f>
        <v>Kowloon Bay Fortress</v>
      </c>
    </row>
    <row r="15" spans="1:20" ht="16.5" customHeight="1">
      <c r="A15" s="7">
        <v>13</v>
      </c>
      <c r="B15" s="5" t="s">
        <v>976</v>
      </c>
      <c r="C15" s="2" t="s">
        <v>975</v>
      </c>
      <c r="D15" s="2" t="str">
        <f ca="1">OFFSET(Roster!$B$7, MATCH(B15&amp;" "&amp;C15&amp;"*",Roster!$B$8:$B$20,0),DAY(sales[[#This Row],[date]]),1, 1)</f>
        <v>Wah</v>
      </c>
      <c r="E15" s="2">
        <f>MONTH(sales[[#This Row],[date]])</f>
        <v>6</v>
      </c>
      <c r="F15" s="233">
        <v>46180</v>
      </c>
      <c r="G15" s="3" t="str">
        <f>VLOOKUP("*"&amp;sales[[#This Row],[Input]]&amp;"*",'Ref-List'!$A:$C,1,0)</f>
        <v>2769/97</v>
      </c>
      <c r="H15" s="2" t="str">
        <f>VLOOKUP("*"&amp;G15&amp;"*",'Ref-List'!$A:$C,3,0)</f>
        <v>電熱水樽</v>
      </c>
      <c r="I15" s="2">
        <v>2769</v>
      </c>
      <c r="J15" s="2">
        <v>1</v>
      </c>
      <c r="K15" s="2">
        <v>298</v>
      </c>
      <c r="L15" s="2">
        <f>sales[[#This Row],[quantity]]*sales[[#This Row],[price]]</f>
        <v>298</v>
      </c>
      <c r="M15" s="9">
        <f>sales[[#This Row],[Total Price]]*3%</f>
        <v>8.94</v>
      </c>
      <c r="N15" s="171">
        <f>sales[[#This Row],[Total Price]]*2.5%</f>
        <v>7.45</v>
      </c>
      <c r="O15" s="9">
        <f>sales[[#This Row],[Total Price]]*1.5%</f>
        <v>4.47</v>
      </c>
      <c r="R15" s="5" t="str">
        <f>_xlfn.CONCAT(sales[[#This Row],[Shop]]," ",sales[[#This Row],[Location]])</f>
        <v>Kowloon Bay Fortress</v>
      </c>
    </row>
    <row r="16" spans="1:20" ht="16.5" customHeight="1">
      <c r="A16" s="7">
        <v>14</v>
      </c>
      <c r="B16" s="5" t="s">
        <v>976</v>
      </c>
      <c r="C16" s="2" t="s">
        <v>975</v>
      </c>
      <c r="D16" s="2" t="str">
        <f ca="1">OFFSET(Roster!$B$7, MATCH(B16&amp;" "&amp;C16&amp;"*",Roster!$B$8:$B$20,0),DAY(sales[[#This Row],[date]]),1, 1)</f>
        <v>Wah</v>
      </c>
      <c r="E16" s="2">
        <f>MONTH(sales[[#This Row],[date]])</f>
        <v>6</v>
      </c>
      <c r="F16" s="233">
        <v>46180</v>
      </c>
      <c r="G16" s="3" t="str">
        <f>VLOOKUP("*"&amp;sales[[#This Row],[Input]]&amp;"*",'Ref-List'!$A:$C,1,0)</f>
        <v>4030/90</v>
      </c>
      <c r="H16" s="2" t="str">
        <f>VLOOKUP("*"&amp;G16&amp;"*",'Ref-List'!$A:$C,3,0)</f>
        <v>櫥下型濾水器</v>
      </c>
      <c r="I16" s="2">
        <v>4030</v>
      </c>
      <c r="J16" s="2">
        <v>1</v>
      </c>
      <c r="K16" s="2">
        <v>2645</v>
      </c>
      <c r="L16" s="2">
        <f>sales[[#This Row],[quantity]]*sales[[#This Row],[price]]</f>
        <v>2645</v>
      </c>
      <c r="M16" s="9">
        <f>sales[[#This Row],[Total Price]]*3%</f>
        <v>79.349999999999994</v>
      </c>
      <c r="N16" s="171">
        <f>sales[[#This Row],[Total Price]]*2.5%</f>
        <v>66.125</v>
      </c>
      <c r="O16" s="9">
        <f>sales[[#This Row],[Total Price]]*1.5%</f>
        <v>39.674999999999997</v>
      </c>
      <c r="R16" s="5" t="str">
        <f>_xlfn.CONCAT(sales[[#This Row],[Shop]]," ",sales[[#This Row],[Location]])</f>
        <v>Kowloon Bay Fortress</v>
      </c>
    </row>
    <row r="17" spans="1:18" ht="16.5" customHeight="1">
      <c r="A17" s="7">
        <v>15</v>
      </c>
      <c r="B17" s="5" t="s">
        <v>976</v>
      </c>
      <c r="C17" s="2" t="s">
        <v>975</v>
      </c>
      <c r="D17" s="2" t="str">
        <f ca="1">OFFSET(Roster!$B$7, MATCH(B17&amp;" "&amp;C17&amp;"*",Roster!$B$8:$B$20,0),DAY(sales[[#This Row],[date]]),1, 1)</f>
        <v>Wah</v>
      </c>
      <c r="E17" s="2">
        <f>MONTH(sales[[#This Row],[date]])</f>
        <v>6</v>
      </c>
      <c r="F17" s="233">
        <v>46180</v>
      </c>
      <c r="G17" s="3" t="str">
        <f>VLOOKUP("*"&amp;sales[[#This Row],[Input]]&amp;"*",'Ref-List'!$A:$C,1,0)</f>
        <v>6901+541</v>
      </c>
      <c r="H17" s="2" t="str">
        <f>VLOOKUP("*"&amp;G17&amp;"*",'Ref-List'!$A:$C,3,0)</f>
        <v>RO純淨飲水機 + 濾芯</v>
      </c>
      <c r="I17" s="2">
        <v>6901</v>
      </c>
      <c r="J17" s="2">
        <v>1</v>
      </c>
      <c r="K17" s="2">
        <v>1899</v>
      </c>
      <c r="L17" s="2">
        <f>sales[[#This Row],[quantity]]*sales[[#This Row],[price]]</f>
        <v>1899</v>
      </c>
      <c r="M17" s="9">
        <f>sales[[#This Row],[Total Price]]*3%</f>
        <v>56.97</v>
      </c>
      <c r="N17" s="171">
        <f>sales[[#This Row],[Total Price]]*2.5%</f>
        <v>47.475000000000001</v>
      </c>
      <c r="O17" s="9">
        <f>sales[[#This Row],[Total Price]]*1.5%</f>
        <v>28.484999999999999</v>
      </c>
      <c r="R17" s="5" t="str">
        <f>_xlfn.CONCAT(sales[[#This Row],[Shop]]," ",sales[[#This Row],[Location]])</f>
        <v>Kowloon Bay Fortress</v>
      </c>
    </row>
    <row r="18" spans="1:18" ht="16.5" customHeight="1">
      <c r="A18" s="7">
        <v>16</v>
      </c>
      <c r="B18" s="5" t="s">
        <v>976</v>
      </c>
      <c r="C18" s="2" t="s">
        <v>975</v>
      </c>
      <c r="D18" s="2" t="str">
        <f ca="1">OFFSET(Roster!$B$7, MATCH(B18&amp;" "&amp;C18&amp;"*",Roster!$B$8:$B$20,0),DAY(sales[[#This Row],[date]]),1, 1)</f>
        <v>Wah</v>
      </c>
      <c r="E18" s="2">
        <f>MONTH(sales[[#This Row],[date]])</f>
        <v>6</v>
      </c>
      <c r="F18" s="233">
        <v>46180</v>
      </c>
      <c r="G18" s="3" t="str">
        <f>VLOOKUP("*"&amp;sales[[#This Row],[Input]]&amp;"*",'Ref-List'!$A:$C,1,0)</f>
        <v>6901+541</v>
      </c>
      <c r="H18" s="2" t="str">
        <f>VLOOKUP("*"&amp;G18&amp;"*",'Ref-List'!$A:$C,3,0)</f>
        <v>RO純淨飲水機 + 濾芯</v>
      </c>
      <c r="I18" s="2">
        <v>6901</v>
      </c>
      <c r="J18" s="2">
        <v>1</v>
      </c>
      <c r="K18" s="2">
        <v>1899</v>
      </c>
      <c r="L18" s="2">
        <f>sales[[#This Row],[quantity]]*sales[[#This Row],[price]]</f>
        <v>1899</v>
      </c>
      <c r="M18" s="9">
        <f>sales[[#This Row],[Total Price]]*3%</f>
        <v>56.97</v>
      </c>
      <c r="N18" s="171">
        <f>sales[[#This Row],[Total Price]]*2.5%</f>
        <v>47.475000000000001</v>
      </c>
      <c r="O18" s="9">
        <f>sales[[#This Row],[Total Price]]*1.5%</f>
        <v>28.484999999999999</v>
      </c>
      <c r="R18" s="5" t="str">
        <f>_xlfn.CONCAT(sales[[#This Row],[Shop]]," ",sales[[#This Row],[Location]])</f>
        <v>Kowloon Bay Fortress</v>
      </c>
    </row>
    <row r="19" spans="1:18" ht="16.5" customHeight="1">
      <c r="A19" s="7">
        <v>17</v>
      </c>
      <c r="B19" s="5" t="s">
        <v>976</v>
      </c>
      <c r="C19" s="2" t="s">
        <v>975</v>
      </c>
      <c r="D19" s="2" t="str">
        <f ca="1">OFFSET(Roster!$B$7, MATCH(B19&amp;" "&amp;C19&amp;"*",Roster!$B$8:$B$20,0),DAY(sales[[#This Row],[date]]),1, 1)</f>
        <v>Wah</v>
      </c>
      <c r="E19" s="2">
        <f>MONTH(sales[[#This Row],[date]])</f>
        <v>6</v>
      </c>
      <c r="F19" s="233">
        <v>46180</v>
      </c>
      <c r="G19" s="3" t="str">
        <f>VLOOKUP("*"&amp;sales[[#This Row],[Input]]&amp;"*",'Ref-List'!$A:$C,1,0)</f>
        <v>3780/97</v>
      </c>
      <c r="H19" s="2" t="str">
        <f>VLOOKUP("*"&amp;G19&amp;"*",'Ref-List'!$A:$C,3,0)</f>
        <v>座檯濾水器</v>
      </c>
      <c r="I19" s="2">
        <v>3780</v>
      </c>
      <c r="J19" s="2">
        <v>1</v>
      </c>
      <c r="K19" s="2">
        <v>1188</v>
      </c>
      <c r="L19" s="2">
        <f>sales[[#This Row],[quantity]]*sales[[#This Row],[price]]</f>
        <v>1188</v>
      </c>
      <c r="M19" s="9">
        <f>sales[[#This Row],[Total Price]]*3%</f>
        <v>35.64</v>
      </c>
      <c r="N19" s="171">
        <f>sales[[#This Row],[Total Price]]*2.5%</f>
        <v>29.700000000000003</v>
      </c>
      <c r="O19" s="9">
        <f>sales[[#This Row],[Total Price]]*1.5%</f>
        <v>17.82</v>
      </c>
      <c r="R19" s="5" t="str">
        <f>_xlfn.CONCAT(sales[[#This Row],[Shop]]," ",sales[[#This Row],[Location]])</f>
        <v>Kowloon Bay Fortress</v>
      </c>
    </row>
    <row r="20" spans="1:18" ht="16.5" customHeight="1">
      <c r="A20" s="7">
        <v>18</v>
      </c>
      <c r="B20" s="5" t="s">
        <v>976</v>
      </c>
      <c r="C20" s="2" t="s">
        <v>975</v>
      </c>
      <c r="D20" s="2" t="str">
        <f ca="1">OFFSET(Roster!$B$7, MATCH(B20&amp;" "&amp;C20&amp;"*",Roster!$B$8:$B$20,0),DAY(sales[[#This Row],[date]]),1, 1)</f>
        <v>Wah</v>
      </c>
      <c r="E20" s="2">
        <f>MONTH(sales[[#This Row],[date]])</f>
        <v>6</v>
      </c>
      <c r="F20" s="233">
        <v>46180</v>
      </c>
      <c r="G20" s="3" t="str">
        <f>VLOOKUP("*"&amp;sales[[#This Row],[Input]]&amp;"*",'Ref-List'!$A:$C,1,0)</f>
        <v>3811+3911</v>
      </c>
      <c r="H20" s="2" t="str">
        <f>VLOOKUP("*"&amp;G20&amp;"*",'Ref-List'!$A:$C,3,0)</f>
        <v>超濾淨水器 + 濾芯套裝</v>
      </c>
      <c r="I20" s="2">
        <v>3911</v>
      </c>
      <c r="J20" s="2">
        <v>1</v>
      </c>
      <c r="K20" s="2">
        <v>255</v>
      </c>
      <c r="L20" s="2">
        <f>sales[[#This Row],[quantity]]*sales[[#This Row],[price]]</f>
        <v>255</v>
      </c>
      <c r="M20" s="9">
        <f>sales[[#This Row],[Total Price]]*3%</f>
        <v>7.6499999999999995</v>
      </c>
      <c r="N20" s="171">
        <f>sales[[#This Row],[Total Price]]*2.5%</f>
        <v>6.375</v>
      </c>
      <c r="O20" s="9">
        <f>sales[[#This Row],[Total Price]]*1.5%</f>
        <v>3.8249999999999997</v>
      </c>
      <c r="R20" s="5" t="str">
        <f>_xlfn.CONCAT(sales[[#This Row],[Shop]]," ",sales[[#This Row],[Location]])</f>
        <v>Kowloon Bay Fortress</v>
      </c>
    </row>
    <row r="21" spans="1:18" ht="16.5" customHeight="1">
      <c r="A21" s="7">
        <v>19</v>
      </c>
      <c r="B21" s="5" t="s">
        <v>976</v>
      </c>
      <c r="C21" s="2" t="s">
        <v>975</v>
      </c>
      <c r="D21" s="2" t="str">
        <f ca="1">OFFSET(Roster!$B$7, MATCH(B21&amp;" "&amp;C21&amp;"*",Roster!$B$8:$B$20,0),DAY(sales[[#This Row],[date]]),1, 1)</f>
        <v>Wah</v>
      </c>
      <c r="E21" s="2">
        <f>MONTH(sales[[#This Row],[date]])</f>
        <v>6</v>
      </c>
      <c r="F21" s="233">
        <v>46180</v>
      </c>
      <c r="G21" s="3" t="str">
        <f>VLOOKUP("*"&amp;sales[[#This Row],[Input]]&amp;"*",'Ref-List'!$A:$C,1,0)</f>
        <v>6901+541</v>
      </c>
      <c r="H21" s="2" t="str">
        <f>VLOOKUP("*"&amp;G21&amp;"*",'Ref-List'!$A:$C,3,0)</f>
        <v>RO純淨飲水機 + 濾芯</v>
      </c>
      <c r="I21" s="2">
        <v>6901</v>
      </c>
      <c r="J21" s="2">
        <v>1</v>
      </c>
      <c r="K21" s="2">
        <v>1899</v>
      </c>
      <c r="L21" s="2">
        <f>sales[[#This Row],[quantity]]*sales[[#This Row],[price]]</f>
        <v>1899</v>
      </c>
      <c r="M21" s="9">
        <f>sales[[#This Row],[Total Price]]*3%</f>
        <v>56.97</v>
      </c>
      <c r="N21" s="171">
        <f>sales[[#This Row],[Total Price]]*2.5%</f>
        <v>47.475000000000001</v>
      </c>
      <c r="O21" s="9">
        <f>sales[[#This Row],[Total Price]]*1.5%</f>
        <v>28.484999999999999</v>
      </c>
      <c r="R21" s="5" t="str">
        <f>_xlfn.CONCAT(sales[[#This Row],[Shop]]," ",sales[[#This Row],[Location]])</f>
        <v>Kowloon Bay Fortress</v>
      </c>
    </row>
    <row r="22" spans="1:18" ht="16.5" customHeight="1">
      <c r="A22" s="7">
        <v>20</v>
      </c>
      <c r="B22" s="5" t="s">
        <v>976</v>
      </c>
      <c r="C22" s="2" t="s">
        <v>975</v>
      </c>
      <c r="D22" s="2" t="str">
        <f ca="1">OFFSET(Roster!$B$7, MATCH(B22&amp;" "&amp;C22&amp;"*",Roster!$B$8:$B$20,0),DAY(sales[[#This Row],[date]]),1, 1)</f>
        <v>Wah</v>
      </c>
      <c r="E22" s="2">
        <f>MONTH(sales[[#This Row],[date]])</f>
        <v>6</v>
      </c>
      <c r="F22" s="233">
        <v>46180</v>
      </c>
      <c r="G22" s="3" t="str">
        <f>VLOOKUP("*"&amp;sales[[#This Row],[Input]]&amp;"*",'Ref-List'!$A:$C,1,0)</f>
        <v>9028/90</v>
      </c>
      <c r="H22" s="2" t="str">
        <f>VLOOKUP("*"&amp;G22&amp;"*",'Ref-List'!$A:$C,3,0)</f>
        <v>RO櫥下式冷熱淨水器</v>
      </c>
      <c r="I22" s="2">
        <v>9028</v>
      </c>
      <c r="J22" s="2">
        <v>1</v>
      </c>
      <c r="K22" s="2">
        <v>8988</v>
      </c>
      <c r="L22" s="2">
        <f>sales[[#This Row],[quantity]]*sales[[#This Row],[price]]</f>
        <v>8988</v>
      </c>
      <c r="M22" s="9">
        <f>sales[[#This Row],[Total Price]]*3%</f>
        <v>269.64</v>
      </c>
      <c r="N22" s="171">
        <f>sales[[#This Row],[Total Price]]*2.5%</f>
        <v>224.70000000000002</v>
      </c>
      <c r="O22" s="9">
        <f>sales[[#This Row],[Total Price]]*1.5%</f>
        <v>134.82</v>
      </c>
      <c r="R22" s="5" t="str">
        <f>_xlfn.CONCAT(sales[[#This Row],[Shop]]," ",sales[[#This Row],[Location]])</f>
        <v>Kowloon Bay Fortress</v>
      </c>
    </row>
    <row r="23" spans="1:18" ht="16.5" customHeight="1">
      <c r="A23" s="7">
        <v>21</v>
      </c>
      <c r="B23" s="5" t="s">
        <v>976</v>
      </c>
      <c r="C23" s="2" t="s">
        <v>975</v>
      </c>
      <c r="D23" s="2" t="str">
        <f ca="1">OFFSET(Roster!$B$7, MATCH(B23&amp;" "&amp;C23&amp;"*",Roster!$B$8:$B$20,0),DAY(sales[[#This Row],[date]]),1, 1)</f>
        <v>Wah</v>
      </c>
      <c r="E23" s="2">
        <f>MONTH(sales[[#This Row],[date]])</f>
        <v>6</v>
      </c>
      <c r="F23" s="233">
        <v>46180</v>
      </c>
      <c r="G23" s="3" t="str">
        <f>VLOOKUP("*"&amp;sales[[#This Row],[Input]]&amp;"*",'Ref-List'!$A:$C,1,0)</f>
        <v>6910+550</v>
      </c>
      <c r="H23" s="2" t="str">
        <f>VLOOKUP("*"&amp;G23&amp;"*",'Ref-List'!$A:$C,3,0)</f>
        <v>冷熱飲水機 + 濾心</v>
      </c>
      <c r="I23" s="2">
        <v>550</v>
      </c>
      <c r="J23" s="2">
        <v>1</v>
      </c>
      <c r="K23" s="2">
        <v>598</v>
      </c>
      <c r="L23" s="2">
        <f>sales[[#This Row],[quantity]]*sales[[#This Row],[price]]</f>
        <v>598</v>
      </c>
      <c r="M23" s="9">
        <f>sales[[#This Row],[Total Price]]*3%</f>
        <v>17.939999999999998</v>
      </c>
      <c r="N23" s="171">
        <f>sales[[#This Row],[Total Price]]*2.5%</f>
        <v>14.950000000000001</v>
      </c>
      <c r="O23" s="9">
        <f>sales[[#This Row],[Total Price]]*1.5%</f>
        <v>8.9699999999999989</v>
      </c>
      <c r="R23" s="5" t="str">
        <f>_xlfn.CONCAT(sales[[#This Row],[Shop]]," ",sales[[#This Row],[Location]])</f>
        <v>Kowloon Bay Fortress</v>
      </c>
    </row>
    <row r="24" spans="1:18" ht="16.5" customHeight="1">
      <c r="A24" s="7">
        <v>22</v>
      </c>
      <c r="B24" s="5" t="s">
        <v>976</v>
      </c>
      <c r="C24" s="2" t="s">
        <v>975</v>
      </c>
      <c r="D24" s="2" t="str">
        <f ca="1">OFFSET(Roster!$B$7, MATCH(B24&amp;" "&amp;C24&amp;"*",Roster!$B$8:$B$20,0),DAY(sales[[#This Row],[date]]),1, 1)</f>
        <v>Wah</v>
      </c>
      <c r="E24" s="2">
        <f>MONTH(sales[[#This Row],[date]])</f>
        <v>6</v>
      </c>
      <c r="F24" s="233">
        <v>46180</v>
      </c>
      <c r="G24" s="3" t="str">
        <f>VLOOKUP("*"&amp;sales[[#This Row],[Input]]&amp;"*",'Ref-List'!$A:$C,1,0)</f>
        <v>6910+550</v>
      </c>
      <c r="H24" s="2" t="str">
        <f>VLOOKUP("*"&amp;G24&amp;"*",'Ref-List'!$A:$C,3,0)</f>
        <v>冷熱飲水機 + 濾心</v>
      </c>
      <c r="I24" s="2">
        <v>550</v>
      </c>
      <c r="J24" s="2">
        <v>1</v>
      </c>
      <c r="K24" s="2">
        <v>598</v>
      </c>
      <c r="L24" s="2">
        <f>sales[[#This Row],[quantity]]*sales[[#This Row],[price]]</f>
        <v>598</v>
      </c>
      <c r="M24" s="9">
        <f>sales[[#This Row],[Total Price]]*3%</f>
        <v>17.939999999999998</v>
      </c>
      <c r="N24" s="171">
        <f>sales[[#This Row],[Total Price]]*2.5%</f>
        <v>14.950000000000001</v>
      </c>
      <c r="O24" s="9">
        <f>sales[[#This Row],[Total Price]]*1.5%</f>
        <v>8.9699999999999989</v>
      </c>
      <c r="R24" s="5" t="str">
        <f>_xlfn.CONCAT(sales[[#This Row],[Shop]]," ",sales[[#This Row],[Location]])</f>
        <v>Kowloon Bay Fortress</v>
      </c>
    </row>
    <row r="25" spans="1:18" ht="16.5" customHeight="1">
      <c r="A25" s="7">
        <v>23</v>
      </c>
      <c r="B25" s="5" t="s">
        <v>976</v>
      </c>
      <c r="C25" s="2" t="s">
        <v>975</v>
      </c>
      <c r="D25" s="2" t="str">
        <f ca="1">OFFSET(Roster!$B$7, MATCH(B25&amp;" "&amp;C25&amp;"*",Roster!$B$8:$B$20,0),DAY(sales[[#This Row],[date]]),1, 1)</f>
        <v>Wah</v>
      </c>
      <c r="E25" s="2">
        <f>MONTH(sales[[#This Row],[date]])</f>
        <v>6</v>
      </c>
      <c r="F25" s="233">
        <v>46180</v>
      </c>
      <c r="G25" s="3" t="str">
        <f>VLOOKUP("*"&amp;sales[[#This Row],[Input]]&amp;"*",'Ref-List'!$A:$C,1,0)</f>
        <v>6901+541</v>
      </c>
      <c r="H25" s="2" t="str">
        <f>VLOOKUP("*"&amp;G25&amp;"*",'Ref-List'!$A:$C,3,0)</f>
        <v>RO純淨飲水機 + 濾芯</v>
      </c>
      <c r="I25" s="2">
        <v>6901</v>
      </c>
      <c r="J25" s="2">
        <v>1</v>
      </c>
      <c r="K25" s="2">
        <v>1899</v>
      </c>
      <c r="L25" s="2">
        <f>sales[[#This Row],[quantity]]*sales[[#This Row],[price]]</f>
        <v>1899</v>
      </c>
      <c r="M25" s="9">
        <f>sales[[#This Row],[Total Price]]*3%</f>
        <v>56.97</v>
      </c>
      <c r="N25" s="171">
        <f>sales[[#This Row],[Total Price]]*2.5%</f>
        <v>47.475000000000001</v>
      </c>
      <c r="O25" s="9">
        <f>sales[[#This Row],[Total Price]]*1.5%</f>
        <v>28.484999999999999</v>
      </c>
      <c r="R25" s="5" t="str">
        <f>_xlfn.CONCAT(sales[[#This Row],[Shop]]," ",sales[[#This Row],[Location]])</f>
        <v>Kowloon Bay Fortress</v>
      </c>
    </row>
    <row r="26" spans="1:18" ht="16.5" customHeight="1">
      <c r="A26" s="7">
        <v>24</v>
      </c>
      <c r="B26" s="5" t="s">
        <v>976</v>
      </c>
      <c r="C26" s="2" t="s">
        <v>975</v>
      </c>
      <c r="D26" s="2" t="str">
        <f ca="1">OFFSET(Roster!$B$7, MATCH(B26&amp;" "&amp;C26&amp;"*",Roster!$B$8:$B$20,0),DAY(sales[[#This Row],[date]]),1, 1)</f>
        <v>Wah</v>
      </c>
      <c r="E26" s="2">
        <f>MONTH(sales[[#This Row],[date]])</f>
        <v>6</v>
      </c>
      <c r="F26" s="233">
        <v>46184</v>
      </c>
      <c r="G26" s="3" t="str">
        <f>VLOOKUP("*"&amp;sales[[#This Row],[Input]]&amp;"*",'Ref-List'!$A:$C,1,0)</f>
        <v>3733+3922</v>
      </c>
      <c r="H26" s="2" t="str">
        <f>VLOOKUP("*"&amp;G26&amp;"*",'Ref-List'!$A:$C,3,0)</f>
        <v>超濾龍頭式淨水器組合</v>
      </c>
      <c r="I26" s="2">
        <v>3922</v>
      </c>
      <c r="J26" s="2">
        <v>1</v>
      </c>
      <c r="K26" s="2">
        <v>598</v>
      </c>
      <c r="L26" s="2">
        <f>sales[[#This Row],[quantity]]*sales[[#This Row],[price]]</f>
        <v>598</v>
      </c>
      <c r="M26" s="9">
        <f>sales[[#This Row],[Total Price]]*3%</f>
        <v>17.939999999999998</v>
      </c>
      <c r="N26" s="171">
        <f>sales[[#This Row],[Total Price]]*2.5%</f>
        <v>14.950000000000001</v>
      </c>
      <c r="O26" s="9">
        <f>sales[[#This Row],[Total Price]]*1.5%</f>
        <v>8.9699999999999989</v>
      </c>
      <c r="R26" s="5" t="str">
        <f>_xlfn.CONCAT(sales[[#This Row],[Shop]]," ",sales[[#This Row],[Location]])</f>
        <v>Kowloon Bay Fortress</v>
      </c>
    </row>
    <row r="27" spans="1:18" ht="16.5" customHeight="1">
      <c r="A27" s="7">
        <v>25</v>
      </c>
      <c r="B27" s="5" t="s">
        <v>976</v>
      </c>
      <c r="C27" s="2" t="s">
        <v>975</v>
      </c>
      <c r="D27" s="2" t="str">
        <f ca="1">OFFSET(Roster!$B$7, MATCH(B27&amp;" "&amp;C27&amp;"*",Roster!$B$8:$B$20,0),DAY(sales[[#This Row],[date]]),1, 1)</f>
        <v>Wah</v>
      </c>
      <c r="E27" s="2">
        <f>MONTH(sales[[#This Row],[date]])</f>
        <v>6</v>
      </c>
      <c r="F27" s="233">
        <v>46184</v>
      </c>
      <c r="G27" s="3" t="e">
        <f>VLOOKUP("*"&amp;sales[[#This Row],[Input]]&amp;"*",'Ref-List'!$A:$C,1,0)</f>
        <v>#N/A</v>
      </c>
      <c r="H27" s="2" t="e">
        <f>VLOOKUP("*"&amp;G27&amp;"*",'Ref-List'!$A:$C,3,0)</f>
        <v>#N/A</v>
      </c>
      <c r="I27" s="2">
        <v>583</v>
      </c>
      <c r="J27" s="2">
        <v>1</v>
      </c>
      <c r="K27" s="2">
        <v>848</v>
      </c>
      <c r="L27" s="2">
        <f>sales[[#This Row],[quantity]]*sales[[#This Row],[price]]</f>
        <v>848</v>
      </c>
      <c r="M27" s="9">
        <f>sales[[#This Row],[Total Price]]*3%</f>
        <v>25.439999999999998</v>
      </c>
      <c r="N27" s="171">
        <f>sales[[#This Row],[Total Price]]*2.5%</f>
        <v>21.200000000000003</v>
      </c>
      <c r="O27" s="9">
        <f>sales[[#This Row],[Total Price]]*1.5%</f>
        <v>12.719999999999999</v>
      </c>
      <c r="R27" s="5" t="str">
        <f>_xlfn.CONCAT(sales[[#This Row],[Shop]]," ",sales[[#This Row],[Location]])</f>
        <v>Kowloon Bay Fortress</v>
      </c>
    </row>
    <row r="28" spans="1:18" ht="16.5" customHeight="1">
      <c r="A28" s="7">
        <v>26</v>
      </c>
      <c r="B28" s="5" t="s">
        <v>976</v>
      </c>
      <c r="C28" s="2" t="s">
        <v>975</v>
      </c>
      <c r="D28" s="2" t="str">
        <f ca="1">OFFSET(Roster!$B$7, MATCH(B28&amp;" "&amp;C28&amp;"*",Roster!$B$8:$B$20,0),DAY(sales[[#This Row],[date]]),1, 1)</f>
        <v>Wah</v>
      </c>
      <c r="E28" s="2">
        <f>MONTH(sales[[#This Row],[date]])</f>
        <v>6</v>
      </c>
      <c r="F28" s="233">
        <v>46184</v>
      </c>
      <c r="G28" s="3" t="e">
        <f>VLOOKUP("*"&amp;sales[[#This Row],[Input]]&amp;"*",'Ref-List'!$A:$C,1,0)</f>
        <v>#N/A</v>
      </c>
      <c r="H28" s="2" t="e">
        <f>VLOOKUP("*"&amp;G28&amp;"*",'Ref-List'!$A:$C,3,0)</f>
        <v>#N/A</v>
      </c>
      <c r="I28" s="5" t="s">
        <v>978</v>
      </c>
      <c r="J28" s="2">
        <v>1</v>
      </c>
      <c r="K28" s="2">
        <v>796</v>
      </c>
      <c r="L28" s="2">
        <f>sales[[#This Row],[quantity]]*sales[[#This Row],[price]]</f>
        <v>796</v>
      </c>
      <c r="M28" s="9">
        <f>sales[[#This Row],[Total Price]]*3%</f>
        <v>23.88</v>
      </c>
      <c r="N28" s="171">
        <f>sales[[#This Row],[Total Price]]*2.5%</f>
        <v>19.900000000000002</v>
      </c>
      <c r="O28" s="9">
        <f>sales[[#This Row],[Total Price]]*1.5%</f>
        <v>11.94</v>
      </c>
      <c r="R28" s="5" t="str">
        <f>_xlfn.CONCAT(sales[[#This Row],[Shop]]," ",sales[[#This Row],[Location]])</f>
        <v>Kowloon Bay Fortress</v>
      </c>
    </row>
    <row r="29" spans="1:18" ht="16.5" customHeight="1">
      <c r="A29" s="7">
        <v>27</v>
      </c>
      <c r="B29" s="5" t="s">
        <v>976</v>
      </c>
      <c r="C29" s="2" t="s">
        <v>975</v>
      </c>
      <c r="D29" s="2" t="str">
        <f ca="1">OFFSET(Roster!$B$7, MATCH(B29&amp;" "&amp;C29&amp;"*",Roster!$B$8:$B$20,0),DAY(sales[[#This Row],[date]]),1, 1)</f>
        <v>Wah</v>
      </c>
      <c r="E29" s="2">
        <f>MONTH(sales[[#This Row],[date]])</f>
        <v>6</v>
      </c>
      <c r="F29" s="233">
        <v>46184</v>
      </c>
      <c r="G29" s="3" t="str">
        <f>VLOOKUP("*"&amp;sales[[#This Row],[Input]]&amp;"*",'Ref-List'!$A:$C,1,0)</f>
        <v>6911+553</v>
      </c>
      <c r="H29" s="2" t="str">
        <f>VLOOKUP("*"&amp;G29&amp;"*",'Ref-List'!$A:$C,3,0)</f>
        <v>冷熱飲水機 + 濾心</v>
      </c>
      <c r="I29" s="2">
        <v>553</v>
      </c>
      <c r="J29" s="2">
        <v>1</v>
      </c>
      <c r="K29" s="2">
        <v>598</v>
      </c>
      <c r="L29" s="2">
        <f>sales[[#This Row],[quantity]]*sales[[#This Row],[price]]</f>
        <v>598</v>
      </c>
      <c r="M29" s="9">
        <f>sales[[#This Row],[Total Price]]*3%</f>
        <v>17.939999999999998</v>
      </c>
      <c r="N29" s="171">
        <f>sales[[#This Row],[Total Price]]*2.5%</f>
        <v>14.950000000000001</v>
      </c>
      <c r="O29" s="9">
        <f>sales[[#This Row],[Total Price]]*1.5%</f>
        <v>8.9699999999999989</v>
      </c>
      <c r="R29" s="5" t="str">
        <f>_xlfn.CONCAT(sales[[#This Row],[Shop]]," ",sales[[#This Row],[Location]])</f>
        <v>Kowloon Bay Fortress</v>
      </c>
    </row>
    <row r="30" spans="1:18" ht="16.5" customHeight="1">
      <c r="A30" s="7">
        <v>28</v>
      </c>
      <c r="B30" s="5" t="s">
        <v>976</v>
      </c>
      <c r="C30" s="2" t="s">
        <v>975</v>
      </c>
      <c r="D30" s="2" t="str">
        <f ca="1">OFFSET(Roster!$B$7, MATCH(B30&amp;" "&amp;C30&amp;"*",Roster!$B$8:$B$20,0),DAY(sales[[#This Row],[date]]),1, 1)</f>
        <v>Wah</v>
      </c>
      <c r="E30" s="2">
        <f>MONTH(sales[[#This Row],[date]])</f>
        <v>6</v>
      </c>
      <c r="F30" s="233">
        <v>46184</v>
      </c>
      <c r="G30" s="3" t="str">
        <f>VLOOKUP("*"&amp;sales[[#This Row],[Input]]&amp;"*",'Ref-List'!$A:$C,1,0)</f>
        <v>2769/97</v>
      </c>
      <c r="H30" s="2" t="str">
        <f>VLOOKUP("*"&amp;G30&amp;"*",'Ref-List'!$A:$C,3,0)</f>
        <v>電熱水樽</v>
      </c>
      <c r="I30" s="2">
        <v>2769</v>
      </c>
      <c r="J30" s="2">
        <v>1</v>
      </c>
      <c r="K30" s="2">
        <v>298</v>
      </c>
      <c r="L30" s="2">
        <f>sales[[#This Row],[quantity]]*sales[[#This Row],[price]]</f>
        <v>298</v>
      </c>
      <c r="M30" s="9">
        <f>sales[[#This Row],[Total Price]]*3%</f>
        <v>8.94</v>
      </c>
      <c r="N30" s="171">
        <f>sales[[#This Row],[Total Price]]*2.5%</f>
        <v>7.45</v>
      </c>
      <c r="O30" s="9">
        <f>sales[[#This Row],[Total Price]]*1.5%</f>
        <v>4.47</v>
      </c>
      <c r="R30" s="5" t="str">
        <f>_xlfn.CONCAT(sales[[#This Row],[Shop]]," ",sales[[#This Row],[Location]])</f>
        <v>Kowloon Bay Fortress</v>
      </c>
    </row>
    <row r="31" spans="1:18" ht="16.5" customHeight="1">
      <c r="A31" s="7">
        <v>29</v>
      </c>
      <c r="B31" s="5" t="s">
        <v>976</v>
      </c>
      <c r="C31" s="2" t="s">
        <v>975</v>
      </c>
      <c r="D31" s="2" t="str">
        <f ca="1">OFFSET(Roster!$B$7, MATCH(B31&amp;" "&amp;C31&amp;"*",Roster!$B$8:$B$20,0),DAY(sales[[#This Row],[date]]),1, 1)</f>
        <v>Wah</v>
      </c>
      <c r="E31" s="2">
        <f>MONTH(sales[[#This Row],[date]])</f>
        <v>6</v>
      </c>
      <c r="F31" s="233">
        <v>46185</v>
      </c>
      <c r="G31" s="3" t="str">
        <f>VLOOKUP("*"&amp;sales[[#This Row],[Input]]&amp;"*",'Ref-List'!$A:$C,1,0)</f>
        <v>6901+541</v>
      </c>
      <c r="H31" s="2" t="str">
        <f>VLOOKUP("*"&amp;G31&amp;"*",'Ref-List'!$A:$C,3,0)</f>
        <v>RO純淨飲水機 + 濾芯</v>
      </c>
      <c r="I31" s="2">
        <v>6901</v>
      </c>
      <c r="J31" s="2">
        <v>1</v>
      </c>
      <c r="K31" s="2">
        <v>1899</v>
      </c>
      <c r="L31" s="2">
        <f>sales[[#This Row],[quantity]]*sales[[#This Row],[price]]</f>
        <v>1899</v>
      </c>
      <c r="M31" s="9">
        <f>sales[[#This Row],[Total Price]]*3%</f>
        <v>56.97</v>
      </c>
      <c r="N31" s="171">
        <f>sales[[#This Row],[Total Price]]*2.5%</f>
        <v>47.475000000000001</v>
      </c>
      <c r="O31" s="9">
        <f>sales[[#This Row],[Total Price]]*1.5%</f>
        <v>28.484999999999999</v>
      </c>
      <c r="R31" s="5" t="str">
        <f>_xlfn.CONCAT(sales[[#This Row],[Shop]]," ",sales[[#This Row],[Location]])</f>
        <v>Kowloon Bay Fortress</v>
      </c>
    </row>
    <row r="32" spans="1:18" ht="16.5" customHeight="1">
      <c r="A32" s="7">
        <v>30</v>
      </c>
      <c r="B32" s="5" t="s">
        <v>976</v>
      </c>
      <c r="C32" s="2" t="s">
        <v>975</v>
      </c>
      <c r="D32" s="2" t="str">
        <f ca="1">OFFSET(Roster!$B$7, MATCH(B32&amp;" "&amp;C32&amp;"*",Roster!$B$8:$B$20,0),DAY(sales[[#This Row],[date]]),1, 1)</f>
        <v>Wah</v>
      </c>
      <c r="E32" s="2">
        <f>MONTH(sales[[#This Row],[date]])</f>
        <v>6</v>
      </c>
      <c r="F32" s="233">
        <v>46185</v>
      </c>
      <c r="G32" s="3" t="e">
        <f>VLOOKUP("*"&amp;sales[[#This Row],[Input]]&amp;"*",'Ref-List'!$A:$C,1,0)</f>
        <v>#N/A</v>
      </c>
      <c r="H32" s="2" t="e">
        <f>VLOOKUP("*"&amp;G32&amp;"*",'Ref-List'!$A:$C,3,0)</f>
        <v>#N/A</v>
      </c>
      <c r="I32" s="2">
        <v>6912</v>
      </c>
      <c r="J32" s="2">
        <v>1</v>
      </c>
      <c r="K32" s="2">
        <v>2998</v>
      </c>
      <c r="L32" s="2">
        <f>sales[[#This Row],[quantity]]*sales[[#This Row],[price]]</f>
        <v>2998</v>
      </c>
      <c r="M32" s="9">
        <f>sales[[#This Row],[Total Price]]*3%</f>
        <v>89.94</v>
      </c>
      <c r="N32" s="171">
        <f>sales[[#This Row],[Total Price]]*2.5%</f>
        <v>74.95</v>
      </c>
      <c r="O32" s="9">
        <f>sales[[#This Row],[Total Price]]*1.5%</f>
        <v>44.97</v>
      </c>
      <c r="R32" s="5" t="str">
        <f>_xlfn.CONCAT(sales[[#This Row],[Shop]]," ",sales[[#This Row],[Location]])</f>
        <v>Kowloon Bay Fortress</v>
      </c>
    </row>
    <row r="33" spans="1:18" ht="16.5" customHeight="1">
      <c r="A33" s="7">
        <v>31</v>
      </c>
      <c r="B33" s="5" t="s">
        <v>976</v>
      </c>
      <c r="C33" s="2" t="s">
        <v>975</v>
      </c>
      <c r="D33" s="2" t="str">
        <f ca="1">OFFSET(Roster!$B$7, MATCH(B33&amp;" "&amp;C33&amp;"*",Roster!$B$8:$B$20,0),DAY(sales[[#This Row],[date]]),1, 1)</f>
        <v>Wah</v>
      </c>
      <c r="E33" s="2">
        <f>MONTH(sales[[#This Row],[date]])</f>
        <v>6</v>
      </c>
      <c r="F33" s="233">
        <v>46185</v>
      </c>
      <c r="G33" s="3" t="str">
        <f>VLOOKUP("*"&amp;sales[[#This Row],[Input]]&amp;"*",'Ref-List'!$A:$C,1,0)</f>
        <v>3733+3922</v>
      </c>
      <c r="H33" s="2" t="str">
        <f>VLOOKUP("*"&amp;G33&amp;"*",'Ref-List'!$A:$C,3,0)</f>
        <v>超濾龍頭式淨水器組合</v>
      </c>
      <c r="I33" s="2">
        <v>3922</v>
      </c>
      <c r="J33" s="2">
        <v>1</v>
      </c>
      <c r="K33" s="2">
        <v>598</v>
      </c>
      <c r="L33" s="2">
        <f>sales[[#This Row],[quantity]]*sales[[#This Row],[price]]</f>
        <v>598</v>
      </c>
      <c r="M33" s="9">
        <f>sales[[#This Row],[Total Price]]*3%</f>
        <v>17.939999999999998</v>
      </c>
      <c r="N33" s="171">
        <f>sales[[#This Row],[Total Price]]*2.5%</f>
        <v>14.950000000000001</v>
      </c>
      <c r="O33" s="9">
        <f>sales[[#This Row],[Total Price]]*1.5%</f>
        <v>8.9699999999999989</v>
      </c>
      <c r="R33" s="5" t="str">
        <f>_xlfn.CONCAT(sales[[#This Row],[Shop]]," ",sales[[#This Row],[Location]])</f>
        <v>Kowloon Bay Fortress</v>
      </c>
    </row>
    <row r="34" spans="1:18" ht="16.5" customHeight="1">
      <c r="A34" s="7">
        <v>32</v>
      </c>
      <c r="B34" s="5" t="s">
        <v>976</v>
      </c>
      <c r="C34" s="2" t="s">
        <v>975</v>
      </c>
      <c r="D34" s="2" t="str">
        <f ca="1">OFFSET(Roster!$B$7, MATCH(B34&amp;" "&amp;C34&amp;"*",Roster!$B$8:$B$20,0),DAY(sales[[#This Row],[date]]),1, 1)</f>
        <v>Wah</v>
      </c>
      <c r="E34" s="2">
        <f>MONTH(sales[[#This Row],[date]])</f>
        <v>6</v>
      </c>
      <c r="F34" s="233">
        <v>46186</v>
      </c>
      <c r="G34" s="3" t="str">
        <f>VLOOKUP("*"&amp;sales[[#This Row],[Input]]&amp;"*",'Ref-List'!$A:$C,1,0)</f>
        <v>3733+3922</v>
      </c>
      <c r="H34" s="2" t="str">
        <f>VLOOKUP("*"&amp;G34&amp;"*",'Ref-List'!$A:$C,3,0)</f>
        <v>超濾龍頭式淨水器組合</v>
      </c>
      <c r="I34" s="2">
        <v>3922</v>
      </c>
      <c r="J34" s="2">
        <v>1</v>
      </c>
      <c r="K34" s="2">
        <v>598</v>
      </c>
      <c r="L34" s="2">
        <f>sales[[#This Row],[quantity]]*sales[[#This Row],[price]]</f>
        <v>598</v>
      </c>
      <c r="M34" s="9">
        <f>sales[[#This Row],[Total Price]]*3%</f>
        <v>17.939999999999998</v>
      </c>
      <c r="N34" s="171">
        <f>sales[[#This Row],[Total Price]]*2.5%</f>
        <v>14.950000000000001</v>
      </c>
      <c r="O34" s="9">
        <f>sales[[#This Row],[Total Price]]*1.5%</f>
        <v>8.9699999999999989</v>
      </c>
      <c r="R34" s="5" t="str">
        <f>_xlfn.CONCAT(sales[[#This Row],[Shop]]," ",sales[[#This Row],[Location]])</f>
        <v>Kowloon Bay Fortress</v>
      </c>
    </row>
    <row r="35" spans="1:18" ht="16.5" customHeight="1">
      <c r="A35" s="7">
        <v>33</v>
      </c>
      <c r="B35" s="5" t="s">
        <v>976</v>
      </c>
      <c r="C35" s="2" t="s">
        <v>975</v>
      </c>
      <c r="D35" s="2" t="str">
        <f ca="1">OFFSET(Roster!$B$7, MATCH(B35&amp;" "&amp;C35&amp;"*",Roster!$B$8:$B$20,0),DAY(sales[[#This Row],[date]]),1, 1)</f>
        <v>Wah</v>
      </c>
      <c r="E35" s="2">
        <f>MONTH(sales[[#This Row],[date]])</f>
        <v>6</v>
      </c>
      <c r="F35" s="233">
        <v>46186</v>
      </c>
      <c r="G35" s="3" t="str">
        <f>VLOOKUP("*"&amp;sales[[#This Row],[Input]]&amp;"*",'Ref-List'!$A:$C,1,0)</f>
        <v>6901+541</v>
      </c>
      <c r="H35" s="2" t="str">
        <f>VLOOKUP("*"&amp;G35&amp;"*",'Ref-List'!$A:$C,3,0)</f>
        <v>RO純淨飲水機 + 濾芯</v>
      </c>
      <c r="I35" s="2">
        <v>6901</v>
      </c>
      <c r="J35" s="2">
        <v>1</v>
      </c>
      <c r="K35" s="2">
        <v>1899</v>
      </c>
      <c r="L35" s="2">
        <f>sales[[#This Row],[quantity]]*sales[[#This Row],[price]]</f>
        <v>1899</v>
      </c>
      <c r="M35" s="9">
        <f>sales[[#This Row],[Total Price]]*3%</f>
        <v>56.97</v>
      </c>
      <c r="N35" s="171">
        <f>sales[[#This Row],[Total Price]]*2.5%</f>
        <v>47.475000000000001</v>
      </c>
      <c r="O35" s="9">
        <f>sales[[#This Row],[Total Price]]*1.5%</f>
        <v>28.484999999999999</v>
      </c>
      <c r="R35" s="5" t="str">
        <f>_xlfn.CONCAT(sales[[#This Row],[Shop]]," ",sales[[#This Row],[Location]])</f>
        <v>Kowloon Bay Fortress</v>
      </c>
    </row>
    <row r="36" spans="1:18" ht="16.5" customHeight="1">
      <c r="A36" s="7">
        <v>34</v>
      </c>
      <c r="B36" s="5" t="s">
        <v>976</v>
      </c>
      <c r="C36" s="2" t="s">
        <v>975</v>
      </c>
      <c r="D36" s="2" t="str">
        <f ca="1">OFFSET(Roster!$B$7, MATCH(B36&amp;" "&amp;C36&amp;"*",Roster!$B$8:$B$20,0),DAY(sales[[#This Row],[date]]),1, 1)</f>
        <v>Wah</v>
      </c>
      <c r="E36" s="2">
        <f>MONTH(sales[[#This Row],[date]])</f>
        <v>6</v>
      </c>
      <c r="F36" s="233">
        <v>46186</v>
      </c>
      <c r="G36" s="3" t="str">
        <f>VLOOKUP("*"&amp;sales[[#This Row],[Input]]&amp;"*",'Ref-List'!$A:$C,1,0)</f>
        <v>2769/97</v>
      </c>
      <c r="H36" s="2" t="str">
        <f>VLOOKUP("*"&amp;G36&amp;"*",'Ref-List'!$A:$C,3,0)</f>
        <v>電熱水樽</v>
      </c>
      <c r="I36" s="2">
        <v>2769</v>
      </c>
      <c r="J36" s="2">
        <v>1</v>
      </c>
      <c r="K36" s="2">
        <v>328</v>
      </c>
      <c r="L36" s="2">
        <f>sales[[#This Row],[quantity]]*sales[[#This Row],[price]]</f>
        <v>328</v>
      </c>
      <c r="M36" s="9">
        <f>sales[[#This Row],[Total Price]]*3%</f>
        <v>9.84</v>
      </c>
      <c r="N36" s="171">
        <f>sales[[#This Row],[Total Price]]*2.5%</f>
        <v>8.2000000000000011</v>
      </c>
      <c r="O36" s="9">
        <f>sales[[#This Row],[Total Price]]*1.5%</f>
        <v>4.92</v>
      </c>
      <c r="R36" s="5" t="str">
        <f>_xlfn.CONCAT(sales[[#This Row],[Shop]]," ",sales[[#This Row],[Location]])</f>
        <v>Kowloon Bay Fortress</v>
      </c>
    </row>
    <row r="37" spans="1:18" ht="16.5" customHeight="1">
      <c r="A37" s="7">
        <v>35</v>
      </c>
      <c r="B37" s="5" t="s">
        <v>976</v>
      </c>
      <c r="C37" s="2" t="s">
        <v>975</v>
      </c>
      <c r="D37" s="2" t="str">
        <f ca="1">OFFSET(Roster!$B$7, MATCH(B37&amp;" "&amp;C37&amp;"*",Roster!$B$8:$B$20,0),DAY(sales[[#This Row],[date]]),1, 1)</f>
        <v>Wah</v>
      </c>
      <c r="E37" s="2">
        <f>MONTH(sales[[#This Row],[date]])</f>
        <v>6</v>
      </c>
      <c r="F37" s="233">
        <v>46186</v>
      </c>
      <c r="G37" s="3" t="str">
        <f>VLOOKUP("*"&amp;sales[[#This Row],[Input]]&amp;"*",'Ref-List'!$A:$C,1,0)</f>
        <v>3733+3922</v>
      </c>
      <c r="H37" s="2" t="str">
        <f>VLOOKUP("*"&amp;G37&amp;"*",'Ref-List'!$A:$C,3,0)</f>
        <v>超濾龍頭式淨水器組合</v>
      </c>
      <c r="I37" s="2">
        <v>3922</v>
      </c>
      <c r="J37" s="2">
        <v>1</v>
      </c>
      <c r="K37" s="2">
        <v>598</v>
      </c>
      <c r="L37" s="2">
        <f>sales[[#This Row],[quantity]]*sales[[#This Row],[price]]</f>
        <v>598</v>
      </c>
      <c r="M37" s="9">
        <f>sales[[#This Row],[Total Price]]*3%</f>
        <v>17.939999999999998</v>
      </c>
      <c r="N37" s="171">
        <f>sales[[#This Row],[Total Price]]*2.5%</f>
        <v>14.950000000000001</v>
      </c>
      <c r="O37" s="9">
        <f>sales[[#This Row],[Total Price]]*1.5%</f>
        <v>8.9699999999999989</v>
      </c>
      <c r="R37" s="5" t="str">
        <f>_xlfn.CONCAT(sales[[#This Row],[Shop]]," ",sales[[#This Row],[Location]])</f>
        <v>Kowloon Bay Fortress</v>
      </c>
    </row>
    <row r="38" spans="1:18" ht="16.5" customHeight="1">
      <c r="A38" s="7">
        <v>36</v>
      </c>
      <c r="B38" s="5" t="s">
        <v>976</v>
      </c>
      <c r="C38" s="2" t="s">
        <v>975</v>
      </c>
      <c r="D38" s="2" t="str">
        <f ca="1">OFFSET(Roster!$B$7, MATCH(B38&amp;" "&amp;C38&amp;"*",Roster!$B$8:$B$20,0),DAY(sales[[#This Row],[date]]),1, 1)</f>
        <v>Wah</v>
      </c>
      <c r="E38" s="2">
        <f>MONTH(sales[[#This Row],[date]])</f>
        <v>6</v>
      </c>
      <c r="F38" s="233">
        <v>46186</v>
      </c>
      <c r="G38" s="3" t="str">
        <f>VLOOKUP("*"&amp;sales[[#This Row],[Input]]&amp;"*",'Ref-List'!$A:$C,1,0)</f>
        <v>6901+541</v>
      </c>
      <c r="H38" s="2" t="str">
        <f>VLOOKUP("*"&amp;G38&amp;"*",'Ref-List'!$A:$C,3,0)</f>
        <v>RO純淨飲水機 + 濾芯</v>
      </c>
      <c r="I38" s="2">
        <v>541</v>
      </c>
      <c r="J38" s="2">
        <v>1</v>
      </c>
      <c r="K38" s="2">
        <v>628</v>
      </c>
      <c r="L38" s="2">
        <f>sales[[#This Row],[quantity]]*sales[[#This Row],[price]]</f>
        <v>628</v>
      </c>
      <c r="M38" s="9">
        <f>sales[[#This Row],[Total Price]]*3%</f>
        <v>18.84</v>
      </c>
      <c r="N38" s="171">
        <f>sales[[#This Row],[Total Price]]*2.5%</f>
        <v>15.700000000000001</v>
      </c>
      <c r="O38" s="9">
        <f>sales[[#This Row],[Total Price]]*1.5%</f>
        <v>9.42</v>
      </c>
      <c r="R38" s="5" t="str">
        <f>_xlfn.CONCAT(sales[[#This Row],[Shop]]," ",sales[[#This Row],[Location]])</f>
        <v>Kowloon Bay Fortress</v>
      </c>
    </row>
    <row r="39" spans="1:18" ht="16.5" customHeight="1">
      <c r="A39" s="7">
        <v>37</v>
      </c>
      <c r="B39" s="5" t="s">
        <v>976</v>
      </c>
      <c r="C39" s="2" t="s">
        <v>975</v>
      </c>
      <c r="D39" s="2" t="str">
        <f ca="1">OFFSET(Roster!$B$7, MATCH(B39&amp;" "&amp;C39&amp;"*",Roster!$B$8:$B$20,0),DAY(sales[[#This Row],[date]]),1, 1)</f>
        <v>Wah</v>
      </c>
      <c r="E39" s="2">
        <f>MONTH(sales[[#This Row],[date]])</f>
        <v>6</v>
      </c>
      <c r="F39" s="233">
        <v>46186</v>
      </c>
      <c r="G39" s="3" t="str">
        <f>VLOOKUP("*"&amp;sales[[#This Row],[Input]]&amp;"*",'Ref-List'!$A:$C,1,0)</f>
        <v>6901+541</v>
      </c>
      <c r="H39" s="2" t="str">
        <f>VLOOKUP("*"&amp;G39&amp;"*",'Ref-List'!$A:$C,3,0)</f>
        <v>RO純淨飲水機 + 濾芯</v>
      </c>
      <c r="I39" s="2">
        <v>6901</v>
      </c>
      <c r="J39" s="2">
        <v>1</v>
      </c>
      <c r="K39" s="2">
        <v>1899</v>
      </c>
      <c r="L39" s="2">
        <f>sales[[#This Row],[quantity]]*sales[[#This Row],[price]]</f>
        <v>1899</v>
      </c>
      <c r="M39" s="9">
        <f>sales[[#This Row],[Total Price]]*3%</f>
        <v>56.97</v>
      </c>
      <c r="N39" s="171">
        <f>sales[[#This Row],[Total Price]]*2.5%</f>
        <v>47.475000000000001</v>
      </c>
      <c r="O39" s="9">
        <f>sales[[#This Row],[Total Price]]*1.5%</f>
        <v>28.484999999999999</v>
      </c>
      <c r="R39" s="5" t="str">
        <f>_xlfn.CONCAT(sales[[#This Row],[Shop]]," ",sales[[#This Row],[Location]])</f>
        <v>Kowloon Bay Fortress</v>
      </c>
    </row>
    <row r="40" spans="1:18" ht="16.5" customHeight="1">
      <c r="A40" s="7">
        <v>38</v>
      </c>
      <c r="B40" s="5" t="s">
        <v>976</v>
      </c>
      <c r="C40" s="2" t="s">
        <v>975</v>
      </c>
      <c r="D40" s="2" t="str">
        <f ca="1">OFFSET(Roster!$B$7, MATCH(B40&amp;" "&amp;C40&amp;"*",Roster!$B$8:$B$20,0),DAY(sales[[#This Row],[date]]),1, 1)</f>
        <v>Wah</v>
      </c>
      <c r="E40" s="2">
        <f>MONTH(sales[[#This Row],[date]])</f>
        <v>6</v>
      </c>
      <c r="F40" s="233">
        <v>46186</v>
      </c>
      <c r="G40" s="3" t="str">
        <f>VLOOKUP("*"&amp;sales[[#This Row],[Input]]&amp;"*",'Ref-List'!$A:$C,1,0)</f>
        <v>6901+541</v>
      </c>
      <c r="H40" s="2" t="str">
        <f>VLOOKUP("*"&amp;G40&amp;"*",'Ref-List'!$A:$C,3,0)</f>
        <v>RO純淨飲水機 + 濾芯</v>
      </c>
      <c r="I40" s="2">
        <v>6901</v>
      </c>
      <c r="J40" s="2">
        <v>1</v>
      </c>
      <c r="K40" s="2">
        <v>1899</v>
      </c>
      <c r="L40" s="2">
        <f>sales[[#This Row],[quantity]]*sales[[#This Row],[price]]</f>
        <v>1899</v>
      </c>
      <c r="M40" s="9">
        <f>sales[[#This Row],[Total Price]]*3%</f>
        <v>56.97</v>
      </c>
      <c r="N40" s="171">
        <f>sales[[#This Row],[Total Price]]*2.5%</f>
        <v>47.475000000000001</v>
      </c>
      <c r="O40" s="9">
        <f>sales[[#This Row],[Total Price]]*1.5%</f>
        <v>28.484999999999999</v>
      </c>
      <c r="R40" s="5" t="str">
        <f>_xlfn.CONCAT(sales[[#This Row],[Shop]]," ",sales[[#This Row],[Location]])</f>
        <v>Kowloon Bay Fortress</v>
      </c>
    </row>
    <row r="41" spans="1:18" ht="16.5" customHeight="1">
      <c r="A41" s="7">
        <v>39</v>
      </c>
      <c r="B41" s="5" t="s">
        <v>976</v>
      </c>
      <c r="C41" s="2" t="s">
        <v>975</v>
      </c>
      <c r="D41" s="2" t="str">
        <f ca="1">OFFSET(Roster!$B$7, MATCH(B41&amp;" "&amp;C41&amp;"*",Roster!$B$8:$B$20,0),DAY(sales[[#This Row],[date]]),1, 1)</f>
        <v>Wah</v>
      </c>
      <c r="E41" s="2">
        <f>MONTH(sales[[#This Row],[date]])</f>
        <v>6</v>
      </c>
      <c r="F41" s="233">
        <v>46187</v>
      </c>
      <c r="G41" s="3" t="str">
        <f>VLOOKUP("*"&amp;sales[[#This Row],[Input]]&amp;"*",'Ref-List'!$A:$C,1,0)</f>
        <v>6911+553</v>
      </c>
      <c r="H41" s="2" t="str">
        <f>VLOOKUP("*"&amp;G41&amp;"*",'Ref-List'!$A:$C,3,0)</f>
        <v>冷熱飲水機 + 濾心</v>
      </c>
      <c r="I41" s="2">
        <v>6911</v>
      </c>
      <c r="J41" s="2">
        <v>1</v>
      </c>
      <c r="K41" s="2">
        <v>3388</v>
      </c>
      <c r="L41" s="2">
        <f>sales[[#This Row],[quantity]]*sales[[#This Row],[price]]</f>
        <v>3388</v>
      </c>
      <c r="M41" s="9">
        <f>sales[[#This Row],[Total Price]]*3%</f>
        <v>101.64</v>
      </c>
      <c r="N41" s="171">
        <f>sales[[#This Row],[Total Price]]*2.5%</f>
        <v>84.7</v>
      </c>
      <c r="O41" s="9">
        <f>sales[[#This Row],[Total Price]]*1.5%</f>
        <v>50.82</v>
      </c>
      <c r="R41" s="5" t="str">
        <f>_xlfn.CONCAT(sales[[#This Row],[Shop]]," ",sales[[#This Row],[Location]])</f>
        <v>Kowloon Bay Fortress</v>
      </c>
    </row>
    <row r="42" spans="1:18" ht="16.5" customHeight="1">
      <c r="A42" s="7">
        <v>40</v>
      </c>
      <c r="B42" s="5" t="s">
        <v>976</v>
      </c>
      <c r="C42" s="2" t="s">
        <v>975</v>
      </c>
      <c r="D42" s="2" t="str">
        <f ca="1">OFFSET(Roster!$B$7, MATCH(B42&amp;" "&amp;C42&amp;"*",Roster!$B$8:$B$20,0),DAY(sales[[#This Row],[date]]),1, 1)</f>
        <v>Wah</v>
      </c>
      <c r="E42" s="2">
        <f>MONTH(sales[[#This Row],[date]])</f>
        <v>6</v>
      </c>
      <c r="F42" s="233">
        <v>46187</v>
      </c>
      <c r="G42" s="3" t="e">
        <f>VLOOKUP("*"&amp;sales[[#This Row],[Input]]&amp;"*",'Ref-List'!$A:$C,1,0)</f>
        <v>#N/A</v>
      </c>
      <c r="H42" s="2" t="e">
        <f>VLOOKUP("*"&amp;G42&amp;"*",'Ref-List'!$A:$C,3,0)</f>
        <v>#N/A</v>
      </c>
      <c r="I42" s="2">
        <v>6921</v>
      </c>
      <c r="J42" s="2">
        <v>1</v>
      </c>
      <c r="K42" s="2">
        <v>3988</v>
      </c>
      <c r="L42" s="2">
        <f>sales[[#This Row],[quantity]]*sales[[#This Row],[price]]</f>
        <v>3988</v>
      </c>
      <c r="M42" s="9">
        <f>sales[[#This Row],[Total Price]]*3%</f>
        <v>119.64</v>
      </c>
      <c r="N42" s="171">
        <f>sales[[#This Row],[Total Price]]*2.5%</f>
        <v>99.7</v>
      </c>
      <c r="O42" s="9">
        <f>sales[[#This Row],[Total Price]]*1.5%</f>
        <v>59.82</v>
      </c>
      <c r="R42" s="5" t="str">
        <f>_xlfn.CONCAT(sales[[#This Row],[Shop]]," ",sales[[#This Row],[Location]])</f>
        <v>Kowloon Bay Fortress</v>
      </c>
    </row>
    <row r="43" spans="1:18" ht="16.5" customHeight="1">
      <c r="A43" s="7">
        <v>41</v>
      </c>
      <c r="B43" s="5" t="s">
        <v>976</v>
      </c>
      <c r="C43" s="2" t="s">
        <v>975</v>
      </c>
      <c r="D43" s="2" t="str">
        <f ca="1">OFFSET(Roster!$B$7, MATCH(B43&amp;" "&amp;C43&amp;"*",Roster!$B$8:$B$20,0),DAY(sales[[#This Row],[date]]),1, 1)</f>
        <v>Wah</v>
      </c>
      <c r="E43" s="2">
        <f>MONTH(sales[[#This Row],[date]])</f>
        <v>6</v>
      </c>
      <c r="F43" s="233">
        <v>46187</v>
      </c>
      <c r="G43" s="3" t="str">
        <f>VLOOKUP("*"&amp;sales[[#This Row],[Input]]&amp;"*",'Ref-List'!$A:$C,1,0)</f>
        <v>3733+3922</v>
      </c>
      <c r="H43" s="2" t="str">
        <f>VLOOKUP("*"&amp;G43&amp;"*",'Ref-List'!$A:$C,3,0)</f>
        <v>超濾龍頭式淨水器組合</v>
      </c>
      <c r="I43" s="2">
        <v>3922</v>
      </c>
      <c r="J43" s="2">
        <v>1</v>
      </c>
      <c r="K43" s="2">
        <v>598</v>
      </c>
      <c r="L43" s="2">
        <f>sales[[#This Row],[quantity]]*sales[[#This Row],[price]]</f>
        <v>598</v>
      </c>
      <c r="M43" s="9">
        <f>sales[[#This Row],[Total Price]]*3%</f>
        <v>17.939999999999998</v>
      </c>
      <c r="N43" s="171">
        <f>sales[[#This Row],[Total Price]]*2.5%</f>
        <v>14.950000000000001</v>
      </c>
      <c r="O43" s="9">
        <f>sales[[#This Row],[Total Price]]*1.5%</f>
        <v>8.9699999999999989</v>
      </c>
      <c r="R43" s="5" t="str">
        <f>_xlfn.CONCAT(sales[[#This Row],[Shop]]," ",sales[[#This Row],[Location]])</f>
        <v>Kowloon Bay Fortress</v>
      </c>
    </row>
    <row r="44" spans="1:18" ht="16.5" customHeight="1">
      <c r="A44" s="7">
        <v>42</v>
      </c>
      <c r="B44" s="5" t="s">
        <v>976</v>
      </c>
      <c r="C44" s="2" t="s">
        <v>975</v>
      </c>
      <c r="D44" s="2" t="str">
        <f ca="1">OFFSET(Roster!$B$7, MATCH(B44&amp;" "&amp;C44&amp;"*",Roster!$B$8:$B$20,0),DAY(sales[[#This Row],[date]]),1, 1)</f>
        <v>Wah</v>
      </c>
      <c r="E44" s="2">
        <f>MONTH(sales[[#This Row],[date]])</f>
        <v>6</v>
      </c>
      <c r="F44" s="233">
        <v>46187</v>
      </c>
      <c r="G44" s="3" t="str">
        <f>VLOOKUP("*"&amp;sales[[#This Row],[Input]]&amp;"*",'Ref-List'!$A:$C,1,0)</f>
        <v>3733+3922</v>
      </c>
      <c r="H44" s="2" t="str">
        <f>VLOOKUP("*"&amp;G44&amp;"*",'Ref-List'!$A:$C,3,0)</f>
        <v>超濾龍頭式淨水器組合</v>
      </c>
      <c r="I44" s="2">
        <v>3922</v>
      </c>
      <c r="J44" s="2">
        <v>1</v>
      </c>
      <c r="K44" s="2">
        <v>598</v>
      </c>
      <c r="L44" s="2">
        <f>sales[[#This Row],[quantity]]*sales[[#This Row],[price]]</f>
        <v>598</v>
      </c>
      <c r="M44" s="9">
        <f>sales[[#This Row],[Total Price]]*3%</f>
        <v>17.939999999999998</v>
      </c>
      <c r="N44" s="171">
        <f>sales[[#This Row],[Total Price]]*2.5%</f>
        <v>14.950000000000001</v>
      </c>
      <c r="O44" s="9">
        <f>sales[[#This Row],[Total Price]]*1.5%</f>
        <v>8.9699999999999989</v>
      </c>
      <c r="R44" s="5" t="str">
        <f>_xlfn.CONCAT(sales[[#This Row],[Shop]]," ",sales[[#This Row],[Location]])</f>
        <v>Kowloon Bay Fortress</v>
      </c>
    </row>
    <row r="45" spans="1:18" ht="16.5" customHeight="1">
      <c r="A45" s="7">
        <v>43</v>
      </c>
      <c r="B45" s="5" t="s">
        <v>976</v>
      </c>
      <c r="C45" s="2" t="s">
        <v>975</v>
      </c>
      <c r="D45" s="2" t="str">
        <f ca="1">OFFSET(Roster!$B$7, MATCH(B45&amp;" "&amp;C45&amp;"*",Roster!$B$8:$B$20,0),DAY(sales[[#This Row],[date]]),1, 1)</f>
        <v>Wah</v>
      </c>
      <c r="E45" s="2">
        <f>MONTH(sales[[#This Row],[date]])</f>
        <v>6</v>
      </c>
      <c r="F45" s="233">
        <v>46187</v>
      </c>
      <c r="G45" s="3" t="str">
        <f>VLOOKUP("*"&amp;sales[[#This Row],[Input]]&amp;"*",'Ref-List'!$A:$C,1,0)</f>
        <v>2937+211</v>
      </c>
      <c r="H45" s="2" t="str">
        <f>VLOOKUP("*"&amp;G45&amp;"*",'Ref-List'!$A:$C,3,0)</f>
        <v>濾水壺濾芯套裝</v>
      </c>
      <c r="I45" s="2">
        <v>211</v>
      </c>
      <c r="J45" s="2">
        <v>1</v>
      </c>
      <c r="K45" s="2">
        <v>158</v>
      </c>
      <c r="L45" s="2">
        <f>sales[[#This Row],[quantity]]*sales[[#This Row],[price]]</f>
        <v>158</v>
      </c>
      <c r="M45" s="9">
        <f>sales[[#This Row],[Total Price]]*3%</f>
        <v>4.74</v>
      </c>
      <c r="N45" s="171">
        <f>sales[[#This Row],[Total Price]]*2.5%</f>
        <v>3.95</v>
      </c>
      <c r="O45" s="9">
        <f>sales[[#This Row],[Total Price]]*1.5%</f>
        <v>2.37</v>
      </c>
      <c r="R45" s="5" t="str">
        <f>_xlfn.CONCAT(sales[[#This Row],[Shop]]," ",sales[[#This Row],[Location]])</f>
        <v>Kowloon Bay Fortress</v>
      </c>
    </row>
    <row r="46" spans="1:18" ht="16.5" customHeight="1">
      <c r="A46" s="7">
        <v>44</v>
      </c>
      <c r="B46" s="5" t="s">
        <v>976</v>
      </c>
      <c r="C46" s="2" t="s">
        <v>975</v>
      </c>
      <c r="D46" s="2" t="str">
        <f ca="1">OFFSET(Roster!$B$7, MATCH(B46&amp;" "&amp;C46&amp;"*",Roster!$B$8:$B$20,0),DAY(sales[[#This Row],[date]]),1, 1)</f>
        <v>Wah</v>
      </c>
      <c r="E46" s="2">
        <f>MONTH(sales[[#This Row],[date]])</f>
        <v>6</v>
      </c>
      <c r="F46" s="233">
        <v>46187</v>
      </c>
      <c r="G46" s="3" t="str">
        <f>VLOOKUP("*"&amp;sales[[#This Row],[Input]]&amp;"*",'Ref-List'!$A:$C,1,0)</f>
        <v>3733+3922</v>
      </c>
      <c r="H46" s="2" t="str">
        <f>VLOOKUP("*"&amp;G46&amp;"*",'Ref-List'!$A:$C,3,0)</f>
        <v>超濾龍頭式淨水器組合</v>
      </c>
      <c r="I46" s="2">
        <v>3922</v>
      </c>
      <c r="J46" s="2">
        <v>1</v>
      </c>
      <c r="K46" s="2">
        <v>598</v>
      </c>
      <c r="L46" s="2">
        <f>sales[[#This Row],[quantity]]*sales[[#This Row],[price]]</f>
        <v>598</v>
      </c>
      <c r="M46" s="9">
        <f>sales[[#This Row],[Total Price]]*3%</f>
        <v>17.939999999999998</v>
      </c>
      <c r="N46" s="171">
        <f>sales[[#This Row],[Total Price]]*2.5%</f>
        <v>14.950000000000001</v>
      </c>
      <c r="O46" s="9">
        <f>sales[[#This Row],[Total Price]]*1.5%</f>
        <v>8.9699999999999989</v>
      </c>
      <c r="R46" s="5" t="str">
        <f>_xlfn.CONCAT(sales[[#This Row],[Shop]]," ",sales[[#This Row],[Location]])</f>
        <v>Kowloon Bay Fortress</v>
      </c>
    </row>
    <row r="47" spans="1:18" ht="16.5" customHeight="1">
      <c r="A47" s="7">
        <v>45</v>
      </c>
      <c r="B47" s="5" t="s">
        <v>976</v>
      </c>
      <c r="C47" s="2" t="s">
        <v>975</v>
      </c>
      <c r="D47" s="2" t="str">
        <f ca="1">OFFSET(Roster!$B$7, MATCH(B47&amp;" "&amp;C47&amp;"*",Roster!$B$8:$B$20,0),DAY(sales[[#This Row],[date]]),1, 1)</f>
        <v>Wah</v>
      </c>
      <c r="E47" s="2">
        <f>MONTH(sales[[#This Row],[date]])</f>
        <v>6</v>
      </c>
      <c r="F47" s="233">
        <v>46187</v>
      </c>
      <c r="G47" s="3" t="e">
        <f>VLOOKUP("*"&amp;sales[[#This Row],[Input]]&amp;"*",'Ref-List'!$A:$C,1,0)</f>
        <v>#N/A</v>
      </c>
      <c r="H47" s="2" t="e">
        <f>VLOOKUP("*"&amp;G47&amp;"*",'Ref-List'!$A:$C,3,0)</f>
        <v>#N/A</v>
      </c>
      <c r="I47" s="2">
        <v>583</v>
      </c>
      <c r="J47" s="2">
        <v>1</v>
      </c>
      <c r="K47" s="2">
        <v>848</v>
      </c>
      <c r="L47" s="2">
        <f>sales[[#This Row],[quantity]]*sales[[#This Row],[price]]</f>
        <v>848</v>
      </c>
      <c r="M47" s="9">
        <f>sales[[#This Row],[Total Price]]*3%</f>
        <v>25.439999999999998</v>
      </c>
      <c r="N47" s="171">
        <f>sales[[#This Row],[Total Price]]*2.5%</f>
        <v>21.200000000000003</v>
      </c>
      <c r="O47" s="9">
        <f>sales[[#This Row],[Total Price]]*1.5%</f>
        <v>12.719999999999999</v>
      </c>
      <c r="R47" s="5" t="str">
        <f>_xlfn.CONCAT(sales[[#This Row],[Shop]]," ",sales[[#This Row],[Location]])</f>
        <v>Kowloon Bay Fortress</v>
      </c>
    </row>
    <row r="48" spans="1:18" ht="16.5" customHeight="1">
      <c r="A48" s="7">
        <v>46</v>
      </c>
      <c r="B48" s="5" t="s">
        <v>976</v>
      </c>
      <c r="C48" s="2" t="s">
        <v>975</v>
      </c>
      <c r="D48" s="2" t="str">
        <f ca="1">OFFSET(Roster!$B$7, MATCH(B48&amp;" "&amp;C48&amp;"*",Roster!$B$8:$B$20,0),DAY(sales[[#This Row],[date]]),1, 1)</f>
        <v>Wah</v>
      </c>
      <c r="E48" s="2">
        <f>MONTH(sales[[#This Row],[date]])</f>
        <v>6</v>
      </c>
      <c r="F48" s="233">
        <v>46187</v>
      </c>
      <c r="G48" s="3" t="str">
        <f>VLOOKUP("*"&amp;sales[[#This Row],[Input]]&amp;"*",'Ref-List'!$A:$C,1,0)</f>
        <v>2769/97</v>
      </c>
      <c r="H48" s="2" t="str">
        <f>VLOOKUP("*"&amp;G48&amp;"*",'Ref-List'!$A:$C,3,0)</f>
        <v>電熱水樽</v>
      </c>
      <c r="I48" s="2">
        <v>769</v>
      </c>
      <c r="J48" s="2">
        <v>1</v>
      </c>
      <c r="K48" s="2">
        <v>328</v>
      </c>
      <c r="L48" s="2">
        <f>sales[[#This Row],[quantity]]*sales[[#This Row],[price]]</f>
        <v>328</v>
      </c>
      <c r="M48" s="9">
        <f>sales[[#This Row],[Total Price]]*3%</f>
        <v>9.84</v>
      </c>
      <c r="N48" s="171">
        <f>sales[[#This Row],[Total Price]]*2.5%</f>
        <v>8.2000000000000011</v>
      </c>
      <c r="O48" s="9">
        <f>sales[[#This Row],[Total Price]]*1.5%</f>
        <v>4.92</v>
      </c>
      <c r="R48" s="5" t="str">
        <f>_xlfn.CONCAT(sales[[#This Row],[Shop]]," ",sales[[#This Row],[Location]])</f>
        <v>Kowloon Bay Fortress</v>
      </c>
    </row>
    <row r="49" spans="1:18" ht="16.5" customHeight="1">
      <c r="A49" s="7">
        <v>47</v>
      </c>
      <c r="B49" s="5" t="s">
        <v>976</v>
      </c>
      <c r="C49" s="2" t="s">
        <v>975</v>
      </c>
      <c r="D49" s="2" t="str">
        <f ca="1">OFFSET(Roster!$B$7, MATCH(B49&amp;" "&amp;C49&amp;"*",Roster!$B$8:$B$20,0),DAY(sales[[#This Row],[date]]),1, 1)</f>
        <v>Wah</v>
      </c>
      <c r="E49" s="2">
        <f>MONTH(sales[[#This Row],[date]])</f>
        <v>6</v>
      </c>
      <c r="F49" s="233">
        <v>46187</v>
      </c>
      <c r="G49" s="3" t="str">
        <f>VLOOKUP("*"&amp;sales[[#This Row],[Input]]&amp;"*",'Ref-List'!$A:$C,1,0)</f>
        <v>3733+3922</v>
      </c>
      <c r="H49" s="2" t="str">
        <f>VLOOKUP("*"&amp;G49&amp;"*",'Ref-List'!$A:$C,3,0)</f>
        <v>超濾龍頭式淨水器組合</v>
      </c>
      <c r="I49" s="2">
        <v>3922</v>
      </c>
      <c r="J49" s="2">
        <v>1</v>
      </c>
      <c r="K49" s="2">
        <v>598</v>
      </c>
      <c r="L49" s="2">
        <f>sales[[#This Row],[quantity]]*sales[[#This Row],[price]]</f>
        <v>598</v>
      </c>
      <c r="M49" s="9">
        <f>sales[[#This Row],[Total Price]]*3%</f>
        <v>17.939999999999998</v>
      </c>
      <c r="N49" s="171">
        <f>sales[[#This Row],[Total Price]]*2.5%</f>
        <v>14.950000000000001</v>
      </c>
      <c r="O49" s="9">
        <f>sales[[#This Row],[Total Price]]*1.5%</f>
        <v>8.9699999999999989</v>
      </c>
      <c r="R49" s="5" t="str">
        <f>_xlfn.CONCAT(sales[[#This Row],[Shop]]," ",sales[[#This Row],[Location]])</f>
        <v>Kowloon Bay Fortress</v>
      </c>
    </row>
    <row r="50" spans="1:18" ht="16.5" customHeight="1">
      <c r="A50" s="7">
        <v>48</v>
      </c>
      <c r="B50" s="5" t="s">
        <v>976</v>
      </c>
      <c r="C50" s="2" t="s">
        <v>975</v>
      </c>
      <c r="D50" s="2" t="str">
        <f ca="1">OFFSET(Roster!$B$7, MATCH(B50&amp;" "&amp;C50&amp;"*",Roster!$B$8:$B$20,0),DAY(sales[[#This Row],[date]]),1, 1)</f>
        <v>Wah</v>
      </c>
      <c r="E50" s="2">
        <f>MONTH(sales[[#This Row],[date]])</f>
        <v>6</v>
      </c>
      <c r="F50" s="233">
        <v>46187</v>
      </c>
      <c r="G50" s="3" t="e">
        <f>VLOOKUP("*"&amp;sales[[#This Row],[Input]]&amp;"*",'Ref-List'!$A:$C,1,0)</f>
        <v>#N/A</v>
      </c>
      <c r="H50" s="2" t="e">
        <f>VLOOKUP("*"&amp;G50&amp;"*",'Ref-List'!$A:$C,3,0)</f>
        <v>#N/A</v>
      </c>
      <c r="I50" s="2">
        <v>6921</v>
      </c>
      <c r="J50" s="2">
        <v>1</v>
      </c>
      <c r="K50" s="2">
        <v>3988</v>
      </c>
      <c r="L50" s="2">
        <f>sales[[#This Row],[quantity]]*sales[[#This Row],[price]]</f>
        <v>3988</v>
      </c>
      <c r="M50" s="9">
        <f>sales[[#This Row],[Total Price]]*3%</f>
        <v>119.64</v>
      </c>
      <c r="N50" s="171">
        <f>sales[[#This Row],[Total Price]]*2.5%</f>
        <v>99.7</v>
      </c>
      <c r="O50" s="9">
        <f>sales[[#This Row],[Total Price]]*1.5%</f>
        <v>59.82</v>
      </c>
      <c r="R50" s="5" t="str">
        <f>_xlfn.CONCAT(sales[[#This Row],[Shop]]," ",sales[[#This Row],[Location]])</f>
        <v>Kowloon Bay Fortress</v>
      </c>
    </row>
    <row r="51" spans="1:18" ht="16.5" customHeight="1">
      <c r="A51" s="7">
        <v>49</v>
      </c>
      <c r="B51" s="5" t="s">
        <v>976</v>
      </c>
      <c r="C51" s="2" t="s">
        <v>975</v>
      </c>
      <c r="D51" s="2" t="str">
        <f ca="1">OFFSET(Roster!$B$7, MATCH(B51&amp;" "&amp;C51&amp;"*",Roster!$B$8:$B$20,0),DAY(sales[[#This Row],[date]]),1, 1)</f>
        <v>Wah</v>
      </c>
      <c r="E51" s="2">
        <f>MONTH(sales[[#This Row],[date]])</f>
        <v>6</v>
      </c>
      <c r="F51" s="233">
        <v>46187</v>
      </c>
      <c r="G51" s="3" t="e">
        <f>VLOOKUP("*"&amp;sales[[#This Row],[Input]]&amp;"*",'Ref-List'!$A:$C,1,0)</f>
        <v>#N/A</v>
      </c>
      <c r="H51" s="2" t="e">
        <f>VLOOKUP("*"&amp;G51&amp;"*",'Ref-List'!$A:$C,3,0)</f>
        <v>#N/A</v>
      </c>
      <c r="I51" s="2">
        <v>6912</v>
      </c>
      <c r="J51" s="2">
        <v>1</v>
      </c>
      <c r="K51" s="2">
        <v>2998</v>
      </c>
      <c r="L51" s="2">
        <f>sales[[#This Row],[quantity]]*sales[[#This Row],[price]]</f>
        <v>2998</v>
      </c>
      <c r="M51" s="9">
        <f>sales[[#This Row],[Total Price]]*3%</f>
        <v>89.94</v>
      </c>
      <c r="N51" s="171">
        <f>sales[[#This Row],[Total Price]]*2.5%</f>
        <v>74.95</v>
      </c>
      <c r="O51" s="9">
        <f>sales[[#This Row],[Total Price]]*1.5%</f>
        <v>44.97</v>
      </c>
      <c r="R51" s="5" t="str">
        <f>_xlfn.CONCAT(sales[[#This Row],[Shop]]," ",sales[[#This Row],[Location]])</f>
        <v>Kowloon Bay Fortress</v>
      </c>
    </row>
    <row r="52" spans="1:18" ht="16.5" customHeight="1">
      <c r="A52" s="7">
        <v>50</v>
      </c>
      <c r="B52" s="5" t="s">
        <v>976</v>
      </c>
      <c r="C52" s="2" t="s">
        <v>975</v>
      </c>
      <c r="D52" s="2" t="str">
        <f ca="1">OFFSET(Roster!$B$7, MATCH(B52&amp;" "&amp;C52&amp;"*",Roster!$B$8:$B$20,0),DAY(sales[[#This Row],[date]]),1, 1)</f>
        <v>Wah</v>
      </c>
      <c r="E52" s="2">
        <f>MONTH(sales[[#This Row],[date]])</f>
        <v>6</v>
      </c>
      <c r="F52" s="233">
        <v>46187</v>
      </c>
      <c r="G52" s="3" t="e">
        <f>VLOOKUP("*"&amp;sales[[#This Row],[Input]]&amp;"*",'Ref-List'!$A:$C,1,0)</f>
        <v>#N/A</v>
      </c>
      <c r="H52" s="2" t="e">
        <f>VLOOKUP("*"&amp;G52&amp;"*",'Ref-List'!$A:$C,3,0)</f>
        <v>#N/A</v>
      </c>
      <c r="I52" s="5" t="s">
        <v>979</v>
      </c>
      <c r="J52" s="2">
        <v>1</v>
      </c>
      <c r="K52" s="2">
        <v>868</v>
      </c>
      <c r="L52" s="2">
        <f>sales[[#This Row],[quantity]]*sales[[#This Row],[price]]</f>
        <v>868</v>
      </c>
      <c r="M52" s="9">
        <f>sales[[#This Row],[Total Price]]*3%</f>
        <v>26.04</v>
      </c>
      <c r="N52" s="171">
        <f>sales[[#This Row],[Total Price]]*2.5%</f>
        <v>21.700000000000003</v>
      </c>
      <c r="O52" s="9">
        <f>sales[[#This Row],[Total Price]]*1.5%</f>
        <v>13.02</v>
      </c>
      <c r="R52" s="5" t="str">
        <f>_xlfn.CONCAT(sales[[#This Row],[Shop]]," ",sales[[#This Row],[Location]])</f>
        <v>Kowloon Bay Fortress</v>
      </c>
    </row>
    <row r="53" spans="1:18" ht="16.5" customHeight="1">
      <c r="A53" s="7">
        <v>51</v>
      </c>
      <c r="B53" s="5" t="s">
        <v>976</v>
      </c>
      <c r="C53" s="2" t="s">
        <v>975</v>
      </c>
      <c r="D53" s="2" t="str">
        <f ca="1">OFFSET(Roster!$B$7, MATCH(B53&amp;" "&amp;C53&amp;"*",Roster!$B$8:$B$20,0),DAY(sales[[#This Row],[date]]),1, 1)</f>
        <v>Wah</v>
      </c>
      <c r="E53" s="2">
        <f>MONTH(sales[[#This Row],[date]])</f>
        <v>6</v>
      </c>
      <c r="F53" s="233">
        <v>46191</v>
      </c>
      <c r="G53" s="3" t="str">
        <f>VLOOKUP("*"&amp;sales[[#This Row],[Input]]&amp;"*",'Ref-List'!$A:$C,1,0)</f>
        <v>3733+3922</v>
      </c>
      <c r="H53" s="2" t="str">
        <f>VLOOKUP("*"&amp;G53&amp;"*",'Ref-List'!$A:$C,3,0)</f>
        <v>超濾龍頭式淨水器組合</v>
      </c>
      <c r="I53" s="2">
        <v>3922</v>
      </c>
      <c r="J53" s="2">
        <v>1</v>
      </c>
      <c r="K53" s="2">
        <v>598</v>
      </c>
      <c r="L53" s="2">
        <f>sales[[#This Row],[quantity]]*sales[[#This Row],[price]]</f>
        <v>598</v>
      </c>
      <c r="M53" s="9">
        <f>sales[[#This Row],[Total Price]]*3%</f>
        <v>17.939999999999998</v>
      </c>
      <c r="N53" s="171">
        <f>sales[[#This Row],[Total Price]]*2.5%</f>
        <v>14.950000000000001</v>
      </c>
      <c r="O53" s="9">
        <f>sales[[#This Row],[Total Price]]*1.5%</f>
        <v>8.9699999999999989</v>
      </c>
      <c r="R53" s="5" t="str">
        <f>_xlfn.CONCAT(sales[[#This Row],[Shop]]," ",sales[[#This Row],[Location]])</f>
        <v>Kowloon Bay Fortress</v>
      </c>
    </row>
    <row r="54" spans="1:18" ht="16.5" customHeight="1">
      <c r="A54" s="7">
        <v>52</v>
      </c>
      <c r="B54" s="5" t="s">
        <v>976</v>
      </c>
      <c r="C54" s="2" t="s">
        <v>975</v>
      </c>
      <c r="D54" s="2" t="str">
        <f ca="1">OFFSET(Roster!$B$7, MATCH(B54&amp;" "&amp;C54&amp;"*",Roster!$B$8:$B$20,0),DAY(sales[[#This Row],[date]]),1, 1)</f>
        <v>Wah</v>
      </c>
      <c r="E54" s="2">
        <f>MONTH(sales[[#This Row],[date]])</f>
        <v>6</v>
      </c>
      <c r="F54" s="233">
        <v>46191</v>
      </c>
      <c r="G54" s="3" t="str">
        <f>VLOOKUP("*"&amp;sales[[#This Row],[Input]]&amp;"*",'Ref-List'!$A:$C,1,0)</f>
        <v>3812+3922</v>
      </c>
      <c r="H54" s="2" t="str">
        <f>VLOOKUP("*"&amp;G54&amp;"*",'Ref-List'!$A:$C,3,0)</f>
        <v>超濾龍頭式淨水器組合</v>
      </c>
      <c r="I54" s="5" t="s">
        <v>980</v>
      </c>
      <c r="J54" s="2">
        <v>1</v>
      </c>
      <c r="K54" s="2">
        <v>798</v>
      </c>
      <c r="L54" s="2">
        <f>sales[[#This Row],[quantity]]*sales[[#This Row],[price]]</f>
        <v>798</v>
      </c>
      <c r="M54" s="9">
        <f>sales[[#This Row],[Total Price]]*3%</f>
        <v>23.939999999999998</v>
      </c>
      <c r="N54" s="171">
        <f>sales[[#This Row],[Total Price]]*2.5%</f>
        <v>19.950000000000003</v>
      </c>
      <c r="O54" s="9">
        <f>sales[[#This Row],[Total Price]]*1.5%</f>
        <v>11.969999999999999</v>
      </c>
      <c r="R54" s="5" t="str">
        <f>_xlfn.CONCAT(sales[[#This Row],[Shop]]," ",sales[[#This Row],[Location]])</f>
        <v>Kowloon Bay Fortress</v>
      </c>
    </row>
    <row r="55" spans="1:18" ht="16.5" customHeight="1">
      <c r="A55" s="7">
        <v>53</v>
      </c>
      <c r="B55" s="5" t="s">
        <v>976</v>
      </c>
      <c r="C55" s="2" t="s">
        <v>975</v>
      </c>
      <c r="D55" s="2" t="str">
        <f ca="1">OFFSET(Roster!$B$7, MATCH(B55&amp;" "&amp;C55&amp;"*",Roster!$B$8:$B$20,0),DAY(sales[[#This Row],[date]]),1, 1)</f>
        <v>Wah</v>
      </c>
      <c r="E55" s="2">
        <f>MONTH(sales[[#This Row],[date]])</f>
        <v>6</v>
      </c>
      <c r="F55" s="233">
        <v>46191</v>
      </c>
      <c r="G55" s="3" t="str">
        <f>VLOOKUP("*"&amp;sales[[#This Row],[Input]]&amp;"*",'Ref-List'!$A:$C,1,0)</f>
        <v>6920WH</v>
      </c>
      <c r="H55" s="2" t="str">
        <f>VLOOKUP("*"&amp;G55&amp;"*",'Ref-List'!$A:$C,3,0)</f>
        <v>升級製冰版</v>
      </c>
      <c r="I55" s="2">
        <v>6920</v>
      </c>
      <c r="J55" s="2">
        <v>1</v>
      </c>
      <c r="K55" s="2">
        <v>3688</v>
      </c>
      <c r="L55" s="2">
        <f>sales[[#This Row],[quantity]]*sales[[#This Row],[price]]</f>
        <v>3688</v>
      </c>
      <c r="M55" s="9">
        <f>sales[[#This Row],[Total Price]]*3%</f>
        <v>110.64</v>
      </c>
      <c r="N55" s="171">
        <f>sales[[#This Row],[Total Price]]*2.5%</f>
        <v>92.2</v>
      </c>
      <c r="O55" s="9">
        <f>sales[[#This Row],[Total Price]]*1.5%</f>
        <v>55.32</v>
      </c>
      <c r="R55" s="5" t="str">
        <f>_xlfn.CONCAT(sales[[#This Row],[Shop]]," ",sales[[#This Row],[Location]])</f>
        <v>Kowloon Bay Fortress</v>
      </c>
    </row>
    <row r="56" spans="1:18" ht="16.5" customHeight="1">
      <c r="A56" s="7">
        <v>54</v>
      </c>
      <c r="B56" s="5" t="s">
        <v>976</v>
      </c>
      <c r="C56" s="2" t="s">
        <v>975</v>
      </c>
      <c r="D56" s="2" t="str">
        <f ca="1">OFFSET(Roster!$B$7, MATCH(B56&amp;" "&amp;C56&amp;"*",Roster!$B$8:$B$20,0),DAY(sales[[#This Row],[date]]),1, 1)</f>
        <v>Wah</v>
      </c>
      <c r="E56" s="2">
        <f>MONTH(sales[[#This Row],[date]])</f>
        <v>6</v>
      </c>
      <c r="F56" s="233">
        <v>46191</v>
      </c>
      <c r="G56" s="3" t="str">
        <f>VLOOKUP("*"&amp;sales[[#This Row],[Input]]&amp;"*",'Ref-List'!$A:$C,1,0)</f>
        <v>6901+541</v>
      </c>
      <c r="H56" s="2" t="str">
        <f>VLOOKUP("*"&amp;G56&amp;"*",'Ref-List'!$A:$C,3,0)</f>
        <v>RO純淨飲水機 + 濾芯</v>
      </c>
      <c r="I56" s="2">
        <v>541</v>
      </c>
      <c r="J56" s="2">
        <v>1</v>
      </c>
      <c r="K56" s="2">
        <v>628</v>
      </c>
      <c r="L56" s="2">
        <f>sales[[#This Row],[quantity]]*sales[[#This Row],[price]]</f>
        <v>628</v>
      </c>
      <c r="M56" s="9">
        <f>sales[[#This Row],[Total Price]]*3%</f>
        <v>18.84</v>
      </c>
      <c r="N56" s="171">
        <f>sales[[#This Row],[Total Price]]*2.5%</f>
        <v>15.700000000000001</v>
      </c>
      <c r="O56" s="9">
        <f>sales[[#This Row],[Total Price]]*1.5%</f>
        <v>9.42</v>
      </c>
      <c r="R56" s="5" t="str">
        <f>_xlfn.CONCAT(sales[[#This Row],[Shop]]," ",sales[[#This Row],[Location]])</f>
        <v>Kowloon Bay Fortress</v>
      </c>
    </row>
    <row r="57" spans="1:18" ht="16.5" customHeight="1">
      <c r="A57" s="7">
        <v>55</v>
      </c>
      <c r="B57" s="5" t="s">
        <v>976</v>
      </c>
      <c r="C57" s="2" t="s">
        <v>975</v>
      </c>
      <c r="D57" s="2" t="str">
        <f ca="1">OFFSET(Roster!$B$7, MATCH(B57&amp;" "&amp;C57&amp;"*",Roster!$B$8:$B$20,0),DAY(sales[[#This Row],[date]]),1, 1)</f>
        <v>Wah</v>
      </c>
      <c r="E57" s="2">
        <f>MONTH(sales[[#This Row],[date]])</f>
        <v>6</v>
      </c>
      <c r="F57" s="233">
        <v>46191</v>
      </c>
      <c r="G57" s="3" t="str">
        <f>VLOOKUP("*"&amp;sales[[#This Row],[Input]]&amp;"*",'Ref-List'!$A:$C,1,0)</f>
        <v>6910+550</v>
      </c>
      <c r="H57" s="2" t="str">
        <f>VLOOKUP("*"&amp;G57&amp;"*",'Ref-List'!$A:$C,3,0)</f>
        <v>冷熱飲水機 + 濾心</v>
      </c>
      <c r="I57" s="2">
        <v>550</v>
      </c>
      <c r="J57" s="2">
        <v>1</v>
      </c>
      <c r="K57" s="2">
        <v>598</v>
      </c>
      <c r="L57" s="2">
        <f>sales[[#This Row],[quantity]]*sales[[#This Row],[price]]</f>
        <v>598</v>
      </c>
      <c r="M57" s="9">
        <f>sales[[#This Row],[Total Price]]*3%</f>
        <v>17.939999999999998</v>
      </c>
      <c r="N57" s="171">
        <f>sales[[#This Row],[Total Price]]*2.5%</f>
        <v>14.950000000000001</v>
      </c>
      <c r="O57" s="9">
        <f>sales[[#This Row],[Total Price]]*1.5%</f>
        <v>8.9699999999999989</v>
      </c>
      <c r="R57" s="5" t="str">
        <f>_xlfn.CONCAT(sales[[#This Row],[Shop]]," ",sales[[#This Row],[Location]])</f>
        <v>Kowloon Bay Fortress</v>
      </c>
    </row>
    <row r="58" spans="1:18" ht="16.5" customHeight="1">
      <c r="A58" s="7">
        <v>56</v>
      </c>
      <c r="B58" s="5" t="s">
        <v>976</v>
      </c>
      <c r="C58" s="2" t="s">
        <v>975</v>
      </c>
      <c r="D58" s="2" t="str">
        <f ca="1">OFFSET(Roster!$B$7, MATCH(B58&amp;" "&amp;C58&amp;"*",Roster!$B$8:$B$20,0),DAY(sales[[#This Row],[date]]),1, 1)</f>
        <v>Wah</v>
      </c>
      <c r="E58" s="2">
        <f>MONTH(sales[[#This Row],[date]])</f>
        <v>6</v>
      </c>
      <c r="F58" s="233">
        <v>46192</v>
      </c>
      <c r="G58" s="3" t="str">
        <f>VLOOKUP("*"&amp;sales[[#This Row],[Input]]&amp;"*",'Ref-List'!$A:$C,1,0)</f>
        <v>3733+3922</v>
      </c>
      <c r="H58" s="2" t="str">
        <f>VLOOKUP("*"&amp;G58&amp;"*",'Ref-List'!$A:$C,3,0)</f>
        <v>超濾龍頭式淨水器組合</v>
      </c>
      <c r="I58" s="2">
        <v>3922</v>
      </c>
      <c r="J58" s="2">
        <v>1</v>
      </c>
      <c r="K58" s="2">
        <v>598</v>
      </c>
      <c r="L58" s="2">
        <f>sales[[#This Row],[quantity]]*sales[[#This Row],[price]]</f>
        <v>598</v>
      </c>
      <c r="M58" s="9">
        <f>sales[[#This Row],[Total Price]]*3%</f>
        <v>17.939999999999998</v>
      </c>
      <c r="N58" s="171">
        <f>sales[[#This Row],[Total Price]]*2.5%</f>
        <v>14.950000000000001</v>
      </c>
      <c r="O58" s="9">
        <f>sales[[#This Row],[Total Price]]*1.5%</f>
        <v>8.9699999999999989</v>
      </c>
      <c r="R58" s="5" t="str">
        <f>_xlfn.CONCAT(sales[[#This Row],[Shop]]," ",sales[[#This Row],[Location]])</f>
        <v>Kowloon Bay Fortress</v>
      </c>
    </row>
    <row r="59" spans="1:18" ht="16.5" customHeight="1">
      <c r="A59" s="7">
        <v>57</v>
      </c>
      <c r="B59" s="5" t="s">
        <v>976</v>
      </c>
      <c r="C59" s="2" t="s">
        <v>975</v>
      </c>
      <c r="D59" s="2" t="str">
        <f ca="1">OFFSET(Roster!$B$7, MATCH(B59&amp;" "&amp;C59&amp;"*",Roster!$B$8:$B$20,0),DAY(sales[[#This Row],[date]]),1, 1)</f>
        <v>Wah</v>
      </c>
      <c r="E59" s="2">
        <f>MONTH(sales[[#This Row],[date]])</f>
        <v>6</v>
      </c>
      <c r="F59" s="233">
        <v>46192</v>
      </c>
      <c r="G59" s="3" t="str">
        <f>VLOOKUP("*"&amp;sales[[#This Row],[Input]]&amp;"*",'Ref-List'!$A:$C,1,0)</f>
        <v>6901+541</v>
      </c>
      <c r="H59" s="2" t="str">
        <f>VLOOKUP("*"&amp;G59&amp;"*",'Ref-List'!$A:$C,3,0)</f>
        <v>RO純淨飲水機 + 濾芯</v>
      </c>
      <c r="I59" s="2">
        <v>541</v>
      </c>
      <c r="J59" s="2">
        <v>1</v>
      </c>
      <c r="K59" s="2">
        <v>628</v>
      </c>
      <c r="L59" s="2">
        <f>sales[[#This Row],[quantity]]*sales[[#This Row],[price]]</f>
        <v>628</v>
      </c>
      <c r="M59" s="9">
        <f>sales[[#This Row],[Total Price]]*3%</f>
        <v>18.84</v>
      </c>
      <c r="N59" s="171">
        <f>sales[[#This Row],[Total Price]]*2.5%</f>
        <v>15.700000000000001</v>
      </c>
      <c r="O59" s="9">
        <f>sales[[#This Row],[Total Price]]*1.5%</f>
        <v>9.42</v>
      </c>
      <c r="R59" s="5" t="str">
        <f>_xlfn.CONCAT(sales[[#This Row],[Shop]]," ",sales[[#This Row],[Location]])</f>
        <v>Kowloon Bay Fortress</v>
      </c>
    </row>
    <row r="60" spans="1:18" ht="16.5" customHeight="1">
      <c r="A60" s="7">
        <v>58</v>
      </c>
      <c r="B60" s="5" t="s">
        <v>976</v>
      </c>
      <c r="C60" s="2" t="s">
        <v>975</v>
      </c>
      <c r="D60" s="2" t="str">
        <f ca="1">OFFSET(Roster!$B$7, MATCH(B60&amp;" "&amp;C60&amp;"*",Roster!$B$8:$B$20,0),DAY(sales[[#This Row],[date]]),1, 1)</f>
        <v>Wah</v>
      </c>
      <c r="E60" s="2">
        <f>MONTH(sales[[#This Row],[date]])</f>
        <v>6</v>
      </c>
      <c r="F60" s="233">
        <v>46192</v>
      </c>
      <c r="G60" s="3" t="str">
        <f>VLOOKUP("*"&amp;sales[[#This Row],[Input]]&amp;"*",'Ref-List'!$A:$C,1,0)</f>
        <v>6901+541</v>
      </c>
      <c r="H60" s="2" t="str">
        <f>VLOOKUP("*"&amp;G60&amp;"*",'Ref-List'!$A:$C,3,0)</f>
        <v>RO純淨飲水機 + 濾芯</v>
      </c>
      <c r="I60" s="2">
        <v>541</v>
      </c>
      <c r="J60" s="2">
        <v>1</v>
      </c>
      <c r="K60" s="2">
        <v>628</v>
      </c>
      <c r="L60" s="2">
        <f>sales[[#This Row],[quantity]]*sales[[#This Row],[price]]</f>
        <v>628</v>
      </c>
      <c r="M60" s="9">
        <f>sales[[#This Row],[Total Price]]*3%</f>
        <v>18.84</v>
      </c>
      <c r="N60" s="171">
        <f>sales[[#This Row],[Total Price]]*2.5%</f>
        <v>15.700000000000001</v>
      </c>
      <c r="O60" s="9">
        <f>sales[[#This Row],[Total Price]]*1.5%</f>
        <v>9.42</v>
      </c>
      <c r="R60" s="5" t="str">
        <f>_xlfn.CONCAT(sales[[#This Row],[Shop]]," ",sales[[#This Row],[Location]])</f>
        <v>Kowloon Bay Fortress</v>
      </c>
    </row>
    <row r="61" spans="1:18" ht="16.5" customHeight="1">
      <c r="A61" s="7">
        <v>59</v>
      </c>
      <c r="B61" s="5" t="s">
        <v>976</v>
      </c>
      <c r="C61" s="2" t="s">
        <v>975</v>
      </c>
      <c r="D61" s="2" t="str">
        <f ca="1">OFFSET(Roster!$B$7, MATCH(B61&amp;" "&amp;C61&amp;"*",Roster!$B$8:$B$20,0),DAY(sales[[#This Row],[date]]),1, 1)</f>
        <v>Wah</v>
      </c>
      <c r="E61" s="2">
        <f>MONTH(sales[[#This Row],[date]])</f>
        <v>6</v>
      </c>
      <c r="F61" s="233">
        <v>46192</v>
      </c>
      <c r="G61" s="3" t="str">
        <f>VLOOKUP("*"&amp;sales[[#This Row],[Input]]&amp;"*",'Ref-List'!$A:$C,1,0)</f>
        <v>6901+541</v>
      </c>
      <c r="H61" s="2" t="str">
        <f>VLOOKUP("*"&amp;G61&amp;"*",'Ref-List'!$A:$C,3,0)</f>
        <v>RO純淨飲水機 + 濾芯</v>
      </c>
      <c r="I61" s="2">
        <v>6901</v>
      </c>
      <c r="J61" s="2">
        <v>1</v>
      </c>
      <c r="K61" s="2">
        <v>1899</v>
      </c>
      <c r="L61" s="2">
        <f>sales[[#This Row],[quantity]]*sales[[#This Row],[price]]</f>
        <v>1899</v>
      </c>
      <c r="M61" s="9">
        <f>sales[[#This Row],[Total Price]]*3%</f>
        <v>56.97</v>
      </c>
      <c r="N61" s="171">
        <f>sales[[#This Row],[Total Price]]*2.5%</f>
        <v>47.475000000000001</v>
      </c>
      <c r="O61" s="9">
        <f>sales[[#This Row],[Total Price]]*1.5%</f>
        <v>28.484999999999999</v>
      </c>
      <c r="R61" s="5" t="str">
        <f>_xlfn.CONCAT(sales[[#This Row],[Shop]]," ",sales[[#This Row],[Location]])</f>
        <v>Kowloon Bay Fortress</v>
      </c>
    </row>
    <row r="62" spans="1:18" ht="16.5" customHeight="1">
      <c r="A62" s="7">
        <v>60</v>
      </c>
      <c r="B62" s="5" t="s">
        <v>976</v>
      </c>
      <c r="C62" s="2" t="s">
        <v>975</v>
      </c>
      <c r="D62" s="2" t="str">
        <f ca="1">OFFSET(Roster!$B$7, MATCH(B62&amp;" "&amp;C62&amp;"*",Roster!$B$8:$B$20,0),DAY(sales[[#This Row],[date]]),1, 1)</f>
        <v>Wah</v>
      </c>
      <c r="E62" s="2">
        <f>MONTH(sales[[#This Row],[date]])</f>
        <v>6</v>
      </c>
      <c r="F62" s="233">
        <v>46192</v>
      </c>
      <c r="G62" s="3" t="str">
        <f>VLOOKUP("*"&amp;sales[[#This Row],[Input]]&amp;"*",'Ref-List'!$A:$C,1,0)</f>
        <v>6901+541</v>
      </c>
      <c r="H62" s="2" t="str">
        <f>VLOOKUP("*"&amp;G62&amp;"*",'Ref-List'!$A:$C,3,0)</f>
        <v>RO純淨飲水機 + 濾芯</v>
      </c>
      <c r="I62" s="2">
        <v>6901</v>
      </c>
      <c r="J62" s="2">
        <v>1</v>
      </c>
      <c r="K62" s="2">
        <v>1898</v>
      </c>
      <c r="L62" s="2">
        <f>sales[[#This Row],[quantity]]*sales[[#This Row],[price]]</f>
        <v>1898</v>
      </c>
      <c r="M62" s="9">
        <f>sales[[#This Row],[Total Price]]*3%</f>
        <v>56.94</v>
      </c>
      <c r="N62" s="171">
        <f>sales[[#This Row],[Total Price]]*2.5%</f>
        <v>47.45</v>
      </c>
      <c r="O62" s="9">
        <f>sales[[#This Row],[Total Price]]*1.5%</f>
        <v>28.47</v>
      </c>
      <c r="R62" s="5" t="str">
        <f>_xlfn.CONCAT(sales[[#This Row],[Shop]]," ",sales[[#This Row],[Location]])</f>
        <v>Kowloon Bay Fortress</v>
      </c>
    </row>
    <row r="63" spans="1:18" ht="16.5" customHeight="1">
      <c r="A63" s="7">
        <v>61</v>
      </c>
      <c r="B63" s="5" t="s">
        <v>976</v>
      </c>
      <c r="C63" s="2" t="s">
        <v>975</v>
      </c>
      <c r="D63" s="2" t="str">
        <f ca="1">OFFSET(Roster!$B$7, MATCH(B63&amp;" "&amp;C63&amp;"*",Roster!$B$8:$B$20,0),DAY(sales[[#This Row],[date]]),1, 1)</f>
        <v>Wah</v>
      </c>
      <c r="E63" s="2">
        <f>MONTH(sales[[#This Row],[date]])</f>
        <v>6</v>
      </c>
      <c r="F63" s="233">
        <v>46192</v>
      </c>
      <c r="G63" s="3" t="e">
        <f>VLOOKUP("*"&amp;sales[[#This Row],[Input]]&amp;"*",'Ref-List'!$A:$C,1,0)</f>
        <v>#N/A</v>
      </c>
      <c r="H63" s="2" t="e">
        <f>VLOOKUP("*"&amp;G63&amp;"*",'Ref-List'!$A:$C,3,0)</f>
        <v>#N/A</v>
      </c>
      <c r="I63" s="2">
        <v>6921</v>
      </c>
      <c r="J63" s="2">
        <v>1</v>
      </c>
      <c r="K63" s="2">
        <v>3988</v>
      </c>
      <c r="L63" s="2">
        <f>sales[[#This Row],[quantity]]*sales[[#This Row],[price]]</f>
        <v>3988</v>
      </c>
      <c r="M63" s="9">
        <f>sales[[#This Row],[Total Price]]*3%</f>
        <v>119.64</v>
      </c>
      <c r="N63" s="171">
        <f>sales[[#This Row],[Total Price]]*2.5%</f>
        <v>99.7</v>
      </c>
      <c r="O63" s="9">
        <f>sales[[#This Row],[Total Price]]*1.5%</f>
        <v>59.82</v>
      </c>
      <c r="R63" s="5" t="str">
        <f>_xlfn.CONCAT(sales[[#This Row],[Shop]]," ",sales[[#This Row],[Location]])</f>
        <v>Kowloon Bay Fortress</v>
      </c>
    </row>
    <row r="64" spans="1:18" ht="16.5" customHeight="1">
      <c r="A64" s="7">
        <v>62</v>
      </c>
      <c r="B64" s="5" t="s">
        <v>976</v>
      </c>
      <c r="C64" s="2" t="s">
        <v>975</v>
      </c>
      <c r="D64" s="2" t="str">
        <f ca="1">OFFSET(Roster!$B$7, MATCH(B64&amp;" "&amp;C64&amp;"*",Roster!$B$8:$B$20,0),DAY(sales[[#This Row],[date]]),1, 1)</f>
        <v>Wah</v>
      </c>
      <c r="E64" s="2">
        <f>MONTH(sales[[#This Row],[date]])</f>
        <v>6</v>
      </c>
      <c r="F64" s="233">
        <v>46192</v>
      </c>
      <c r="G64" s="3" t="str">
        <f>VLOOKUP("*"&amp;sales[[#This Row],[Input]]&amp;"*",'Ref-List'!$A:$C,1,0)</f>
        <v>6901+541</v>
      </c>
      <c r="H64" s="2" t="str">
        <f>VLOOKUP("*"&amp;G64&amp;"*",'Ref-List'!$A:$C,3,0)</f>
        <v>RO純淨飲水機 + 濾芯</v>
      </c>
      <c r="I64" s="2">
        <v>541</v>
      </c>
      <c r="J64" s="2">
        <v>1</v>
      </c>
      <c r="K64" s="2">
        <v>628</v>
      </c>
      <c r="L64" s="2">
        <f>sales[[#This Row],[quantity]]*sales[[#This Row],[price]]</f>
        <v>628</v>
      </c>
      <c r="M64" s="9">
        <f>sales[[#This Row],[Total Price]]*3%</f>
        <v>18.84</v>
      </c>
      <c r="N64" s="171">
        <f>sales[[#This Row],[Total Price]]*2.5%</f>
        <v>15.700000000000001</v>
      </c>
      <c r="O64" s="9">
        <f>sales[[#This Row],[Total Price]]*1.5%</f>
        <v>9.42</v>
      </c>
      <c r="R64" s="5" t="str">
        <f>_xlfn.CONCAT(sales[[#This Row],[Shop]]," ",sales[[#This Row],[Location]])</f>
        <v>Kowloon Bay Fortress</v>
      </c>
    </row>
    <row r="65" spans="1:18" ht="16.5" customHeight="1">
      <c r="A65" s="7">
        <v>63</v>
      </c>
      <c r="B65" s="5" t="s">
        <v>976</v>
      </c>
      <c r="C65" s="2" t="s">
        <v>975</v>
      </c>
      <c r="D65" s="2" t="str">
        <f ca="1">OFFSET(Roster!$B$7, MATCH(B65&amp;" "&amp;C65&amp;"*",Roster!$B$8:$B$20,0),DAY(sales[[#This Row],[date]]),1, 1)</f>
        <v>Wah</v>
      </c>
      <c r="E65" s="2">
        <f>MONTH(sales[[#This Row],[date]])</f>
        <v>6</v>
      </c>
      <c r="F65" s="233">
        <v>46192</v>
      </c>
      <c r="G65" s="3" t="str">
        <f>VLOOKUP("*"&amp;sales[[#This Row],[Input]]&amp;"*",'Ref-List'!$A:$C,1,0)</f>
        <v>6910+550</v>
      </c>
      <c r="H65" s="2" t="str">
        <f>VLOOKUP("*"&amp;G65&amp;"*",'Ref-List'!$A:$C,3,0)</f>
        <v>冷熱飲水機 + 濾心</v>
      </c>
      <c r="I65" s="2">
        <v>550</v>
      </c>
      <c r="J65" s="2">
        <v>1</v>
      </c>
      <c r="K65" s="2">
        <v>598</v>
      </c>
      <c r="L65" s="2">
        <f>sales[[#This Row],[quantity]]*sales[[#This Row],[price]]</f>
        <v>598</v>
      </c>
      <c r="M65" s="9">
        <f>sales[[#This Row],[Total Price]]*3%</f>
        <v>17.939999999999998</v>
      </c>
      <c r="N65" s="171">
        <f>sales[[#This Row],[Total Price]]*2.5%</f>
        <v>14.950000000000001</v>
      </c>
      <c r="O65" s="9">
        <f>sales[[#This Row],[Total Price]]*1.5%</f>
        <v>8.9699999999999989</v>
      </c>
      <c r="R65" s="5" t="str">
        <f>_xlfn.CONCAT(sales[[#This Row],[Shop]]," ",sales[[#This Row],[Location]])</f>
        <v>Kowloon Bay Fortress</v>
      </c>
    </row>
    <row r="66" spans="1:18" ht="16.5" customHeight="1">
      <c r="A66" s="7">
        <v>64</v>
      </c>
      <c r="B66" s="5" t="s">
        <v>976</v>
      </c>
      <c r="C66" s="2" t="s">
        <v>975</v>
      </c>
      <c r="D66" s="2" t="str">
        <f ca="1">OFFSET(Roster!$B$7, MATCH(B66&amp;" "&amp;C66&amp;"*",Roster!$B$8:$B$20,0),DAY(sales[[#This Row],[date]]),1, 1)</f>
        <v>Wah</v>
      </c>
      <c r="E66" s="2">
        <f>MONTH(sales[[#This Row],[date]])</f>
        <v>6</v>
      </c>
      <c r="F66" s="233">
        <v>46192</v>
      </c>
      <c r="G66" s="3" t="str">
        <f>VLOOKUP("*"&amp;sales[[#This Row],[Input]]&amp;"*",'Ref-List'!$A:$C,1,0)</f>
        <v>6901+541</v>
      </c>
      <c r="H66" s="2" t="str">
        <f>VLOOKUP("*"&amp;G66&amp;"*",'Ref-List'!$A:$C,3,0)</f>
        <v>RO純淨飲水機 + 濾芯</v>
      </c>
      <c r="I66" s="2">
        <v>541</v>
      </c>
      <c r="J66" s="2">
        <v>1</v>
      </c>
      <c r="K66" s="2">
        <v>628</v>
      </c>
      <c r="L66" s="2">
        <f>sales[[#This Row],[quantity]]*sales[[#This Row],[price]]</f>
        <v>628</v>
      </c>
      <c r="M66" s="9">
        <f>sales[[#This Row],[Total Price]]*3%</f>
        <v>18.84</v>
      </c>
      <c r="N66" s="171">
        <f>sales[[#This Row],[Total Price]]*2.5%</f>
        <v>15.700000000000001</v>
      </c>
      <c r="O66" s="9">
        <f>sales[[#This Row],[Total Price]]*1.5%</f>
        <v>9.42</v>
      </c>
      <c r="R66" s="5" t="str">
        <f>_xlfn.CONCAT(sales[[#This Row],[Shop]]," ",sales[[#This Row],[Location]])</f>
        <v>Kowloon Bay Fortress</v>
      </c>
    </row>
    <row r="67" spans="1:18" ht="16.5" customHeight="1">
      <c r="A67" s="7">
        <v>65</v>
      </c>
      <c r="B67" s="5" t="s">
        <v>976</v>
      </c>
      <c r="C67" s="2" t="s">
        <v>975</v>
      </c>
      <c r="D67" s="2" t="str">
        <f ca="1">OFFSET(Roster!$B$7, MATCH(B67&amp;" "&amp;C67&amp;"*",Roster!$B$8:$B$20,0),DAY(sales[[#This Row],[date]]),1, 1)</f>
        <v>Wah</v>
      </c>
      <c r="E67" s="2">
        <f>MONTH(sales[[#This Row],[date]])</f>
        <v>6</v>
      </c>
      <c r="F67" s="233">
        <v>46193</v>
      </c>
      <c r="G67" s="3" t="str">
        <f>VLOOKUP("*"&amp;sales[[#This Row],[Input]]&amp;"*",'Ref-List'!$A:$C,1,0)</f>
        <v>3733+3922</v>
      </c>
      <c r="H67" s="2" t="str">
        <f>VLOOKUP("*"&amp;G67&amp;"*",'Ref-List'!$A:$C,3,0)</f>
        <v>超濾龍頭式淨水器組合</v>
      </c>
      <c r="I67" s="2">
        <v>3922</v>
      </c>
      <c r="J67" s="2">
        <v>1</v>
      </c>
      <c r="K67" s="2">
        <v>598</v>
      </c>
      <c r="L67" s="2">
        <f>sales[[#This Row],[quantity]]*sales[[#This Row],[price]]</f>
        <v>598</v>
      </c>
      <c r="M67" s="9">
        <f>sales[[#This Row],[Total Price]]*3%</f>
        <v>17.939999999999998</v>
      </c>
      <c r="N67" s="171">
        <f>sales[[#This Row],[Total Price]]*2.5%</f>
        <v>14.950000000000001</v>
      </c>
      <c r="O67" s="9">
        <f>sales[[#This Row],[Total Price]]*1.5%</f>
        <v>8.9699999999999989</v>
      </c>
      <c r="R67" s="5" t="str">
        <f>_xlfn.CONCAT(sales[[#This Row],[Shop]]," ",sales[[#This Row],[Location]])</f>
        <v>Kowloon Bay Fortress</v>
      </c>
    </row>
    <row r="68" spans="1:18" ht="16.5" customHeight="1">
      <c r="A68" s="7">
        <v>66</v>
      </c>
      <c r="B68" s="5" t="s">
        <v>976</v>
      </c>
      <c r="C68" s="2" t="s">
        <v>975</v>
      </c>
      <c r="D68" s="2" t="str">
        <f ca="1">OFFSET(Roster!$B$7, MATCH(B68&amp;" "&amp;C68&amp;"*",Roster!$B$8:$B$20,0),DAY(sales[[#This Row],[date]]),1, 1)</f>
        <v>Wah</v>
      </c>
      <c r="E68" s="2">
        <f>MONTH(sales[[#This Row],[date]])</f>
        <v>6</v>
      </c>
      <c r="F68" s="233">
        <v>46193</v>
      </c>
      <c r="G68" s="3" t="str">
        <f>VLOOKUP("*"&amp;sales[[#This Row],[Input]]&amp;"*",'Ref-List'!$A:$C,1,0)</f>
        <v>6920WH</v>
      </c>
      <c r="H68" s="2" t="str">
        <f>VLOOKUP("*"&amp;G68&amp;"*",'Ref-List'!$A:$C,3,0)</f>
        <v>升級製冰版</v>
      </c>
      <c r="I68" s="2">
        <v>6920</v>
      </c>
      <c r="J68" s="2">
        <v>1</v>
      </c>
      <c r="K68" s="2">
        <v>3688</v>
      </c>
      <c r="L68" s="2">
        <f>sales[[#This Row],[quantity]]*sales[[#This Row],[price]]</f>
        <v>3688</v>
      </c>
      <c r="M68" s="9">
        <f>sales[[#This Row],[Total Price]]*3%</f>
        <v>110.64</v>
      </c>
      <c r="N68" s="171">
        <f>sales[[#This Row],[Total Price]]*2.5%</f>
        <v>92.2</v>
      </c>
      <c r="O68" s="9">
        <f>sales[[#This Row],[Total Price]]*1.5%</f>
        <v>55.32</v>
      </c>
      <c r="R68" s="5" t="str">
        <f>_xlfn.CONCAT(sales[[#This Row],[Shop]]," ",sales[[#This Row],[Location]])</f>
        <v>Kowloon Bay Fortress</v>
      </c>
    </row>
    <row r="69" spans="1:18" ht="16.5" customHeight="1">
      <c r="A69" s="7">
        <v>67</v>
      </c>
      <c r="B69" s="5" t="s">
        <v>976</v>
      </c>
      <c r="C69" s="2" t="s">
        <v>975</v>
      </c>
      <c r="D69" s="2" t="str">
        <f ca="1">OFFSET(Roster!$B$7, MATCH(B69&amp;" "&amp;C69&amp;"*",Roster!$B$8:$B$20,0),DAY(sales[[#This Row],[date]]),1, 1)</f>
        <v>Wah</v>
      </c>
      <c r="E69" s="2">
        <f>MONTH(sales[[#This Row],[date]])</f>
        <v>6</v>
      </c>
      <c r="F69" s="233">
        <v>46193</v>
      </c>
      <c r="G69" s="3" t="e">
        <f>VLOOKUP("*"&amp;sales[[#This Row],[Input]]&amp;"*",'Ref-List'!$A:$C,1,0)</f>
        <v>#N/A</v>
      </c>
      <c r="H69" s="2" t="e">
        <f>VLOOKUP("*"&amp;G69&amp;"*",'Ref-List'!$A:$C,3,0)</f>
        <v>#N/A</v>
      </c>
      <c r="I69" s="2">
        <v>6921</v>
      </c>
      <c r="J69" s="2">
        <v>1</v>
      </c>
      <c r="K69" s="2">
        <v>3988</v>
      </c>
      <c r="L69" s="2">
        <f>sales[[#This Row],[quantity]]*sales[[#This Row],[price]]</f>
        <v>3988</v>
      </c>
      <c r="M69" s="9">
        <f>sales[[#This Row],[Total Price]]*3%</f>
        <v>119.64</v>
      </c>
      <c r="N69" s="171">
        <f>sales[[#This Row],[Total Price]]*2.5%</f>
        <v>99.7</v>
      </c>
      <c r="O69" s="9">
        <f>sales[[#This Row],[Total Price]]*1.5%</f>
        <v>59.82</v>
      </c>
      <c r="R69" s="5" t="str">
        <f>_xlfn.CONCAT(sales[[#This Row],[Shop]]," ",sales[[#This Row],[Location]])</f>
        <v>Kowloon Bay Fortress</v>
      </c>
    </row>
    <row r="70" spans="1:18" ht="16.5" customHeight="1">
      <c r="A70" s="7">
        <v>68</v>
      </c>
      <c r="B70" s="5" t="s">
        <v>976</v>
      </c>
      <c r="C70" s="2" t="s">
        <v>975</v>
      </c>
      <c r="D70" s="2" t="str">
        <f ca="1">OFFSET(Roster!$B$7, MATCH(B70&amp;" "&amp;C70&amp;"*",Roster!$B$8:$B$20,0),DAY(sales[[#This Row],[date]]),1, 1)</f>
        <v>Wah</v>
      </c>
      <c r="E70" s="2">
        <f>MONTH(sales[[#This Row],[date]])</f>
        <v>6</v>
      </c>
      <c r="F70" s="233">
        <v>46193</v>
      </c>
      <c r="G70" s="3" t="str">
        <f>VLOOKUP("*"&amp;sales[[#This Row],[Input]]&amp;"*",'Ref-List'!$A:$C,1,0)</f>
        <v>A3983</v>
      </c>
      <c r="H70" s="2" t="str">
        <f>VLOOKUP("*"&amp;G70&amp;"*",'Ref-List'!$A:$C,3,0)</f>
        <v>超濾複合濾水芯</v>
      </c>
      <c r="I70" s="2">
        <v>3983</v>
      </c>
      <c r="J70" s="2">
        <v>1</v>
      </c>
      <c r="K70" s="2">
        <v>898</v>
      </c>
      <c r="L70" s="2">
        <f>sales[[#This Row],[quantity]]*sales[[#This Row],[price]]</f>
        <v>898</v>
      </c>
      <c r="M70" s="9">
        <f>sales[[#This Row],[Total Price]]*3%</f>
        <v>26.939999999999998</v>
      </c>
      <c r="N70" s="171">
        <f>sales[[#This Row],[Total Price]]*2.5%</f>
        <v>22.450000000000003</v>
      </c>
      <c r="O70" s="9">
        <f>sales[[#This Row],[Total Price]]*1.5%</f>
        <v>13.469999999999999</v>
      </c>
      <c r="R70" s="5" t="str">
        <f>_xlfn.CONCAT(sales[[#This Row],[Shop]]," ",sales[[#This Row],[Location]])</f>
        <v>Kowloon Bay Fortress</v>
      </c>
    </row>
    <row r="71" spans="1:18" ht="16.5" customHeight="1">
      <c r="A71" s="7">
        <v>69</v>
      </c>
      <c r="B71" s="5" t="s">
        <v>976</v>
      </c>
      <c r="C71" s="2" t="s">
        <v>975</v>
      </c>
      <c r="D71" s="2" t="str">
        <f ca="1">OFFSET(Roster!$B$7, MATCH(B71&amp;" "&amp;C71&amp;"*",Roster!$B$8:$B$20,0),DAY(sales[[#This Row],[date]]),1, 1)</f>
        <v>Wah</v>
      </c>
      <c r="E71" s="2">
        <f>MONTH(sales[[#This Row],[date]])</f>
        <v>6</v>
      </c>
      <c r="F71" s="233">
        <v>46193</v>
      </c>
      <c r="G71" s="3" t="str">
        <f>VLOOKUP("*"&amp;sales[[#This Row],[Input]]&amp;"*",'Ref-List'!$A:$C,1,0)</f>
        <v>3811+3911</v>
      </c>
      <c r="H71" s="2" t="str">
        <f>VLOOKUP("*"&amp;G71&amp;"*",'Ref-List'!$A:$C,3,0)</f>
        <v>超濾淨水器 + 濾芯套裝</v>
      </c>
      <c r="I71" s="2">
        <v>3911</v>
      </c>
      <c r="J71" s="2">
        <v>1</v>
      </c>
      <c r="K71" s="2">
        <v>488</v>
      </c>
      <c r="L71" s="2">
        <f>sales[[#This Row],[quantity]]*sales[[#This Row],[price]]</f>
        <v>488</v>
      </c>
      <c r="M71" s="9">
        <f>sales[[#This Row],[Total Price]]*3%</f>
        <v>14.639999999999999</v>
      </c>
      <c r="N71" s="171">
        <f>sales[[#This Row],[Total Price]]*2.5%</f>
        <v>12.200000000000001</v>
      </c>
      <c r="O71" s="9">
        <f>sales[[#This Row],[Total Price]]*1.5%</f>
        <v>7.3199999999999994</v>
      </c>
      <c r="R71" s="5" t="str">
        <f>_xlfn.CONCAT(sales[[#This Row],[Shop]]," ",sales[[#This Row],[Location]])</f>
        <v>Kowloon Bay Fortress</v>
      </c>
    </row>
    <row r="72" spans="1:18" ht="16.5" customHeight="1">
      <c r="A72" s="7">
        <v>70</v>
      </c>
      <c r="B72" s="5" t="s">
        <v>976</v>
      </c>
      <c r="C72" s="2" t="s">
        <v>975</v>
      </c>
      <c r="D72" s="2" t="str">
        <f ca="1">OFFSET(Roster!$B$7, MATCH(B72&amp;" "&amp;C72&amp;"*",Roster!$B$8:$B$20,0),DAY(sales[[#This Row],[date]]),1, 1)</f>
        <v>Wah</v>
      </c>
      <c r="E72" s="2">
        <f>MONTH(sales[[#This Row],[date]])</f>
        <v>6</v>
      </c>
      <c r="F72" s="233">
        <v>46193</v>
      </c>
      <c r="G72" s="3" t="str">
        <f>VLOOKUP("*"&amp;sales[[#This Row],[Input]]&amp;"*",'Ref-List'!$A:$C,1,0)</f>
        <v>3733+3922</v>
      </c>
      <c r="H72" s="2" t="str">
        <f>VLOOKUP("*"&amp;G72&amp;"*",'Ref-List'!$A:$C,3,0)</f>
        <v>超濾龍頭式淨水器組合</v>
      </c>
      <c r="I72" s="2">
        <v>3922</v>
      </c>
      <c r="J72" s="2">
        <v>1</v>
      </c>
      <c r="K72" s="2">
        <v>338</v>
      </c>
      <c r="L72" s="2">
        <f>sales[[#This Row],[quantity]]*sales[[#This Row],[price]]</f>
        <v>338</v>
      </c>
      <c r="M72" s="9">
        <f>sales[[#This Row],[Total Price]]*3%</f>
        <v>10.139999999999999</v>
      </c>
      <c r="N72" s="171">
        <f>sales[[#This Row],[Total Price]]*2.5%</f>
        <v>8.4500000000000011</v>
      </c>
      <c r="O72" s="9">
        <f>sales[[#This Row],[Total Price]]*1.5%</f>
        <v>5.0699999999999994</v>
      </c>
      <c r="R72" s="5" t="str">
        <f>_xlfn.CONCAT(sales[[#This Row],[Shop]]," ",sales[[#This Row],[Location]])</f>
        <v>Kowloon Bay Fortress</v>
      </c>
    </row>
    <row r="73" spans="1:18" ht="16.5" customHeight="1">
      <c r="A73" s="7">
        <v>71</v>
      </c>
      <c r="B73" s="5" t="s">
        <v>976</v>
      </c>
      <c r="C73" s="2" t="s">
        <v>975</v>
      </c>
      <c r="D73" s="2" t="str">
        <f ca="1">OFFSET(Roster!$B$7, MATCH(B73&amp;" "&amp;C73&amp;"*",Roster!$B$8:$B$20,0),DAY(sales[[#This Row],[date]]),1, 1)</f>
        <v>Wah</v>
      </c>
      <c r="E73" s="2">
        <f>MONTH(sales[[#This Row],[date]])</f>
        <v>6</v>
      </c>
      <c r="F73" s="233">
        <v>46193</v>
      </c>
      <c r="G73" s="3" t="str">
        <f>VLOOKUP("*"&amp;sales[[#This Row],[Input]]&amp;"*",'Ref-List'!$A:$C,1,0)</f>
        <v>3811+3911</v>
      </c>
      <c r="H73" s="2" t="str">
        <f>VLOOKUP("*"&amp;G73&amp;"*",'Ref-List'!$A:$C,3,0)</f>
        <v>超濾淨水器 + 濾芯套裝</v>
      </c>
      <c r="I73" s="5" t="s">
        <v>981</v>
      </c>
      <c r="J73" s="2">
        <v>1</v>
      </c>
      <c r="K73" s="2">
        <v>528</v>
      </c>
      <c r="L73" s="2">
        <f>sales[[#This Row],[quantity]]*sales[[#This Row],[price]]</f>
        <v>528</v>
      </c>
      <c r="M73" s="9">
        <f>sales[[#This Row],[Total Price]]*3%</f>
        <v>15.84</v>
      </c>
      <c r="N73" s="171">
        <f>sales[[#This Row],[Total Price]]*2.5%</f>
        <v>13.200000000000001</v>
      </c>
      <c r="O73" s="9">
        <f>sales[[#This Row],[Total Price]]*1.5%</f>
        <v>7.92</v>
      </c>
      <c r="R73" s="5" t="str">
        <f>_xlfn.CONCAT(sales[[#This Row],[Shop]]," ",sales[[#This Row],[Location]])</f>
        <v>Kowloon Bay Fortress</v>
      </c>
    </row>
    <row r="74" spans="1:18" ht="16.5" customHeight="1">
      <c r="A74" s="7">
        <v>72</v>
      </c>
      <c r="B74" s="5" t="s">
        <v>976</v>
      </c>
      <c r="C74" s="2" t="s">
        <v>975</v>
      </c>
      <c r="D74" s="2" t="str">
        <f ca="1">OFFSET(Roster!$B$7, MATCH(B74&amp;" "&amp;C74&amp;"*",Roster!$B$8:$B$20,0),DAY(sales[[#This Row],[date]]),1, 1)</f>
        <v>Wah</v>
      </c>
      <c r="E74" s="2">
        <f>MONTH(sales[[#This Row],[date]])</f>
        <v>6</v>
      </c>
      <c r="F74" s="233">
        <v>46193</v>
      </c>
      <c r="G74" s="3" t="str">
        <f>VLOOKUP("*"&amp;sales[[#This Row],[Input]]&amp;"*",'Ref-List'!$A:$C,1,0)</f>
        <v>3733+3922</v>
      </c>
      <c r="H74" s="2" t="str">
        <f>VLOOKUP("*"&amp;G74&amp;"*",'Ref-List'!$A:$C,3,0)</f>
        <v>超濾龍頭式淨水器組合</v>
      </c>
      <c r="I74" s="2">
        <v>3922</v>
      </c>
      <c r="J74" s="2">
        <v>1</v>
      </c>
      <c r="K74" s="2">
        <v>598</v>
      </c>
      <c r="L74" s="2">
        <f>sales[[#This Row],[quantity]]*sales[[#This Row],[price]]</f>
        <v>598</v>
      </c>
      <c r="M74" s="9">
        <f>sales[[#This Row],[Total Price]]*3%</f>
        <v>17.939999999999998</v>
      </c>
      <c r="N74" s="171">
        <f>sales[[#This Row],[Total Price]]*2.5%</f>
        <v>14.950000000000001</v>
      </c>
      <c r="O74" s="9">
        <f>sales[[#This Row],[Total Price]]*1.5%</f>
        <v>8.9699999999999989</v>
      </c>
      <c r="R74" s="5" t="str">
        <f>_xlfn.CONCAT(sales[[#This Row],[Shop]]," ",sales[[#This Row],[Location]])</f>
        <v>Kowloon Bay Fortress</v>
      </c>
    </row>
    <row r="75" spans="1:18" ht="16.5" customHeight="1">
      <c r="A75" s="7">
        <v>73</v>
      </c>
      <c r="B75" s="5" t="s">
        <v>976</v>
      </c>
      <c r="C75" s="2" t="s">
        <v>975</v>
      </c>
      <c r="D75" s="2" t="str">
        <f ca="1">OFFSET(Roster!$B$7, MATCH(B75&amp;" "&amp;C75&amp;"*",Roster!$B$8:$B$20,0),DAY(sales[[#This Row],[date]]),1, 1)</f>
        <v>Wah</v>
      </c>
      <c r="E75" s="2">
        <f>MONTH(sales[[#This Row],[date]])</f>
        <v>6</v>
      </c>
      <c r="F75" s="233">
        <v>46194</v>
      </c>
      <c r="G75" s="3" t="str">
        <f>VLOOKUP("*"&amp;sales[[#This Row],[Input]]&amp;"*",'Ref-List'!$A:$C,1,0)</f>
        <v>6901+541</v>
      </c>
      <c r="H75" s="2" t="str">
        <f>VLOOKUP("*"&amp;G75&amp;"*",'Ref-List'!$A:$C,3,0)</f>
        <v>RO純淨飲水機 + 濾芯</v>
      </c>
      <c r="I75" s="2">
        <v>541</v>
      </c>
      <c r="J75" s="2">
        <v>1</v>
      </c>
      <c r="K75" s="2">
        <v>628</v>
      </c>
      <c r="L75" s="2">
        <f>sales[[#This Row],[quantity]]*sales[[#This Row],[price]]</f>
        <v>628</v>
      </c>
      <c r="M75" s="9">
        <f>sales[[#This Row],[Total Price]]*3%</f>
        <v>18.84</v>
      </c>
      <c r="N75" s="171">
        <f>sales[[#This Row],[Total Price]]*2.5%</f>
        <v>15.700000000000001</v>
      </c>
      <c r="O75" s="9">
        <f>sales[[#This Row],[Total Price]]*1.5%</f>
        <v>9.42</v>
      </c>
      <c r="R75" s="5" t="str">
        <f>_xlfn.CONCAT(sales[[#This Row],[Shop]]," ",sales[[#This Row],[Location]])</f>
        <v>Kowloon Bay Fortress</v>
      </c>
    </row>
    <row r="76" spans="1:18" ht="16.5" customHeight="1">
      <c r="A76" s="7">
        <v>74</v>
      </c>
      <c r="B76" s="5" t="s">
        <v>976</v>
      </c>
      <c r="C76" s="2" t="s">
        <v>975</v>
      </c>
      <c r="D76" s="2" t="str">
        <f ca="1">OFFSET(Roster!$B$7, MATCH(B76&amp;" "&amp;C76&amp;"*",Roster!$B$8:$B$20,0),DAY(sales[[#This Row],[date]]),1, 1)</f>
        <v>Wah</v>
      </c>
      <c r="E76" s="2">
        <f>MONTH(sales[[#This Row],[date]])</f>
        <v>6</v>
      </c>
      <c r="F76" s="233">
        <v>46194</v>
      </c>
      <c r="G76" s="3" t="e">
        <f>VLOOKUP("*"&amp;sales[[#This Row],[Input]]&amp;"*",'Ref-List'!$A:$C,1,0)</f>
        <v>#N/A</v>
      </c>
      <c r="H76" s="2" t="e">
        <f>VLOOKUP("*"&amp;G76&amp;"*",'Ref-List'!$A:$C,3,0)</f>
        <v>#N/A</v>
      </c>
      <c r="I76" s="2">
        <v>547</v>
      </c>
      <c r="J76" s="2">
        <v>1</v>
      </c>
      <c r="K76" s="2">
        <v>336</v>
      </c>
      <c r="L76" s="2">
        <f>sales[[#This Row],[quantity]]*sales[[#This Row],[price]]</f>
        <v>336</v>
      </c>
      <c r="M76" s="9">
        <f>sales[[#This Row],[Total Price]]*3%</f>
        <v>10.08</v>
      </c>
      <c r="N76" s="171">
        <f>sales[[#This Row],[Total Price]]*2.5%</f>
        <v>8.4</v>
      </c>
      <c r="O76" s="9">
        <f>sales[[#This Row],[Total Price]]*1.5%</f>
        <v>5.04</v>
      </c>
      <c r="R76" s="5" t="str">
        <f>_xlfn.CONCAT(sales[[#This Row],[Shop]]," ",sales[[#This Row],[Location]])</f>
        <v>Kowloon Bay Fortress</v>
      </c>
    </row>
    <row r="77" spans="1:18" ht="16.5" customHeight="1">
      <c r="A77" s="7">
        <v>75</v>
      </c>
      <c r="B77" s="5" t="s">
        <v>976</v>
      </c>
      <c r="C77" s="2" t="s">
        <v>975</v>
      </c>
      <c r="D77" s="2" t="str">
        <f ca="1">OFFSET(Roster!$B$7, MATCH(B77&amp;" "&amp;C77&amp;"*",Roster!$B$8:$B$20,0),DAY(sales[[#This Row],[date]]),1, 1)</f>
        <v>Wah</v>
      </c>
      <c r="E77" s="2">
        <f>MONTH(sales[[#This Row],[date]])</f>
        <v>6</v>
      </c>
      <c r="F77" s="233">
        <v>46194</v>
      </c>
      <c r="G77" s="3" t="str">
        <f>VLOOKUP("*"&amp;sales[[#This Row],[Input]]&amp;"*",'Ref-List'!$A:$C,1,0)</f>
        <v>3733+3922</v>
      </c>
      <c r="H77" s="2" t="str">
        <f>VLOOKUP("*"&amp;G77&amp;"*",'Ref-List'!$A:$C,3,0)</f>
        <v>超濾龍頭式淨水器組合</v>
      </c>
      <c r="I77" s="2">
        <v>3922</v>
      </c>
      <c r="J77" s="2">
        <v>1</v>
      </c>
      <c r="K77" s="2">
        <v>598</v>
      </c>
      <c r="L77" s="2">
        <f>sales[[#This Row],[quantity]]*sales[[#This Row],[price]]</f>
        <v>598</v>
      </c>
      <c r="M77" s="9">
        <f>sales[[#This Row],[Total Price]]*3%</f>
        <v>17.939999999999998</v>
      </c>
      <c r="N77" s="171">
        <f>sales[[#This Row],[Total Price]]*2.5%</f>
        <v>14.950000000000001</v>
      </c>
      <c r="O77" s="9">
        <f>sales[[#This Row],[Total Price]]*1.5%</f>
        <v>8.9699999999999989</v>
      </c>
      <c r="R77" s="5" t="str">
        <f>_xlfn.CONCAT(sales[[#This Row],[Shop]]," ",sales[[#This Row],[Location]])</f>
        <v>Kowloon Bay Fortress</v>
      </c>
    </row>
    <row r="78" spans="1:18" ht="16.5" customHeight="1">
      <c r="A78" s="7">
        <v>76</v>
      </c>
      <c r="B78" s="5" t="s">
        <v>976</v>
      </c>
      <c r="C78" s="2" t="s">
        <v>975</v>
      </c>
      <c r="D78" s="2" t="str">
        <f ca="1">OFFSET(Roster!$B$7, MATCH(B78&amp;" "&amp;C78&amp;"*",Roster!$B$8:$B$20,0),DAY(sales[[#This Row],[date]]),1, 1)</f>
        <v>Wah</v>
      </c>
      <c r="E78" s="2">
        <f>MONTH(sales[[#This Row],[date]])</f>
        <v>6</v>
      </c>
      <c r="F78" s="233">
        <v>46194</v>
      </c>
      <c r="G78" s="3" t="str">
        <f>VLOOKUP("*"&amp;sales[[#This Row],[Input]]&amp;"*",'Ref-List'!$A:$C,1,0)</f>
        <v>6901+541</v>
      </c>
      <c r="H78" s="2" t="str">
        <f>VLOOKUP("*"&amp;G78&amp;"*",'Ref-List'!$A:$C,3,0)</f>
        <v>RO純淨飲水機 + 濾芯</v>
      </c>
      <c r="I78" s="2">
        <v>541</v>
      </c>
      <c r="J78" s="2">
        <v>1</v>
      </c>
      <c r="K78" s="2">
        <v>628</v>
      </c>
      <c r="L78" s="2">
        <f>sales[[#This Row],[quantity]]*sales[[#This Row],[price]]</f>
        <v>628</v>
      </c>
      <c r="M78" s="9">
        <f>sales[[#This Row],[Total Price]]*3%</f>
        <v>18.84</v>
      </c>
      <c r="N78" s="171">
        <f>sales[[#This Row],[Total Price]]*2.5%</f>
        <v>15.700000000000001</v>
      </c>
      <c r="O78" s="9">
        <f>sales[[#This Row],[Total Price]]*1.5%</f>
        <v>9.42</v>
      </c>
      <c r="R78" s="5" t="str">
        <f>_xlfn.CONCAT(sales[[#This Row],[Shop]]," ",sales[[#This Row],[Location]])</f>
        <v>Kowloon Bay Fortress</v>
      </c>
    </row>
    <row r="79" spans="1:18" ht="16.5" customHeight="1">
      <c r="A79" s="7">
        <v>77</v>
      </c>
      <c r="B79" s="5" t="s">
        <v>976</v>
      </c>
      <c r="C79" s="2" t="s">
        <v>975</v>
      </c>
      <c r="D79" s="2" t="str">
        <f ca="1">OFFSET(Roster!$B$7, MATCH(B79&amp;" "&amp;C79&amp;"*",Roster!$B$8:$B$20,0),DAY(sales[[#This Row],[date]]),1, 1)</f>
        <v>Wah</v>
      </c>
      <c r="E79" s="2">
        <f>MONTH(sales[[#This Row],[date]])</f>
        <v>6</v>
      </c>
      <c r="F79" s="233">
        <v>46194</v>
      </c>
      <c r="G79" s="3" t="str">
        <f>VLOOKUP("*"&amp;sales[[#This Row],[Input]]&amp;"*",'Ref-List'!$A:$C,1,0)</f>
        <v>3733+3922</v>
      </c>
      <c r="H79" s="2" t="str">
        <f>VLOOKUP("*"&amp;G79&amp;"*",'Ref-List'!$A:$C,3,0)</f>
        <v>超濾龍頭式淨水器組合</v>
      </c>
      <c r="I79" s="2">
        <v>3922</v>
      </c>
      <c r="J79" s="2">
        <v>1</v>
      </c>
      <c r="K79" s="2">
        <v>598</v>
      </c>
      <c r="L79" s="2">
        <f>sales[[#This Row],[quantity]]*sales[[#This Row],[price]]</f>
        <v>598</v>
      </c>
      <c r="M79" s="9">
        <f>sales[[#This Row],[Total Price]]*3%</f>
        <v>17.939999999999998</v>
      </c>
      <c r="N79" s="171">
        <f>sales[[#This Row],[Total Price]]*2.5%</f>
        <v>14.950000000000001</v>
      </c>
      <c r="O79" s="9">
        <f>sales[[#This Row],[Total Price]]*1.5%</f>
        <v>8.9699999999999989</v>
      </c>
      <c r="R79" s="5" t="str">
        <f>_xlfn.CONCAT(sales[[#This Row],[Shop]]," ",sales[[#This Row],[Location]])</f>
        <v>Kowloon Bay Fortress</v>
      </c>
    </row>
    <row r="80" spans="1:18" ht="16.5" customHeight="1">
      <c r="A80" s="7">
        <v>78</v>
      </c>
      <c r="B80" s="5" t="s">
        <v>976</v>
      </c>
      <c r="C80" s="2" t="s">
        <v>975</v>
      </c>
      <c r="D80" s="2" t="str">
        <f ca="1">OFFSET(Roster!$B$7, MATCH(B80&amp;" "&amp;C80&amp;"*",Roster!$B$8:$B$20,0),DAY(sales[[#This Row],[date]]),1, 1)</f>
        <v>Wah</v>
      </c>
      <c r="E80" s="2">
        <f>MONTH(sales[[#This Row],[date]])</f>
        <v>6</v>
      </c>
      <c r="F80" s="233">
        <v>46194</v>
      </c>
      <c r="G80" s="3" t="str">
        <f>VLOOKUP("*"&amp;sales[[#This Row],[Input]]&amp;"*",'Ref-List'!$A:$C,1,0)</f>
        <v>6910+550</v>
      </c>
      <c r="H80" s="2" t="str">
        <f>VLOOKUP("*"&amp;G80&amp;"*",'Ref-List'!$A:$C,3,0)</f>
        <v>冷熱飲水機 + 濾心</v>
      </c>
      <c r="I80" s="2">
        <v>550</v>
      </c>
      <c r="J80" s="2">
        <v>1</v>
      </c>
      <c r="K80" s="2">
        <v>598</v>
      </c>
      <c r="L80" s="2">
        <f>sales[[#This Row],[quantity]]*sales[[#This Row],[price]]</f>
        <v>598</v>
      </c>
      <c r="M80" s="9">
        <f>sales[[#This Row],[Total Price]]*3%</f>
        <v>17.939999999999998</v>
      </c>
      <c r="N80" s="171">
        <f>sales[[#This Row],[Total Price]]*2.5%</f>
        <v>14.950000000000001</v>
      </c>
      <c r="O80" s="9">
        <f>sales[[#This Row],[Total Price]]*1.5%</f>
        <v>8.9699999999999989</v>
      </c>
      <c r="R80" s="5" t="str">
        <f>_xlfn.CONCAT(sales[[#This Row],[Shop]]," ",sales[[#This Row],[Location]])</f>
        <v>Kowloon Bay Fortress</v>
      </c>
    </row>
    <row r="81" spans="1:18" ht="16.5" customHeight="1">
      <c r="A81" s="7">
        <v>79</v>
      </c>
      <c r="B81" s="5" t="s">
        <v>976</v>
      </c>
      <c r="C81" s="2" t="s">
        <v>975</v>
      </c>
      <c r="D81" s="2" t="str">
        <f ca="1">OFFSET(Roster!$B$7, MATCH(B81&amp;" "&amp;C81&amp;"*",Roster!$B$8:$B$20,0),DAY(sales[[#This Row],[date]]),1, 1)</f>
        <v>Wah</v>
      </c>
      <c r="E81" s="2">
        <f>MONTH(sales[[#This Row],[date]])</f>
        <v>6</v>
      </c>
      <c r="F81" s="233">
        <v>46198</v>
      </c>
      <c r="G81" s="3" t="str">
        <f>VLOOKUP("*"&amp;sales[[#This Row],[Input]]&amp;"*",'Ref-List'!$A:$C,1,0)</f>
        <v>6911+553</v>
      </c>
      <c r="H81" s="2" t="str">
        <f>VLOOKUP("*"&amp;G81&amp;"*",'Ref-List'!$A:$C,3,0)</f>
        <v>冷熱飲水機 + 濾心</v>
      </c>
      <c r="I81" s="2">
        <v>553</v>
      </c>
      <c r="J81" s="2">
        <v>1</v>
      </c>
      <c r="K81" s="2">
        <v>598</v>
      </c>
      <c r="L81" s="2">
        <f>sales[[#This Row],[quantity]]*sales[[#This Row],[price]]</f>
        <v>598</v>
      </c>
      <c r="M81" s="9">
        <f>sales[[#This Row],[Total Price]]*3%</f>
        <v>17.939999999999998</v>
      </c>
      <c r="N81" s="171">
        <f>sales[[#This Row],[Total Price]]*2.5%</f>
        <v>14.950000000000001</v>
      </c>
      <c r="O81" s="9">
        <f>sales[[#This Row],[Total Price]]*1.5%</f>
        <v>8.9699999999999989</v>
      </c>
      <c r="R81" s="5" t="str">
        <f>_xlfn.CONCAT(sales[[#This Row],[Shop]]," ",sales[[#This Row],[Location]])</f>
        <v>Kowloon Bay Fortress</v>
      </c>
    </row>
    <row r="82" spans="1:18" ht="16.5" customHeight="1">
      <c r="A82" s="7">
        <v>80</v>
      </c>
      <c r="B82" s="5" t="s">
        <v>976</v>
      </c>
      <c r="C82" s="2" t="s">
        <v>975</v>
      </c>
      <c r="D82" s="2" t="str">
        <f ca="1">OFFSET(Roster!$B$7, MATCH(B82&amp;" "&amp;C82&amp;"*",Roster!$B$8:$B$20,0),DAY(sales[[#This Row],[date]]),1, 1)</f>
        <v>Wah</v>
      </c>
      <c r="E82" s="2">
        <f>MONTH(sales[[#This Row],[date]])</f>
        <v>6</v>
      </c>
      <c r="F82" s="233">
        <v>46198</v>
      </c>
      <c r="G82" s="3" t="str">
        <f>VLOOKUP("*"&amp;sales[[#This Row],[Input]]&amp;"*",'Ref-List'!$A:$C,1,0)</f>
        <v>6901+541</v>
      </c>
      <c r="H82" s="2" t="str">
        <f>VLOOKUP("*"&amp;G82&amp;"*",'Ref-List'!$A:$C,3,0)</f>
        <v>RO純淨飲水機 + 濾芯</v>
      </c>
      <c r="I82" s="2">
        <v>541</v>
      </c>
      <c r="J82" s="2">
        <v>1</v>
      </c>
      <c r="K82" s="2">
        <v>1256</v>
      </c>
      <c r="L82" s="2">
        <f>sales[[#This Row],[quantity]]*sales[[#This Row],[price]]</f>
        <v>1256</v>
      </c>
      <c r="M82" s="9">
        <f>sales[[#This Row],[Total Price]]*3%</f>
        <v>37.68</v>
      </c>
      <c r="N82" s="171">
        <f>sales[[#This Row],[Total Price]]*2.5%</f>
        <v>31.400000000000002</v>
      </c>
      <c r="O82" s="9">
        <f>sales[[#This Row],[Total Price]]*1.5%</f>
        <v>18.84</v>
      </c>
      <c r="R82" s="5" t="str">
        <f>_xlfn.CONCAT(sales[[#This Row],[Shop]]," ",sales[[#This Row],[Location]])</f>
        <v>Kowloon Bay Fortress</v>
      </c>
    </row>
    <row r="83" spans="1:18" ht="16.5" customHeight="1">
      <c r="A83" s="7">
        <v>81</v>
      </c>
      <c r="B83" s="5" t="s">
        <v>976</v>
      </c>
      <c r="C83" s="2" t="s">
        <v>975</v>
      </c>
      <c r="D83" s="2" t="str">
        <f ca="1">OFFSET(Roster!$B$7, MATCH(B83&amp;" "&amp;C83&amp;"*",Roster!$B$8:$B$20,0),DAY(sales[[#This Row],[date]]),1, 1)</f>
        <v>Wah</v>
      </c>
      <c r="E83" s="2">
        <f>MONTH(sales[[#This Row],[date]])</f>
        <v>6</v>
      </c>
      <c r="F83" s="233">
        <v>46198</v>
      </c>
      <c r="G83" s="3" t="e">
        <f>VLOOKUP("*"&amp;sales[[#This Row],[Input]]&amp;"*",'Ref-List'!$A:$C,1,0)</f>
        <v>#N/A</v>
      </c>
      <c r="H83" s="2" t="e">
        <f>VLOOKUP("*"&amp;G83&amp;"*",'Ref-List'!$A:$C,3,0)</f>
        <v>#N/A</v>
      </c>
      <c r="I83" s="2">
        <v>547</v>
      </c>
      <c r="J83" s="2">
        <v>1</v>
      </c>
      <c r="K83" s="2">
        <v>168</v>
      </c>
      <c r="L83" s="2">
        <f>sales[[#This Row],[quantity]]*sales[[#This Row],[price]]</f>
        <v>168</v>
      </c>
      <c r="M83" s="9">
        <f>sales[[#This Row],[Total Price]]*3%</f>
        <v>5.04</v>
      </c>
      <c r="N83" s="171">
        <f>sales[[#This Row],[Total Price]]*2.5%</f>
        <v>4.2</v>
      </c>
      <c r="O83" s="9">
        <f>sales[[#This Row],[Total Price]]*1.5%</f>
        <v>2.52</v>
      </c>
      <c r="R83" s="5" t="str">
        <f>_xlfn.CONCAT(sales[[#This Row],[Shop]]," ",sales[[#This Row],[Location]])</f>
        <v>Kowloon Bay Fortress</v>
      </c>
    </row>
    <row r="84" spans="1:18" ht="16.5" customHeight="1">
      <c r="A84" s="7">
        <v>82</v>
      </c>
      <c r="B84" s="5" t="s">
        <v>976</v>
      </c>
      <c r="C84" s="2" t="s">
        <v>975</v>
      </c>
      <c r="D84" s="2" t="str">
        <f ca="1">OFFSET(Roster!$B$7, MATCH(B84&amp;" "&amp;C84&amp;"*",Roster!$B$8:$B$20,0),DAY(sales[[#This Row],[date]]),1, 1)</f>
        <v>Wah</v>
      </c>
      <c r="E84" s="2">
        <f>MONTH(sales[[#This Row],[date]])</f>
        <v>6</v>
      </c>
      <c r="F84" s="233">
        <v>46199</v>
      </c>
      <c r="G84" s="3" t="str">
        <f>VLOOKUP("*"&amp;sales[[#This Row],[Input]]&amp;"*",'Ref-List'!$A:$C,1,0)</f>
        <v>6910+550</v>
      </c>
      <c r="H84" s="2" t="str">
        <f>VLOOKUP("*"&amp;G84&amp;"*",'Ref-List'!$A:$C,3,0)</f>
        <v>冷熱飲水機 + 濾心</v>
      </c>
      <c r="I84" s="2">
        <v>550</v>
      </c>
      <c r="J84" s="2">
        <v>1</v>
      </c>
      <c r="K84" s="2">
        <v>598</v>
      </c>
      <c r="L84" s="2">
        <f>sales[[#This Row],[quantity]]*sales[[#This Row],[price]]</f>
        <v>598</v>
      </c>
      <c r="M84" s="9">
        <f>sales[[#This Row],[Total Price]]*3%</f>
        <v>17.939999999999998</v>
      </c>
      <c r="N84" s="171">
        <f>sales[[#This Row],[Total Price]]*2.5%</f>
        <v>14.950000000000001</v>
      </c>
      <c r="O84" s="9">
        <f>sales[[#This Row],[Total Price]]*1.5%</f>
        <v>8.9699999999999989</v>
      </c>
      <c r="R84" s="5" t="str">
        <f>_xlfn.CONCAT(sales[[#This Row],[Shop]]," ",sales[[#This Row],[Location]])</f>
        <v>Kowloon Bay Fortress</v>
      </c>
    </row>
    <row r="85" spans="1:18" ht="15.75" customHeight="1">
      <c r="A85" s="7">
        <v>83</v>
      </c>
      <c r="B85" s="5" t="s">
        <v>976</v>
      </c>
      <c r="C85" s="2" t="s">
        <v>975</v>
      </c>
      <c r="D85" s="2" t="str">
        <f ca="1">OFFSET(Roster!$B$7, MATCH(B85&amp;" "&amp;C85&amp;"*",Roster!$B$8:$B$20,0),DAY(sales[[#This Row],[date]]),1, 1)</f>
        <v>Wah</v>
      </c>
      <c r="E85" s="2">
        <f>MONTH(sales[[#This Row],[date]])</f>
        <v>6</v>
      </c>
      <c r="F85" s="233">
        <v>46199</v>
      </c>
      <c r="G85" s="3" t="str">
        <f>VLOOKUP("*"&amp;sales[[#This Row],[Input]]&amp;"*",'Ref-List'!$A:$C,1,0)</f>
        <v>3811+3911</v>
      </c>
      <c r="H85" s="2" t="str">
        <f>VLOOKUP("*"&amp;G85&amp;"*",'Ref-List'!$A:$C,3,0)</f>
        <v>超濾淨水器 + 濾芯套裝</v>
      </c>
      <c r="I85" s="2">
        <v>3911</v>
      </c>
      <c r="J85" s="2">
        <v>1</v>
      </c>
      <c r="K85" s="2">
        <v>488</v>
      </c>
      <c r="L85" s="2">
        <f>sales[[#This Row],[quantity]]*sales[[#This Row],[price]]</f>
        <v>488</v>
      </c>
      <c r="M85" s="9">
        <f>sales[[#This Row],[Total Price]]*3%</f>
        <v>14.639999999999999</v>
      </c>
      <c r="N85" s="171">
        <f>sales[[#This Row],[Total Price]]*2.5%</f>
        <v>12.200000000000001</v>
      </c>
      <c r="O85" s="9">
        <f>sales[[#This Row],[Total Price]]*1.5%</f>
        <v>7.3199999999999994</v>
      </c>
      <c r="R85" s="5" t="str">
        <f>_xlfn.CONCAT(sales[[#This Row],[Shop]]," ",sales[[#This Row],[Location]])</f>
        <v>Kowloon Bay Fortress</v>
      </c>
    </row>
    <row r="86" spans="1:18" ht="16.5" customHeight="1">
      <c r="A86" s="7">
        <v>84</v>
      </c>
      <c r="B86" s="5" t="s">
        <v>976</v>
      </c>
      <c r="C86" s="2" t="s">
        <v>975</v>
      </c>
      <c r="D86" s="2" t="str">
        <f ca="1">OFFSET(Roster!$B$7, MATCH(B86&amp;" "&amp;C86&amp;"*",Roster!$B$8:$B$20,0),DAY(sales[[#This Row],[date]]),1, 1)</f>
        <v>Wah</v>
      </c>
      <c r="E86" s="2">
        <f>MONTH(sales[[#This Row],[date]])</f>
        <v>6</v>
      </c>
      <c r="F86" s="233">
        <v>46199</v>
      </c>
      <c r="G86" s="3" t="str">
        <f>VLOOKUP("*"&amp;sales[[#This Row],[Input]]&amp;"*",'Ref-List'!$A:$C,1,0)</f>
        <v>3733+3922</v>
      </c>
      <c r="H86" s="2" t="str">
        <f>VLOOKUP("*"&amp;G86&amp;"*",'Ref-List'!$A:$C,3,0)</f>
        <v>超濾龍頭式淨水器組合</v>
      </c>
      <c r="I86" s="2">
        <v>3922</v>
      </c>
      <c r="J86" s="2">
        <v>1</v>
      </c>
      <c r="K86" s="2">
        <v>598</v>
      </c>
      <c r="L86" s="2">
        <f>sales[[#This Row],[quantity]]*sales[[#This Row],[price]]</f>
        <v>598</v>
      </c>
      <c r="M86" s="9">
        <f>sales[[#This Row],[Total Price]]*3%</f>
        <v>17.939999999999998</v>
      </c>
      <c r="N86" s="171">
        <f>sales[[#This Row],[Total Price]]*2.5%</f>
        <v>14.950000000000001</v>
      </c>
      <c r="O86" s="9">
        <f>sales[[#This Row],[Total Price]]*1.5%</f>
        <v>8.9699999999999989</v>
      </c>
      <c r="R86" s="5" t="str">
        <f>_xlfn.CONCAT(sales[[#This Row],[Shop]]," ",sales[[#This Row],[Location]])</f>
        <v>Kowloon Bay Fortress</v>
      </c>
    </row>
    <row r="87" spans="1:18" ht="16.5" customHeight="1">
      <c r="A87" s="7">
        <v>85</v>
      </c>
      <c r="B87" s="5" t="s">
        <v>976</v>
      </c>
      <c r="C87" s="2" t="s">
        <v>975</v>
      </c>
      <c r="D87" s="2" t="str">
        <f ca="1">OFFSET(Roster!$B$7, MATCH(B87&amp;" "&amp;C87&amp;"*",Roster!$B$8:$B$20,0),DAY(sales[[#This Row],[date]]),1, 1)</f>
        <v>Wah</v>
      </c>
      <c r="E87" s="2">
        <f>MONTH(sales[[#This Row],[date]])</f>
        <v>6</v>
      </c>
      <c r="F87" s="233">
        <v>46199</v>
      </c>
      <c r="G87" s="3" t="str">
        <f>VLOOKUP("*"&amp;sales[[#This Row],[Input]]&amp;"*",'Ref-List'!$A:$C,1,0)</f>
        <v>2937+211</v>
      </c>
      <c r="H87" s="2" t="str">
        <f>VLOOKUP("*"&amp;G87&amp;"*",'Ref-List'!$A:$C,3,0)</f>
        <v>濾水壺濾芯套裝</v>
      </c>
      <c r="I87" s="2">
        <v>211</v>
      </c>
      <c r="J87" s="2">
        <v>1</v>
      </c>
      <c r="K87" s="2">
        <v>316</v>
      </c>
      <c r="L87" s="2">
        <f>sales[[#This Row],[quantity]]*sales[[#This Row],[price]]</f>
        <v>316</v>
      </c>
      <c r="M87" s="9">
        <f>sales[[#This Row],[Total Price]]*3%</f>
        <v>9.48</v>
      </c>
      <c r="N87" s="171">
        <f>sales[[#This Row],[Total Price]]*2.5%</f>
        <v>7.9</v>
      </c>
      <c r="O87" s="9">
        <f>sales[[#This Row],[Total Price]]*1.5%</f>
        <v>4.74</v>
      </c>
      <c r="R87" s="5" t="str">
        <f>_xlfn.CONCAT(sales[[#This Row],[Shop]]," ",sales[[#This Row],[Location]])</f>
        <v>Kowloon Bay Fortress</v>
      </c>
    </row>
    <row r="88" spans="1:18" ht="16.5" customHeight="1">
      <c r="A88" s="7">
        <v>86</v>
      </c>
      <c r="B88" s="5" t="s">
        <v>976</v>
      </c>
      <c r="C88" s="2" t="s">
        <v>975</v>
      </c>
      <c r="D88" s="2" t="str">
        <f ca="1">OFFSET(Roster!$B$7, MATCH(B88&amp;" "&amp;C88&amp;"*",Roster!$B$8:$B$20,0),DAY(sales[[#This Row],[date]]),1, 1)</f>
        <v>Wah</v>
      </c>
      <c r="E88" s="2">
        <f>MONTH(sales[[#This Row],[date]])</f>
        <v>6</v>
      </c>
      <c r="F88" s="233">
        <v>46199</v>
      </c>
      <c r="G88" s="3" t="str">
        <f>VLOOKUP("*"&amp;sales[[#This Row],[Input]]&amp;"*",'Ref-List'!$A:$C,1,0)</f>
        <v>2769/97</v>
      </c>
      <c r="H88" s="2" t="str">
        <f>VLOOKUP("*"&amp;G88&amp;"*",'Ref-List'!$A:$C,3,0)</f>
        <v>電熱水樽</v>
      </c>
      <c r="I88" s="2">
        <v>2769</v>
      </c>
      <c r="J88" s="2">
        <v>1</v>
      </c>
      <c r="K88" s="2">
        <v>328</v>
      </c>
      <c r="L88" s="2">
        <f>sales[[#This Row],[quantity]]*sales[[#This Row],[price]]</f>
        <v>328</v>
      </c>
      <c r="M88" s="9">
        <f>sales[[#This Row],[Total Price]]*3%</f>
        <v>9.84</v>
      </c>
      <c r="N88" s="171">
        <f>sales[[#This Row],[Total Price]]*2.5%</f>
        <v>8.2000000000000011</v>
      </c>
      <c r="O88" s="9">
        <f>sales[[#This Row],[Total Price]]*1.5%</f>
        <v>4.92</v>
      </c>
      <c r="R88" s="5" t="str">
        <f>_xlfn.CONCAT(sales[[#This Row],[Shop]]," ",sales[[#This Row],[Location]])</f>
        <v>Kowloon Bay Fortress</v>
      </c>
    </row>
    <row r="89" spans="1:18" ht="16.5" customHeight="1">
      <c r="A89" s="7">
        <v>87</v>
      </c>
      <c r="B89" s="5" t="s">
        <v>976</v>
      </c>
      <c r="C89" s="2" t="s">
        <v>975</v>
      </c>
      <c r="D89" s="2" t="str">
        <f ca="1">OFFSET(Roster!$B$7, MATCH(B89&amp;" "&amp;C89&amp;"*",Roster!$B$8:$B$20,0),DAY(sales[[#This Row],[date]]),1, 1)</f>
        <v>Wah</v>
      </c>
      <c r="E89" s="2">
        <f>MONTH(sales[[#This Row],[date]])</f>
        <v>6</v>
      </c>
      <c r="F89" s="233">
        <v>46199</v>
      </c>
      <c r="G89" s="3" t="e">
        <f>VLOOKUP("*"&amp;sales[[#This Row],[Input]]&amp;"*",'Ref-List'!$A:$C,1,0)</f>
        <v>#N/A</v>
      </c>
      <c r="H89" s="2" t="e">
        <f>VLOOKUP("*"&amp;G89&amp;"*",'Ref-List'!$A:$C,3,0)</f>
        <v>#N/A</v>
      </c>
      <c r="I89" s="2">
        <v>2739</v>
      </c>
      <c r="J89" s="2">
        <v>1</v>
      </c>
      <c r="K89" s="2">
        <v>398</v>
      </c>
      <c r="L89" s="2">
        <f>sales[[#This Row],[quantity]]*sales[[#This Row],[price]]</f>
        <v>398</v>
      </c>
      <c r="M89" s="9">
        <f>sales[[#This Row],[Total Price]]*3%</f>
        <v>11.94</v>
      </c>
      <c r="N89" s="171">
        <f>sales[[#This Row],[Total Price]]*2.5%</f>
        <v>9.9500000000000011</v>
      </c>
      <c r="O89" s="9">
        <f>sales[[#This Row],[Total Price]]*1.5%</f>
        <v>5.97</v>
      </c>
      <c r="R89" s="5" t="str">
        <f>_xlfn.CONCAT(sales[[#This Row],[Shop]]," ",sales[[#This Row],[Location]])</f>
        <v>Kowloon Bay Fortress</v>
      </c>
    </row>
    <row r="90" spans="1:18" ht="16.5" customHeight="1">
      <c r="A90" s="7">
        <v>88</v>
      </c>
      <c r="B90" s="5" t="s">
        <v>976</v>
      </c>
      <c r="C90" s="2" t="s">
        <v>975</v>
      </c>
      <c r="D90" s="2" t="str">
        <f ca="1">OFFSET(Roster!$B$7, MATCH(B90&amp;" "&amp;C90&amp;"*",Roster!$B$8:$B$20,0),DAY(sales[[#This Row],[date]]),1, 1)</f>
        <v>Wah</v>
      </c>
      <c r="E90" s="2">
        <f>MONTH(sales[[#This Row],[date]])</f>
        <v>6</v>
      </c>
      <c r="F90" s="233">
        <v>46200</v>
      </c>
      <c r="G90" s="3" t="e">
        <f>VLOOKUP("*"&amp;sales[[#This Row],[Input]]&amp;"*",'Ref-List'!$A:$C,1,0)</f>
        <v>#N/A</v>
      </c>
      <c r="H90" s="2" t="e">
        <f>VLOOKUP("*"&amp;G90&amp;"*",'Ref-List'!$A:$C,3,0)</f>
        <v>#N/A</v>
      </c>
      <c r="I90" s="2">
        <v>583</v>
      </c>
      <c r="J90" s="2">
        <v>1</v>
      </c>
      <c r="K90" s="2">
        <v>848</v>
      </c>
      <c r="L90" s="2">
        <f>sales[[#This Row],[quantity]]*sales[[#This Row],[price]]</f>
        <v>848</v>
      </c>
      <c r="M90" s="9">
        <f>sales[[#This Row],[Total Price]]*3%</f>
        <v>25.439999999999998</v>
      </c>
      <c r="N90" s="171">
        <f>sales[[#This Row],[Total Price]]*2.5%</f>
        <v>21.200000000000003</v>
      </c>
      <c r="O90" s="9">
        <f>sales[[#This Row],[Total Price]]*1.5%</f>
        <v>12.719999999999999</v>
      </c>
      <c r="R90" s="5" t="str">
        <f>_xlfn.CONCAT(sales[[#This Row],[Shop]]," ",sales[[#This Row],[Location]])</f>
        <v>Kowloon Bay Fortress</v>
      </c>
    </row>
    <row r="91" spans="1:18" ht="16.5" customHeight="1">
      <c r="A91" s="7">
        <v>89</v>
      </c>
      <c r="B91" s="5" t="s">
        <v>976</v>
      </c>
      <c r="C91" s="2" t="s">
        <v>975</v>
      </c>
      <c r="D91" s="2" t="str">
        <f ca="1">OFFSET(Roster!$B$7, MATCH(B91&amp;" "&amp;C91&amp;"*",Roster!$B$8:$B$20,0),DAY(sales[[#This Row],[date]]),1, 1)</f>
        <v>Wah</v>
      </c>
      <c r="E91" s="2">
        <f>MONTH(sales[[#This Row],[date]])</f>
        <v>6</v>
      </c>
      <c r="F91" s="233">
        <v>46200</v>
      </c>
      <c r="G91" s="3" t="str">
        <f>VLOOKUP("*"&amp;sales[[#This Row],[Input]]&amp;"*",'Ref-List'!$A:$C,1,0)</f>
        <v>3234/97</v>
      </c>
      <c r="H91" s="2" t="str">
        <f>VLOOKUP("*"&amp;G91&amp;"*",'Ref-List'!$A:$C,3,0)</f>
        <v>櫥下型濾水器</v>
      </c>
      <c r="I91" s="2">
        <v>3234</v>
      </c>
      <c r="J91" s="2">
        <v>1</v>
      </c>
      <c r="K91" s="2">
        <v>2388</v>
      </c>
      <c r="L91" s="2">
        <f>sales[[#This Row],[quantity]]*sales[[#This Row],[price]]</f>
        <v>2388</v>
      </c>
      <c r="M91" s="9">
        <f>sales[[#This Row],[Total Price]]*3%</f>
        <v>71.64</v>
      </c>
      <c r="N91" s="171">
        <f>sales[[#This Row],[Total Price]]*2.5%</f>
        <v>59.7</v>
      </c>
      <c r="O91" s="9">
        <f>sales[[#This Row],[Total Price]]*1.5%</f>
        <v>35.82</v>
      </c>
      <c r="R91" s="5" t="str">
        <f>_xlfn.CONCAT(sales[[#This Row],[Shop]]," ",sales[[#This Row],[Location]])</f>
        <v>Kowloon Bay Fortress</v>
      </c>
    </row>
    <row r="92" spans="1:18" ht="16.5" customHeight="1">
      <c r="A92" s="7">
        <v>90</v>
      </c>
      <c r="B92" s="5" t="s">
        <v>976</v>
      </c>
      <c r="C92" s="2" t="s">
        <v>975</v>
      </c>
      <c r="D92" s="2" t="str">
        <f ca="1">OFFSET(Roster!$B$7, MATCH(B92&amp;" "&amp;C92&amp;"*",Roster!$B$8:$B$20,0),DAY(sales[[#This Row],[date]]),1, 1)</f>
        <v>Wah</v>
      </c>
      <c r="E92" s="2">
        <f>MONTH(sales[[#This Row],[date]])</f>
        <v>6</v>
      </c>
      <c r="F92" s="233">
        <v>46200</v>
      </c>
      <c r="G92" s="3" t="str">
        <f>VLOOKUP("*"&amp;sales[[#This Row],[Input]]&amp;"*",'Ref-List'!$A:$C,1,0)</f>
        <v>3773+3922</v>
      </c>
      <c r="H92" s="2" t="str">
        <f>VLOOKUP("*"&amp;G92&amp;"*",'Ref-List'!$A:$C,3,0)</f>
        <v>水龍頭過濾器 + 濾心</v>
      </c>
      <c r="I92" s="2">
        <v>3773</v>
      </c>
      <c r="J92" s="2">
        <v>1</v>
      </c>
      <c r="K92" s="2">
        <v>1338</v>
      </c>
      <c r="L92" s="2">
        <f>sales[[#This Row],[quantity]]*sales[[#This Row],[price]]</f>
        <v>1338</v>
      </c>
      <c r="M92" s="9">
        <f>sales[[#This Row],[Total Price]]*3%</f>
        <v>40.14</v>
      </c>
      <c r="N92" s="171">
        <f>sales[[#This Row],[Total Price]]*2.5%</f>
        <v>33.450000000000003</v>
      </c>
      <c r="O92" s="9">
        <f>sales[[#This Row],[Total Price]]*1.5%</f>
        <v>20.07</v>
      </c>
      <c r="R92" s="5" t="str">
        <f>_xlfn.CONCAT(sales[[#This Row],[Shop]]," ",sales[[#This Row],[Location]])</f>
        <v>Kowloon Bay Fortress</v>
      </c>
    </row>
    <row r="93" spans="1:18" ht="16.5" customHeight="1">
      <c r="A93" s="7">
        <v>91</v>
      </c>
      <c r="B93" s="5" t="s">
        <v>976</v>
      </c>
      <c r="C93" s="2" t="s">
        <v>975</v>
      </c>
      <c r="D93" s="2" t="str">
        <f ca="1">OFFSET(Roster!$B$7, MATCH(B93&amp;" "&amp;C93&amp;"*",Roster!$B$8:$B$20,0),DAY(sales[[#This Row],[date]]),1, 1)</f>
        <v>Wah</v>
      </c>
      <c r="E93" s="2">
        <f>MONTH(sales[[#This Row],[date]])</f>
        <v>6</v>
      </c>
      <c r="F93" s="233">
        <v>46200</v>
      </c>
      <c r="G93" s="3" t="str">
        <f>VLOOKUP("*"&amp;sales[[#This Row],[Input]]&amp;"*",'Ref-List'!$A:$C,1,0)</f>
        <v>6901+541</v>
      </c>
      <c r="H93" s="2" t="str">
        <f>VLOOKUP("*"&amp;G93&amp;"*",'Ref-List'!$A:$C,3,0)</f>
        <v>RO純淨飲水機 + 濾芯</v>
      </c>
      <c r="I93" s="2">
        <v>541</v>
      </c>
      <c r="J93" s="2">
        <v>1</v>
      </c>
      <c r="K93" s="2">
        <v>628</v>
      </c>
      <c r="L93" s="2">
        <f>sales[[#This Row],[quantity]]*sales[[#This Row],[price]]</f>
        <v>628</v>
      </c>
      <c r="M93" s="9">
        <f>sales[[#This Row],[Total Price]]*3%</f>
        <v>18.84</v>
      </c>
      <c r="N93" s="171">
        <f>sales[[#This Row],[Total Price]]*2.5%</f>
        <v>15.700000000000001</v>
      </c>
      <c r="O93" s="9">
        <f>sales[[#This Row],[Total Price]]*1.5%</f>
        <v>9.42</v>
      </c>
      <c r="R93" s="5" t="str">
        <f>_xlfn.CONCAT(sales[[#This Row],[Shop]]," ",sales[[#This Row],[Location]])</f>
        <v>Kowloon Bay Fortress</v>
      </c>
    </row>
    <row r="94" spans="1:18" ht="16.5" customHeight="1">
      <c r="A94" s="7">
        <v>92</v>
      </c>
      <c r="B94" s="5" t="s">
        <v>976</v>
      </c>
      <c r="C94" s="2" t="s">
        <v>975</v>
      </c>
      <c r="D94" s="2" t="str">
        <f ca="1">OFFSET(Roster!$B$7, MATCH(B94&amp;" "&amp;C94&amp;"*",Roster!$B$8:$B$20,0),DAY(sales[[#This Row],[date]]),1, 1)</f>
        <v>Wah</v>
      </c>
      <c r="E94" s="2">
        <f>MONTH(sales[[#This Row],[date]])</f>
        <v>6</v>
      </c>
      <c r="F94" s="233">
        <v>46200</v>
      </c>
      <c r="G94" s="3" t="str">
        <f>VLOOKUP("*"&amp;sales[[#This Row],[Input]]&amp;"*",'Ref-List'!$A:$C,1,0)</f>
        <v>3811+3911</v>
      </c>
      <c r="H94" s="2" t="str">
        <f>VLOOKUP("*"&amp;G94&amp;"*",'Ref-List'!$A:$C,3,0)</f>
        <v>超濾淨水器 + 濾芯套裝</v>
      </c>
      <c r="I94" s="5" t="s">
        <v>981</v>
      </c>
      <c r="J94" s="2">
        <v>1</v>
      </c>
      <c r="K94" s="2">
        <v>528</v>
      </c>
      <c r="L94" s="2">
        <f>sales[[#This Row],[quantity]]*sales[[#This Row],[price]]</f>
        <v>528</v>
      </c>
      <c r="M94" s="9">
        <f>sales[[#This Row],[Total Price]]*3%</f>
        <v>15.84</v>
      </c>
      <c r="N94" s="171">
        <f>sales[[#This Row],[Total Price]]*2.5%</f>
        <v>13.200000000000001</v>
      </c>
      <c r="O94" s="9">
        <f>sales[[#This Row],[Total Price]]*1.5%</f>
        <v>7.92</v>
      </c>
      <c r="R94" s="5" t="str">
        <f>_xlfn.CONCAT(sales[[#This Row],[Shop]]," ",sales[[#This Row],[Location]])</f>
        <v>Kowloon Bay Fortress</v>
      </c>
    </row>
    <row r="95" spans="1:18" ht="16.5" customHeight="1">
      <c r="A95" s="7">
        <v>93</v>
      </c>
      <c r="B95" s="5" t="s">
        <v>976</v>
      </c>
      <c r="C95" s="2" t="s">
        <v>975</v>
      </c>
      <c r="D95" s="2" t="str">
        <f ca="1">OFFSET(Roster!$B$7, MATCH(B95&amp;" "&amp;C95&amp;"*",Roster!$B$8:$B$20,0),DAY(sales[[#This Row],[date]]),1, 1)</f>
        <v>Wah</v>
      </c>
      <c r="E95" s="2">
        <f>MONTH(sales[[#This Row],[date]])</f>
        <v>6</v>
      </c>
      <c r="F95" s="233">
        <v>46200</v>
      </c>
      <c r="G95" s="3" t="e">
        <f>VLOOKUP("*"&amp;sales[[#This Row],[Input]]&amp;"*",'Ref-List'!$A:$C,1,0)</f>
        <v>#N/A</v>
      </c>
      <c r="H95" s="2" t="e">
        <f>VLOOKUP("*"&amp;G95&amp;"*",'Ref-List'!$A:$C,3,0)</f>
        <v>#N/A</v>
      </c>
      <c r="I95" s="2">
        <v>6921</v>
      </c>
      <c r="J95" s="2">
        <v>1</v>
      </c>
      <c r="K95" s="2">
        <v>3998</v>
      </c>
      <c r="L95" s="2">
        <f>sales[[#This Row],[quantity]]*sales[[#This Row],[price]]</f>
        <v>3998</v>
      </c>
      <c r="M95" s="9">
        <f>sales[[#This Row],[Total Price]]*3%</f>
        <v>119.94</v>
      </c>
      <c r="N95" s="171">
        <f>sales[[#This Row],[Total Price]]*2.5%</f>
        <v>99.95</v>
      </c>
      <c r="O95" s="9">
        <f>sales[[#This Row],[Total Price]]*1.5%</f>
        <v>59.97</v>
      </c>
      <c r="R95" s="5" t="str">
        <f>_xlfn.CONCAT(sales[[#This Row],[Shop]]," ",sales[[#This Row],[Location]])</f>
        <v>Kowloon Bay Fortress</v>
      </c>
    </row>
    <row r="96" spans="1:18" ht="15.6" customHeight="1">
      <c r="A96" s="7">
        <v>94</v>
      </c>
      <c r="B96" s="5" t="s">
        <v>976</v>
      </c>
      <c r="C96" s="2" t="s">
        <v>975</v>
      </c>
      <c r="D96" s="2" t="str">
        <f ca="1">OFFSET(Roster!$B$7, MATCH(B96&amp;" "&amp;C96&amp;"*",Roster!$B$8:$B$20,0),DAY(sales[[#This Row],[date]]),1, 1)</f>
        <v>Wah</v>
      </c>
      <c r="E96" s="2">
        <f>MONTH(sales[[#This Row],[date]])</f>
        <v>6</v>
      </c>
      <c r="F96" s="233">
        <v>46200</v>
      </c>
      <c r="G96" s="3" t="str">
        <f>VLOOKUP("*"&amp;sales[[#This Row],[Input]]&amp;"*",'Ref-List'!$A:$C,1,0)</f>
        <v>6901+541</v>
      </c>
      <c r="H96" s="2" t="str">
        <f>VLOOKUP("*"&amp;G96&amp;"*",'Ref-List'!$A:$C,3,0)</f>
        <v>RO純淨飲水機 + 濾芯</v>
      </c>
      <c r="I96" s="2">
        <v>6901</v>
      </c>
      <c r="J96" s="2">
        <v>1</v>
      </c>
      <c r="K96" s="2">
        <v>1899</v>
      </c>
      <c r="L96" s="2">
        <f>sales[[#This Row],[quantity]]*sales[[#This Row],[price]]</f>
        <v>1899</v>
      </c>
      <c r="M96" s="9">
        <f>sales[[#This Row],[Total Price]]*3%</f>
        <v>56.97</v>
      </c>
      <c r="N96" s="171">
        <f>sales[[#This Row],[Total Price]]*2.5%</f>
        <v>47.475000000000001</v>
      </c>
      <c r="O96" s="9">
        <f>sales[[#This Row],[Total Price]]*1.5%</f>
        <v>28.484999999999999</v>
      </c>
      <c r="R96" s="5" t="str">
        <f>_xlfn.CONCAT(sales[[#This Row],[Shop]]," ",sales[[#This Row],[Location]])</f>
        <v>Kowloon Bay Fortress</v>
      </c>
    </row>
    <row r="97" spans="1:18" ht="16.5" customHeight="1">
      <c r="A97" s="7">
        <v>95</v>
      </c>
      <c r="B97" s="5" t="s">
        <v>976</v>
      </c>
      <c r="C97" s="2" t="s">
        <v>975</v>
      </c>
      <c r="D97" s="2" t="str">
        <f ca="1">OFFSET(Roster!$B$7, MATCH(B97&amp;" "&amp;C97&amp;"*",Roster!$B$8:$B$20,0),DAY(sales[[#This Row],[date]]),1, 1)</f>
        <v>Wah</v>
      </c>
      <c r="E97" s="2">
        <f>MONTH(sales[[#This Row],[date]])</f>
        <v>6</v>
      </c>
      <c r="F97" s="233">
        <v>46201</v>
      </c>
      <c r="G97" s="3" t="str">
        <f>VLOOKUP("*"&amp;sales[[#This Row],[Input]]&amp;"*",'Ref-List'!$A:$C,1,0)</f>
        <v>6901+541</v>
      </c>
      <c r="H97" s="2" t="str">
        <f>VLOOKUP("*"&amp;G97&amp;"*",'Ref-List'!$A:$C,3,0)</f>
        <v>RO純淨飲水機 + 濾芯</v>
      </c>
      <c r="I97" s="2">
        <v>541</v>
      </c>
      <c r="J97" s="2">
        <v>1</v>
      </c>
      <c r="K97" s="2">
        <v>628</v>
      </c>
      <c r="L97" s="2">
        <f>sales[[#This Row],[quantity]]*sales[[#This Row],[price]]</f>
        <v>628</v>
      </c>
      <c r="M97" s="9">
        <f>sales[[#This Row],[Total Price]]*3%</f>
        <v>18.84</v>
      </c>
      <c r="N97" s="171">
        <f>sales[[#This Row],[Total Price]]*2.5%</f>
        <v>15.700000000000001</v>
      </c>
      <c r="O97" s="9">
        <f>sales[[#This Row],[Total Price]]*1.5%</f>
        <v>9.42</v>
      </c>
      <c r="R97" s="5" t="str">
        <f>_xlfn.CONCAT(sales[[#This Row],[Shop]]," ",sales[[#This Row],[Location]])</f>
        <v>Kowloon Bay Fortress</v>
      </c>
    </row>
    <row r="98" spans="1:18" ht="15.6" customHeight="1">
      <c r="A98" s="7">
        <v>96</v>
      </c>
      <c r="B98" s="5" t="s">
        <v>976</v>
      </c>
      <c r="C98" s="2" t="s">
        <v>975</v>
      </c>
      <c r="D98" s="2" t="str">
        <f ca="1">OFFSET(Roster!$B$7, MATCH(B98&amp;" "&amp;C98&amp;"*",Roster!$B$8:$B$20,0),DAY(sales[[#This Row],[date]]),1, 1)</f>
        <v>Wah</v>
      </c>
      <c r="E98" s="2">
        <f>MONTH(sales[[#This Row],[date]])</f>
        <v>6</v>
      </c>
      <c r="F98" s="233">
        <v>46201</v>
      </c>
      <c r="G98" s="3" t="str">
        <f>VLOOKUP("*"&amp;sales[[#This Row],[Input]]&amp;"*",'Ref-List'!$A:$C,1,0)</f>
        <v>6911+553</v>
      </c>
      <c r="H98" s="2" t="str">
        <f>VLOOKUP("*"&amp;G98&amp;"*",'Ref-List'!$A:$C,3,0)</f>
        <v>冷熱飲水機 + 濾心</v>
      </c>
      <c r="I98" s="2">
        <v>553</v>
      </c>
      <c r="J98" s="2">
        <v>1</v>
      </c>
      <c r="K98" s="2">
        <v>598</v>
      </c>
      <c r="L98" s="2">
        <f>sales[[#This Row],[quantity]]*sales[[#This Row],[price]]</f>
        <v>598</v>
      </c>
      <c r="M98" s="9">
        <f>sales[[#This Row],[Total Price]]*3%</f>
        <v>17.939999999999998</v>
      </c>
      <c r="N98" s="171">
        <f>sales[[#This Row],[Total Price]]*2.5%</f>
        <v>14.950000000000001</v>
      </c>
      <c r="O98" s="9">
        <f>sales[[#This Row],[Total Price]]*1.5%</f>
        <v>8.9699999999999989</v>
      </c>
      <c r="R98" s="5" t="str">
        <f>_xlfn.CONCAT(sales[[#This Row],[Shop]]," ",sales[[#This Row],[Location]])</f>
        <v>Kowloon Bay Fortress</v>
      </c>
    </row>
    <row r="99" spans="1:18" ht="16.5" customHeight="1">
      <c r="A99" s="7">
        <v>97</v>
      </c>
      <c r="B99" s="5" t="s">
        <v>976</v>
      </c>
      <c r="C99" s="2" t="s">
        <v>975</v>
      </c>
      <c r="D99" s="2" t="str">
        <f ca="1">OFFSET(Roster!$B$7, MATCH(B99&amp;" "&amp;C99&amp;"*",Roster!$B$8:$B$20,0),DAY(sales[[#This Row],[date]]),1, 1)</f>
        <v>Wah</v>
      </c>
      <c r="E99" s="2">
        <f>MONTH(sales[[#This Row],[date]])</f>
        <v>6</v>
      </c>
      <c r="F99" s="233">
        <v>46201</v>
      </c>
      <c r="G99" s="3" t="e">
        <f>VLOOKUP("*"&amp;sales[[#This Row],[Input]]&amp;"*",'Ref-List'!$A:$C,1,0)</f>
        <v>#N/A</v>
      </c>
      <c r="H99" s="2" t="e">
        <f>VLOOKUP("*"&amp;G99&amp;"*",'Ref-List'!$A:$C,3,0)</f>
        <v>#N/A</v>
      </c>
      <c r="I99" s="2">
        <v>583</v>
      </c>
      <c r="J99" s="2">
        <v>1</v>
      </c>
      <c r="K99" s="2">
        <v>848</v>
      </c>
      <c r="L99" s="2">
        <f>sales[[#This Row],[quantity]]*sales[[#This Row],[price]]</f>
        <v>848</v>
      </c>
      <c r="M99" s="9">
        <f>sales[[#This Row],[Total Price]]*3%</f>
        <v>25.439999999999998</v>
      </c>
      <c r="N99" s="171">
        <f>sales[[#This Row],[Total Price]]*2.5%</f>
        <v>21.200000000000003</v>
      </c>
      <c r="O99" s="9">
        <f>sales[[#This Row],[Total Price]]*1.5%</f>
        <v>12.719999999999999</v>
      </c>
      <c r="R99" s="5" t="str">
        <f>_xlfn.CONCAT(sales[[#This Row],[Shop]]," ",sales[[#This Row],[Location]])</f>
        <v>Kowloon Bay Fortress</v>
      </c>
    </row>
    <row r="100" spans="1:18" ht="16.5" customHeight="1">
      <c r="A100" s="7">
        <v>98</v>
      </c>
      <c r="B100" s="5" t="s">
        <v>976</v>
      </c>
      <c r="C100" s="2" t="s">
        <v>975</v>
      </c>
      <c r="D100" s="2" t="str">
        <f ca="1">OFFSET(Roster!$B$7, MATCH(B100&amp;" "&amp;C100&amp;"*",Roster!$B$8:$B$20,0),DAY(sales[[#This Row],[date]]),1, 1)</f>
        <v>Wah</v>
      </c>
      <c r="E100" s="2">
        <f>MONTH(sales[[#This Row],[date]])</f>
        <v>6</v>
      </c>
      <c r="F100" s="233">
        <v>46201</v>
      </c>
      <c r="G100" s="3" t="e">
        <f>VLOOKUP("*"&amp;sales[[#This Row],[Input]]&amp;"*",'Ref-List'!$A:$C,1,0)</f>
        <v>#N/A</v>
      </c>
      <c r="H100" s="2" t="e">
        <f>VLOOKUP("*"&amp;G100&amp;"*",'Ref-List'!$A:$C,3,0)</f>
        <v>#N/A</v>
      </c>
      <c r="I100" s="2">
        <v>0.69210000000000005</v>
      </c>
      <c r="J100" s="2">
        <v>1</v>
      </c>
      <c r="K100" s="2">
        <v>3988</v>
      </c>
      <c r="L100" s="2">
        <f>sales[[#This Row],[quantity]]*sales[[#This Row],[price]]</f>
        <v>3988</v>
      </c>
      <c r="M100" s="9">
        <f>sales[[#This Row],[Total Price]]*3%</f>
        <v>119.64</v>
      </c>
      <c r="N100" s="171">
        <f>sales[[#This Row],[Total Price]]*2.5%</f>
        <v>99.7</v>
      </c>
      <c r="O100" s="9">
        <f>sales[[#This Row],[Total Price]]*1.5%</f>
        <v>59.82</v>
      </c>
      <c r="R100" s="5" t="str">
        <f>_xlfn.CONCAT(sales[[#This Row],[Shop]]," ",sales[[#This Row],[Location]])</f>
        <v>Kowloon Bay Fortress</v>
      </c>
    </row>
    <row r="101" spans="1:18" ht="16.5" customHeight="1">
      <c r="A101" s="7">
        <v>99</v>
      </c>
      <c r="B101" s="5" t="s">
        <v>976</v>
      </c>
      <c r="C101" s="2" t="s">
        <v>975</v>
      </c>
      <c r="D101" s="2" t="str">
        <f ca="1">OFFSET(Roster!$B$7, MATCH(B101&amp;" "&amp;C101&amp;"*",Roster!$B$8:$B$20,0),DAY(sales[[#This Row],[date]]),1, 1)</f>
        <v>Wah</v>
      </c>
      <c r="E101" s="2">
        <f>MONTH(sales[[#This Row],[date]])</f>
        <v>6</v>
      </c>
      <c r="F101" s="233">
        <v>46201</v>
      </c>
      <c r="G101" s="3" t="str">
        <f>VLOOKUP("*"&amp;sales[[#This Row],[Input]]&amp;"*",'Ref-List'!$A:$C,1,0)</f>
        <v>3773+3922</v>
      </c>
      <c r="H101" s="2" t="str">
        <f>VLOOKUP("*"&amp;G101&amp;"*",'Ref-List'!$A:$C,3,0)</f>
        <v>水龍頭過濾器 + 濾心</v>
      </c>
      <c r="I101" s="2">
        <v>3773</v>
      </c>
      <c r="J101" s="2">
        <v>1</v>
      </c>
      <c r="K101" s="2">
        <v>1338</v>
      </c>
      <c r="L101" s="2">
        <f>sales[[#This Row],[quantity]]*sales[[#This Row],[price]]</f>
        <v>1338</v>
      </c>
      <c r="M101" s="9">
        <f>sales[[#This Row],[Total Price]]*3%</f>
        <v>40.14</v>
      </c>
      <c r="N101" s="171">
        <f>sales[[#This Row],[Total Price]]*2.5%</f>
        <v>33.450000000000003</v>
      </c>
      <c r="O101" s="9">
        <f>sales[[#This Row],[Total Price]]*1.5%</f>
        <v>20.07</v>
      </c>
      <c r="R101" s="5" t="str">
        <f>_xlfn.CONCAT(sales[[#This Row],[Shop]]," ",sales[[#This Row],[Location]])</f>
        <v>Kowloon Bay Fortress</v>
      </c>
    </row>
    <row r="102" spans="1:18" ht="16.5" customHeight="1">
      <c r="A102" s="7">
        <v>100</v>
      </c>
      <c r="B102" s="5" t="s">
        <v>976</v>
      </c>
      <c r="C102" s="2" t="s">
        <v>975</v>
      </c>
      <c r="D102" s="2" t="str">
        <f ca="1">OFFSET(Roster!$B$7, MATCH(B102&amp;" "&amp;C102&amp;"*",Roster!$B$8:$B$20,0),DAY(sales[[#This Row],[date]]),1, 1)</f>
        <v>Wah</v>
      </c>
      <c r="E102" s="2">
        <f>MONTH(sales[[#This Row],[date]])</f>
        <v>6</v>
      </c>
      <c r="F102" s="233">
        <v>46201</v>
      </c>
      <c r="G102" s="3" t="str">
        <f>VLOOKUP("*"&amp;sales[[#This Row],[Input]]&amp;"*",'Ref-List'!$A:$C,1,0)</f>
        <v>6901+541</v>
      </c>
      <c r="H102" s="2" t="str">
        <f>VLOOKUP("*"&amp;G102&amp;"*",'Ref-List'!$A:$C,3,0)</f>
        <v>RO純淨飲水機 + 濾芯</v>
      </c>
      <c r="I102" s="2">
        <v>6901</v>
      </c>
      <c r="J102" s="2">
        <v>1</v>
      </c>
      <c r="K102" s="2">
        <v>1899</v>
      </c>
      <c r="L102" s="2">
        <f>sales[[#This Row],[quantity]]*sales[[#This Row],[price]]</f>
        <v>1899</v>
      </c>
      <c r="M102" s="9">
        <f>sales[[#This Row],[Total Price]]*3%</f>
        <v>56.97</v>
      </c>
      <c r="N102" s="171">
        <f>sales[[#This Row],[Total Price]]*2.5%</f>
        <v>47.475000000000001</v>
      </c>
      <c r="O102" s="9">
        <f>sales[[#This Row],[Total Price]]*1.5%</f>
        <v>28.484999999999999</v>
      </c>
      <c r="R102" s="5" t="str">
        <f>_xlfn.CONCAT(sales[[#This Row],[Shop]]," ",sales[[#This Row],[Location]])</f>
        <v>Kowloon Bay Fortress</v>
      </c>
    </row>
    <row r="103" spans="1:18" ht="16.5" customHeight="1">
      <c r="A103" s="7">
        <v>101</v>
      </c>
      <c r="B103" s="5" t="s">
        <v>976</v>
      </c>
      <c r="C103" s="2" t="s">
        <v>975</v>
      </c>
      <c r="D103" s="2" t="str">
        <f ca="1">OFFSET(Roster!$B$7, MATCH(B103&amp;" "&amp;C103&amp;"*",Roster!$B$8:$B$20,0),DAY(sales[[#This Row],[date]]),1, 1)</f>
        <v>Wah</v>
      </c>
      <c r="E103" s="2">
        <f>MONTH(sales[[#This Row],[date]])</f>
        <v>6</v>
      </c>
      <c r="F103" s="233">
        <v>46201</v>
      </c>
      <c r="G103" s="3" t="e">
        <f>VLOOKUP("*"&amp;sales[[#This Row],[Input]]&amp;"*",'Ref-List'!$A:$C,1,0)</f>
        <v>#N/A</v>
      </c>
      <c r="H103" s="2" t="e">
        <f>VLOOKUP("*"&amp;G103&amp;"*",'Ref-List'!$A:$C,3,0)</f>
        <v>#N/A</v>
      </c>
      <c r="I103" s="2">
        <v>6921</v>
      </c>
      <c r="J103" s="2">
        <v>1</v>
      </c>
      <c r="K103" s="2">
        <v>3988</v>
      </c>
      <c r="L103" s="2">
        <f>sales[[#This Row],[quantity]]*sales[[#This Row],[price]]</f>
        <v>3988</v>
      </c>
      <c r="M103" s="9">
        <f>sales[[#This Row],[Total Price]]*3%</f>
        <v>119.64</v>
      </c>
      <c r="N103" s="171">
        <f>sales[[#This Row],[Total Price]]*2.5%</f>
        <v>99.7</v>
      </c>
      <c r="O103" s="9">
        <f>sales[[#This Row],[Total Price]]*1.5%</f>
        <v>59.82</v>
      </c>
      <c r="R103" s="5" t="str">
        <f>_xlfn.CONCAT(sales[[#This Row],[Shop]]," ",sales[[#This Row],[Location]])</f>
        <v>Kowloon Bay Fortress</v>
      </c>
    </row>
    <row r="104" spans="1:18" ht="16.5" customHeight="1">
      <c r="A104" s="7">
        <v>102</v>
      </c>
      <c r="B104" s="5" t="s">
        <v>976</v>
      </c>
      <c r="C104" s="2" t="s">
        <v>975</v>
      </c>
      <c r="D104" s="2" t="str">
        <f ca="1">OFFSET(Roster!$B$7, MATCH(B104&amp;" "&amp;C104&amp;"*",Roster!$B$8:$B$20,0),DAY(sales[[#This Row],[date]]),1, 1)</f>
        <v>Wah</v>
      </c>
      <c r="E104" s="2">
        <f>MONTH(sales[[#This Row],[date]])</f>
        <v>6</v>
      </c>
      <c r="F104" s="233">
        <v>46201</v>
      </c>
      <c r="G104" s="3" t="str">
        <f>VLOOKUP("*"&amp;sales[[#This Row],[Input]]&amp;"*",'Ref-List'!$A:$C,1,0)</f>
        <v>3812+3922</v>
      </c>
      <c r="H104" s="2" t="str">
        <f>VLOOKUP("*"&amp;G104&amp;"*",'Ref-List'!$A:$C,3,0)</f>
        <v>超濾龍頭式淨水器組合</v>
      </c>
      <c r="I104" s="5" t="s">
        <v>980</v>
      </c>
      <c r="J104" s="2">
        <v>1</v>
      </c>
      <c r="K104" s="2">
        <v>798</v>
      </c>
      <c r="L104" s="2">
        <f>sales[[#This Row],[quantity]]*sales[[#This Row],[price]]</f>
        <v>798</v>
      </c>
      <c r="M104" s="9">
        <f>sales[[#This Row],[Total Price]]*3%</f>
        <v>23.939999999999998</v>
      </c>
      <c r="N104" s="171">
        <f>sales[[#This Row],[Total Price]]*2.5%</f>
        <v>19.950000000000003</v>
      </c>
      <c r="O104" s="9">
        <f>sales[[#This Row],[Total Price]]*1.5%</f>
        <v>11.969999999999999</v>
      </c>
      <c r="R104" s="5" t="str">
        <f>_xlfn.CONCAT(sales[[#This Row],[Shop]]," ",sales[[#This Row],[Location]])</f>
        <v>Kowloon Bay Fortress</v>
      </c>
    </row>
    <row r="105" spans="1:18" ht="16.5" customHeight="1">
      <c r="A105" s="7">
        <v>103</v>
      </c>
      <c r="B105" s="5" t="s">
        <v>976</v>
      </c>
      <c r="C105" s="2" t="s">
        <v>975</v>
      </c>
      <c r="D105" s="2" t="str">
        <f ca="1">OFFSET(Roster!$B$7, MATCH(B105&amp;" "&amp;C105&amp;"*",Roster!$B$8:$B$20,0),DAY(sales[[#This Row],[date]]),1, 1)</f>
        <v>Wah</v>
      </c>
      <c r="E105" s="2">
        <f>MONTH(sales[[#This Row],[date]])</f>
        <v>6</v>
      </c>
      <c r="F105" s="233">
        <v>46201</v>
      </c>
      <c r="G105" s="3" t="str">
        <f>VLOOKUP("*"&amp;sales[[#This Row],[Input]]&amp;"*",'Ref-List'!$A:$C,1,0)</f>
        <v>3733+3922</v>
      </c>
      <c r="H105" s="2" t="str">
        <f>VLOOKUP("*"&amp;G105&amp;"*",'Ref-List'!$A:$C,3,0)</f>
        <v>超濾龍頭式淨水器組合</v>
      </c>
      <c r="I105" s="2">
        <v>3922</v>
      </c>
      <c r="J105" s="2">
        <v>1</v>
      </c>
      <c r="K105" s="2">
        <v>598</v>
      </c>
      <c r="L105" s="2">
        <f>sales[[#This Row],[quantity]]*sales[[#This Row],[price]]</f>
        <v>598</v>
      </c>
      <c r="M105" s="9">
        <f>sales[[#This Row],[Total Price]]*3%</f>
        <v>17.939999999999998</v>
      </c>
      <c r="N105" s="171">
        <f>sales[[#This Row],[Total Price]]*2.5%</f>
        <v>14.950000000000001</v>
      </c>
      <c r="O105" s="9">
        <f>sales[[#This Row],[Total Price]]*1.5%</f>
        <v>8.9699999999999989</v>
      </c>
      <c r="R105" s="5" t="str">
        <f>_xlfn.CONCAT(sales[[#This Row],[Shop]]," ",sales[[#This Row],[Location]])</f>
        <v>Kowloon Bay Fortress</v>
      </c>
    </row>
    <row r="106" spans="1:18" ht="17.25" customHeight="1">
      <c r="A106" s="7">
        <v>104</v>
      </c>
      <c r="B106" s="2" t="s">
        <v>983</v>
      </c>
      <c r="C106" s="5" t="s">
        <v>982</v>
      </c>
      <c r="D106" s="2" t="e">
        <f ca="1">OFFSET(Roster!$B$7, MATCH(B106&amp;" "&amp;C106&amp;"*",Roster!$B$8:$B$20,0),DAY(sales[[#This Row],[date]]),1, 1)</f>
        <v>#N/A</v>
      </c>
      <c r="E106" s="2">
        <f>MONTH(sales[[#This Row],[date]])</f>
        <v>6</v>
      </c>
      <c r="F106" s="233">
        <v>46177</v>
      </c>
      <c r="G106" s="3" t="e">
        <f>VLOOKUP("*"&amp;sales[[#This Row],[Input]]&amp;"*",'Ref-List'!$A:$C,1,0)</f>
        <v>#N/A</v>
      </c>
      <c r="H106" s="2" t="e">
        <f>VLOOKUP("*"&amp;G106&amp;"*",'Ref-List'!$A:$C,3,0)</f>
        <v>#N/A</v>
      </c>
      <c r="I106" s="2">
        <v>6912</v>
      </c>
      <c r="J106" s="2">
        <v>1</v>
      </c>
      <c r="K106" s="2">
        <v>2880</v>
      </c>
      <c r="L106" s="2">
        <f>sales[[#This Row],[quantity]]*sales[[#This Row],[price]]</f>
        <v>2880</v>
      </c>
      <c r="M106" s="9">
        <f>sales[[#This Row],[Total Price]]*3%</f>
        <v>86.399999999999991</v>
      </c>
      <c r="N106" s="171">
        <f>sales[[#This Row],[Total Price]]*2.5%</f>
        <v>72</v>
      </c>
      <c r="O106" s="9">
        <f>sales[[#This Row],[Total Price]]*1.5%</f>
        <v>43.199999999999996</v>
      </c>
      <c r="Q106" s="2">
        <v>1</v>
      </c>
      <c r="R106" s="5" t="str">
        <f>_xlfn.CONCAT(sales[[#This Row],[Shop]]," ",sales[[#This Row],[Location]])</f>
        <v>YL Citistore</v>
      </c>
    </row>
    <row r="107" spans="1:18" ht="16.5" customHeight="1">
      <c r="A107" s="7">
        <v>105</v>
      </c>
      <c r="B107" s="2" t="s">
        <v>983</v>
      </c>
      <c r="C107" s="5" t="s">
        <v>982</v>
      </c>
      <c r="D107" s="2" t="e">
        <f ca="1">OFFSET(Roster!$B$7, MATCH(B107&amp;" "&amp;C107&amp;"*",Roster!$B$8:$B$20,0),DAY(sales[[#This Row],[date]]),1, 1)</f>
        <v>#N/A</v>
      </c>
      <c r="E107" s="2">
        <f>MONTH(sales[[#This Row],[date]])</f>
        <v>6</v>
      </c>
      <c r="F107" s="233">
        <v>46177</v>
      </c>
      <c r="G107" s="3" t="str">
        <f>VLOOKUP("*"&amp;sales[[#This Row],[Input]]&amp;"*",'Ref-List'!$A:$C,1,0)</f>
        <v>3733+3922</v>
      </c>
      <c r="H107" s="2" t="str">
        <f>VLOOKUP("*"&amp;G107&amp;"*",'Ref-List'!$A:$C,3,0)</f>
        <v>超濾龍頭式淨水器組合</v>
      </c>
      <c r="I107" s="2">
        <v>3922</v>
      </c>
      <c r="J107" s="2">
        <v>1</v>
      </c>
      <c r="K107" s="2">
        <v>658</v>
      </c>
      <c r="L107" s="2">
        <f>sales[[#This Row],[quantity]]*sales[[#This Row],[price]]</f>
        <v>658</v>
      </c>
      <c r="M107" s="9">
        <f>sales[[#This Row],[Total Price]]*3%</f>
        <v>19.739999999999998</v>
      </c>
      <c r="N107" s="171">
        <f>sales[[#This Row],[Total Price]]*2.5%</f>
        <v>16.45</v>
      </c>
      <c r="O107" s="9">
        <f>sales[[#This Row],[Total Price]]*1.5%</f>
        <v>9.8699999999999992</v>
      </c>
      <c r="Q107" s="2">
        <v>1</v>
      </c>
      <c r="R107" s="5" t="str">
        <f>_xlfn.CONCAT(sales[[#This Row],[Shop]]," ",sales[[#This Row],[Location]])</f>
        <v>YL Citistore</v>
      </c>
    </row>
    <row r="108" spans="1:18" ht="16.5" customHeight="1">
      <c r="A108" s="7">
        <v>106</v>
      </c>
      <c r="B108" s="2" t="s">
        <v>983</v>
      </c>
      <c r="C108" s="5" t="s">
        <v>982</v>
      </c>
      <c r="D108" s="2" t="e">
        <f ca="1">OFFSET(Roster!$B$7, MATCH(B108&amp;" "&amp;C108&amp;"*",Roster!$B$8:$B$20,0),DAY(sales[[#This Row],[date]]),1, 1)</f>
        <v>#N/A</v>
      </c>
      <c r="E108" s="2">
        <f>MONTH(sales[[#This Row],[date]])</f>
        <v>6</v>
      </c>
      <c r="F108" s="233">
        <v>46177</v>
      </c>
      <c r="G108" s="3" t="str">
        <f>VLOOKUP("*"&amp;sales[[#This Row],[Input]]&amp;"*",'Ref-List'!$A:$C,1,0)</f>
        <v>2769/97</v>
      </c>
      <c r="H108" s="2" t="str">
        <f>VLOOKUP("*"&amp;G108&amp;"*",'Ref-List'!$A:$C,3,0)</f>
        <v>電熱水樽</v>
      </c>
      <c r="I108" s="2">
        <v>2769</v>
      </c>
      <c r="J108" s="2">
        <v>1</v>
      </c>
      <c r="K108" s="2">
        <v>398</v>
      </c>
      <c r="L108" s="2">
        <f>sales[[#This Row],[quantity]]*sales[[#This Row],[price]]</f>
        <v>398</v>
      </c>
      <c r="M108" s="9">
        <f>sales[[#This Row],[Total Price]]*3%</f>
        <v>11.94</v>
      </c>
      <c r="N108" s="171">
        <f>sales[[#This Row],[Total Price]]*2.5%</f>
        <v>9.9500000000000011</v>
      </c>
      <c r="O108" s="9">
        <f>sales[[#This Row],[Total Price]]*1.5%</f>
        <v>5.97</v>
      </c>
      <c r="Q108" s="2">
        <v>1</v>
      </c>
      <c r="R108" s="5" t="str">
        <f>_xlfn.CONCAT(sales[[#This Row],[Shop]]," ",sales[[#This Row],[Location]])</f>
        <v>YL Citistore</v>
      </c>
    </row>
    <row r="109" spans="1:18" ht="16.5" customHeight="1">
      <c r="A109" s="7">
        <v>107</v>
      </c>
      <c r="B109" s="2" t="s">
        <v>983</v>
      </c>
      <c r="C109" s="5" t="s">
        <v>982</v>
      </c>
      <c r="D109" s="2" t="e">
        <f ca="1">OFFSET(Roster!$B$7, MATCH(B109&amp;" "&amp;C109&amp;"*",Roster!$B$8:$B$20,0),DAY(sales[[#This Row],[date]]),1, 1)</f>
        <v>#N/A</v>
      </c>
      <c r="E109" s="2">
        <f>MONTH(sales[[#This Row],[date]])</f>
        <v>6</v>
      </c>
      <c r="F109" s="233">
        <v>46177</v>
      </c>
      <c r="G109" s="3" t="str">
        <f>VLOOKUP("*"&amp;sales[[#This Row],[Input]]&amp;"*",'Ref-List'!$A:$C,1,0)</f>
        <v>6910+550</v>
      </c>
      <c r="H109" s="2" t="str">
        <f>VLOOKUP("*"&amp;G109&amp;"*",'Ref-List'!$A:$C,3,0)</f>
        <v>冷熱飲水機 + 濾心</v>
      </c>
      <c r="I109" s="2">
        <v>550</v>
      </c>
      <c r="J109" s="2">
        <v>1</v>
      </c>
      <c r="K109" s="2">
        <v>598</v>
      </c>
      <c r="L109" s="2">
        <f>sales[[#This Row],[quantity]]*sales[[#This Row],[price]]</f>
        <v>598</v>
      </c>
      <c r="M109" s="9">
        <f>sales[[#This Row],[Total Price]]*3%</f>
        <v>17.939999999999998</v>
      </c>
      <c r="N109" s="171">
        <f>sales[[#This Row],[Total Price]]*2.5%</f>
        <v>14.950000000000001</v>
      </c>
      <c r="O109" s="9">
        <f>sales[[#This Row],[Total Price]]*1.5%</f>
        <v>8.9699999999999989</v>
      </c>
      <c r="Q109" s="2">
        <v>1</v>
      </c>
      <c r="R109" s="5" t="str">
        <f>_xlfn.CONCAT(sales[[#This Row],[Shop]]," ",sales[[#This Row],[Location]])</f>
        <v>YL Citistore</v>
      </c>
    </row>
    <row r="110" spans="1:18" ht="16.5" customHeight="1">
      <c r="A110" s="7">
        <v>108</v>
      </c>
      <c r="B110" s="2" t="s">
        <v>983</v>
      </c>
      <c r="C110" s="5" t="s">
        <v>982</v>
      </c>
      <c r="D110" s="2" t="e">
        <f ca="1">OFFSET(Roster!$B$7, MATCH(B110&amp;" "&amp;C110&amp;"*",Roster!$B$8:$B$20,0),DAY(sales[[#This Row],[date]]),1, 1)</f>
        <v>#N/A</v>
      </c>
      <c r="E110" s="2">
        <f>MONTH(sales[[#This Row],[date]])</f>
        <v>6</v>
      </c>
      <c r="F110" s="233">
        <v>46177</v>
      </c>
      <c r="G110" s="3" t="str">
        <f>VLOOKUP("*"&amp;sales[[#This Row],[Input]]&amp;"*",'Ref-List'!$A:$C,1,0)</f>
        <v>3811+3911</v>
      </c>
      <c r="H110" s="2" t="str">
        <f>VLOOKUP("*"&amp;G110&amp;"*",'Ref-List'!$A:$C,3,0)</f>
        <v>超濾淨水器 + 濾芯套裝</v>
      </c>
      <c r="I110" s="5" t="s">
        <v>981</v>
      </c>
      <c r="J110" s="2">
        <v>1</v>
      </c>
      <c r="K110" s="2">
        <v>438</v>
      </c>
      <c r="L110" s="2">
        <f>sales[[#This Row],[quantity]]*sales[[#This Row],[price]]</f>
        <v>438</v>
      </c>
      <c r="M110" s="9">
        <f>sales[[#This Row],[Total Price]]*3%</f>
        <v>13.139999999999999</v>
      </c>
      <c r="N110" s="171">
        <f>sales[[#This Row],[Total Price]]*2.5%</f>
        <v>10.950000000000001</v>
      </c>
      <c r="O110" s="9">
        <f>sales[[#This Row],[Total Price]]*1.5%</f>
        <v>6.5699999999999994</v>
      </c>
      <c r="Q110" s="2">
        <v>1</v>
      </c>
      <c r="R110" s="5" t="str">
        <f>_xlfn.CONCAT(sales[[#This Row],[Shop]]," ",sales[[#This Row],[Location]])</f>
        <v>YL Citistore</v>
      </c>
    </row>
    <row r="111" spans="1:18" ht="16.5" customHeight="1">
      <c r="A111" s="7">
        <v>109</v>
      </c>
      <c r="B111" s="2" t="s">
        <v>983</v>
      </c>
      <c r="C111" s="5" t="s">
        <v>982</v>
      </c>
      <c r="D111" s="2" t="e">
        <f ca="1">OFFSET(Roster!$B$7, MATCH(B111&amp;" "&amp;C111&amp;"*",Roster!$B$8:$B$20,0),DAY(sales[[#This Row],[date]]),1, 1)</f>
        <v>#N/A</v>
      </c>
      <c r="E111" s="2">
        <f>MONTH(sales[[#This Row],[date]])</f>
        <v>6</v>
      </c>
      <c r="F111" s="233">
        <v>46177</v>
      </c>
      <c r="G111" s="3" t="e">
        <f>VLOOKUP("*"&amp;sales[[#This Row],[Input]]&amp;"*",'Ref-List'!$A:$C,1,0)</f>
        <v>#N/A</v>
      </c>
      <c r="H111" s="2" t="e">
        <f>VLOOKUP("*"&amp;G111&amp;"*",'Ref-List'!$A:$C,3,0)</f>
        <v>#N/A</v>
      </c>
      <c r="I111" s="2">
        <v>6902</v>
      </c>
      <c r="J111" s="2">
        <v>1</v>
      </c>
      <c r="K111" s="2">
        <v>2688</v>
      </c>
      <c r="L111" s="2">
        <f>sales[[#This Row],[quantity]]*sales[[#This Row],[price]]</f>
        <v>2688</v>
      </c>
      <c r="M111" s="9">
        <f>sales[[#This Row],[Total Price]]*3%</f>
        <v>80.64</v>
      </c>
      <c r="N111" s="171">
        <f>sales[[#This Row],[Total Price]]*2.5%</f>
        <v>67.2</v>
      </c>
      <c r="O111" s="9">
        <f>sales[[#This Row],[Total Price]]*1.5%</f>
        <v>40.32</v>
      </c>
      <c r="Q111" s="2">
        <v>1</v>
      </c>
      <c r="R111" s="5" t="str">
        <f>_xlfn.CONCAT(sales[[#This Row],[Shop]]," ",sales[[#This Row],[Location]])</f>
        <v>YL Citistore</v>
      </c>
    </row>
    <row r="112" spans="1:18" ht="16.5" customHeight="1">
      <c r="A112" s="7">
        <v>110</v>
      </c>
      <c r="B112" s="2" t="s">
        <v>983</v>
      </c>
      <c r="C112" s="5" t="s">
        <v>982</v>
      </c>
      <c r="D112" s="2" t="e">
        <f ca="1">OFFSET(Roster!$B$7, MATCH(B112&amp;" "&amp;C112&amp;"*",Roster!$B$8:$B$20,0),DAY(sales[[#This Row],[date]]),1, 1)</f>
        <v>#N/A</v>
      </c>
      <c r="E112" s="2">
        <f>MONTH(sales[[#This Row],[date]])</f>
        <v>6</v>
      </c>
      <c r="F112" s="233">
        <v>46178</v>
      </c>
      <c r="G112" s="3" t="str">
        <f>VLOOKUP("*"&amp;sales[[#This Row],[Input]]&amp;"*",'Ref-List'!$A:$C,1,0)</f>
        <v>3811+3911</v>
      </c>
      <c r="H112" s="2" t="str">
        <f>VLOOKUP("*"&amp;G112&amp;"*",'Ref-List'!$A:$C,3,0)</f>
        <v>超濾淨水器 + 濾芯套裝</v>
      </c>
      <c r="I112" s="5" t="s">
        <v>981</v>
      </c>
      <c r="J112" s="2">
        <v>2</v>
      </c>
      <c r="K112" s="2">
        <v>438</v>
      </c>
      <c r="L112" s="2">
        <f>sales[[#This Row],[quantity]]*sales[[#This Row],[price]]</f>
        <v>876</v>
      </c>
      <c r="M112" s="9">
        <f>sales[[#This Row],[Total Price]]*3%</f>
        <v>26.279999999999998</v>
      </c>
      <c r="N112" s="171">
        <f>sales[[#This Row],[Total Price]]*2.5%</f>
        <v>21.900000000000002</v>
      </c>
      <c r="O112" s="9">
        <f>sales[[#This Row],[Total Price]]*1.5%</f>
        <v>13.139999999999999</v>
      </c>
      <c r="Q112" s="2">
        <v>1</v>
      </c>
      <c r="R112" s="5" t="str">
        <f>_xlfn.CONCAT(sales[[#This Row],[Shop]]," ",sales[[#This Row],[Location]])</f>
        <v>YL Citistore</v>
      </c>
    </row>
    <row r="113" spans="1:18" ht="16.5" customHeight="1">
      <c r="A113" s="7">
        <v>111</v>
      </c>
      <c r="B113" s="2" t="s">
        <v>983</v>
      </c>
      <c r="C113" s="5" t="s">
        <v>982</v>
      </c>
      <c r="D113" s="2" t="e">
        <f ca="1">OFFSET(Roster!$B$7, MATCH(B113&amp;" "&amp;C113&amp;"*",Roster!$B$8:$B$20,0),DAY(sales[[#This Row],[date]]),1, 1)</f>
        <v>#N/A</v>
      </c>
      <c r="E113" s="2">
        <f>MONTH(sales[[#This Row],[date]])</f>
        <v>6</v>
      </c>
      <c r="F113" s="233">
        <v>46178</v>
      </c>
      <c r="G113" s="3" t="str">
        <f>VLOOKUP("*"&amp;sales[[#This Row],[Input]]&amp;"*",'Ref-List'!$A:$C,1,0)</f>
        <v>3811+3911</v>
      </c>
      <c r="H113" s="2" t="str">
        <f>VLOOKUP("*"&amp;G113&amp;"*",'Ref-List'!$A:$C,3,0)</f>
        <v>超濾淨水器 + 濾芯套裝</v>
      </c>
      <c r="I113" s="2">
        <v>3911</v>
      </c>
      <c r="J113" s="2">
        <v>1</v>
      </c>
      <c r="K113" s="2">
        <v>488</v>
      </c>
      <c r="L113" s="2">
        <f>sales[[#This Row],[quantity]]*sales[[#This Row],[price]]</f>
        <v>488</v>
      </c>
      <c r="M113" s="9">
        <f>sales[[#This Row],[Total Price]]*3%</f>
        <v>14.639999999999999</v>
      </c>
      <c r="N113" s="171">
        <f>sales[[#This Row],[Total Price]]*2.5%</f>
        <v>12.200000000000001</v>
      </c>
      <c r="O113" s="9">
        <f>sales[[#This Row],[Total Price]]*1.5%</f>
        <v>7.3199999999999994</v>
      </c>
      <c r="Q113" s="2">
        <v>1</v>
      </c>
      <c r="R113" s="5" t="str">
        <f>_xlfn.CONCAT(sales[[#This Row],[Shop]]," ",sales[[#This Row],[Location]])</f>
        <v>YL Citistore</v>
      </c>
    </row>
    <row r="114" spans="1:18" ht="16.5" customHeight="1">
      <c r="A114" s="7">
        <v>112</v>
      </c>
      <c r="B114" s="2" t="s">
        <v>983</v>
      </c>
      <c r="C114" s="5" t="s">
        <v>982</v>
      </c>
      <c r="D114" s="2" t="e">
        <f ca="1">OFFSET(Roster!$B$7, MATCH(B114&amp;" "&amp;C114&amp;"*",Roster!$B$8:$B$20,0),DAY(sales[[#This Row],[date]]),1, 1)</f>
        <v>#N/A</v>
      </c>
      <c r="E114" s="2">
        <f>MONTH(sales[[#This Row],[date]])</f>
        <v>6</v>
      </c>
      <c r="F114" s="233">
        <v>46178</v>
      </c>
      <c r="G114" s="3" t="str">
        <f>VLOOKUP("*"&amp;sales[[#This Row],[Input]]&amp;"*",'Ref-List'!$A:$C,1,0)</f>
        <v>3733+3922</v>
      </c>
      <c r="H114" s="2" t="str">
        <f>VLOOKUP("*"&amp;G114&amp;"*",'Ref-List'!$A:$C,3,0)</f>
        <v>超濾龍頭式淨水器組合</v>
      </c>
      <c r="I114" s="2">
        <v>3922</v>
      </c>
      <c r="J114" s="2">
        <v>1</v>
      </c>
      <c r="K114" s="2">
        <v>658</v>
      </c>
      <c r="L114" s="2">
        <f>sales[[#This Row],[quantity]]*sales[[#This Row],[price]]</f>
        <v>658</v>
      </c>
      <c r="M114" s="9">
        <f>sales[[#This Row],[Total Price]]*3%</f>
        <v>19.739999999999998</v>
      </c>
      <c r="N114" s="171">
        <f>sales[[#This Row],[Total Price]]*2.5%</f>
        <v>16.45</v>
      </c>
      <c r="O114" s="9">
        <f>sales[[#This Row],[Total Price]]*1.5%</f>
        <v>9.8699999999999992</v>
      </c>
      <c r="Q114" s="2">
        <v>1</v>
      </c>
      <c r="R114" s="5" t="str">
        <f>_xlfn.CONCAT(sales[[#This Row],[Shop]]," ",sales[[#This Row],[Location]])</f>
        <v>YL Citistore</v>
      </c>
    </row>
    <row r="115" spans="1:18" ht="15.6" customHeight="1">
      <c r="A115" s="7">
        <v>113</v>
      </c>
      <c r="B115" s="2" t="s">
        <v>983</v>
      </c>
      <c r="C115" s="5" t="s">
        <v>982</v>
      </c>
      <c r="D115" s="2" t="e">
        <f ca="1">OFFSET(Roster!$B$7, MATCH(B115&amp;" "&amp;C115&amp;"*",Roster!$B$8:$B$20,0),DAY(sales[[#This Row],[date]]),1, 1)</f>
        <v>#N/A</v>
      </c>
      <c r="E115" s="2">
        <f>MONTH(sales[[#This Row],[date]])</f>
        <v>6</v>
      </c>
      <c r="F115" s="233">
        <v>46178</v>
      </c>
      <c r="G115" s="3" t="e">
        <f>VLOOKUP("*"&amp;sales[[#This Row],[Input]]&amp;"*",'Ref-List'!$A:$C,1,0)</f>
        <v>#N/A</v>
      </c>
      <c r="H115" s="2" t="e">
        <f>VLOOKUP("*"&amp;G115&amp;"*",'Ref-List'!$A:$C,3,0)</f>
        <v>#N/A</v>
      </c>
      <c r="I115" s="2">
        <v>6912</v>
      </c>
      <c r="J115" s="2">
        <v>1</v>
      </c>
      <c r="K115" s="2">
        <v>2880</v>
      </c>
      <c r="L115" s="2">
        <f>sales[[#This Row],[quantity]]*sales[[#This Row],[price]]</f>
        <v>2880</v>
      </c>
      <c r="M115" s="9">
        <f>sales[[#This Row],[Total Price]]*3%</f>
        <v>86.399999999999991</v>
      </c>
      <c r="N115" s="171">
        <f>sales[[#This Row],[Total Price]]*2.5%</f>
        <v>72</v>
      </c>
      <c r="O115" s="9">
        <f>sales[[#This Row],[Total Price]]*1.5%</f>
        <v>43.199999999999996</v>
      </c>
      <c r="Q115" s="2">
        <v>1</v>
      </c>
      <c r="R115" s="5" t="str">
        <f>_xlfn.CONCAT(sales[[#This Row],[Shop]]," ",sales[[#This Row],[Location]])</f>
        <v>YL Citistore</v>
      </c>
    </row>
    <row r="116" spans="1:18" ht="15.6" customHeight="1">
      <c r="A116" s="7">
        <v>114</v>
      </c>
      <c r="B116" s="2" t="s">
        <v>983</v>
      </c>
      <c r="C116" s="5" t="s">
        <v>982</v>
      </c>
      <c r="D116" s="2" t="e">
        <f ca="1">OFFSET(Roster!$B$7, MATCH(B116&amp;" "&amp;C116&amp;"*",Roster!$B$8:$B$20,0),DAY(sales[[#This Row],[date]]),1, 1)</f>
        <v>#N/A</v>
      </c>
      <c r="E116" s="2">
        <f>MONTH(sales[[#This Row],[date]])</f>
        <v>6</v>
      </c>
      <c r="F116" s="233">
        <v>46179</v>
      </c>
      <c r="G116" s="3" t="str">
        <f>VLOOKUP("*"&amp;sales[[#This Row],[Input]]&amp;"*",'Ref-List'!$A:$C,1,0)</f>
        <v>3811+3911</v>
      </c>
      <c r="H116" s="2" t="str">
        <f>VLOOKUP("*"&amp;G116&amp;"*",'Ref-List'!$A:$C,3,0)</f>
        <v>超濾淨水器 + 濾芯套裝</v>
      </c>
      <c r="I116" s="5" t="s">
        <v>981</v>
      </c>
      <c r="J116" s="2">
        <v>1</v>
      </c>
      <c r="K116" s="2">
        <v>438</v>
      </c>
      <c r="L116" s="2">
        <f>sales[[#This Row],[quantity]]*sales[[#This Row],[price]]</f>
        <v>438</v>
      </c>
      <c r="M116" s="9">
        <f>sales[[#This Row],[Total Price]]*3%</f>
        <v>13.139999999999999</v>
      </c>
      <c r="N116" s="171">
        <f>sales[[#This Row],[Total Price]]*2.5%</f>
        <v>10.950000000000001</v>
      </c>
      <c r="O116" s="9">
        <f>sales[[#This Row],[Total Price]]*1.5%</f>
        <v>6.5699999999999994</v>
      </c>
      <c r="Q116" s="2">
        <v>1</v>
      </c>
      <c r="R116" s="5" t="str">
        <f>_xlfn.CONCAT(sales[[#This Row],[Shop]]," ",sales[[#This Row],[Location]])</f>
        <v>YL Citistore</v>
      </c>
    </row>
    <row r="117" spans="1:18" ht="15.6" customHeight="1">
      <c r="A117" s="7">
        <v>115</v>
      </c>
      <c r="B117" s="2" t="s">
        <v>983</v>
      </c>
      <c r="C117" s="5" t="s">
        <v>982</v>
      </c>
      <c r="D117" s="2" t="e">
        <f ca="1">OFFSET(Roster!$B$7, MATCH(B117&amp;" "&amp;C117&amp;"*",Roster!$B$8:$B$20,0),DAY(sales[[#This Row],[date]]),1, 1)</f>
        <v>#N/A</v>
      </c>
      <c r="E117" s="2">
        <f>MONTH(sales[[#This Row],[date]])</f>
        <v>6</v>
      </c>
      <c r="F117" s="233">
        <v>46179</v>
      </c>
      <c r="G117" s="3" t="str">
        <f>VLOOKUP("*"&amp;sales[[#This Row],[Input]]&amp;"*",'Ref-List'!$A:$C,1,0)</f>
        <v>2769/97</v>
      </c>
      <c r="H117" s="2" t="str">
        <f>VLOOKUP("*"&amp;G117&amp;"*",'Ref-List'!$A:$C,3,0)</f>
        <v>電熱水樽</v>
      </c>
      <c r="I117" s="2">
        <v>2769</v>
      </c>
      <c r="J117" s="2">
        <v>1</v>
      </c>
      <c r="K117" s="2">
        <v>398</v>
      </c>
      <c r="L117" s="2">
        <f>sales[[#This Row],[quantity]]*sales[[#This Row],[price]]</f>
        <v>398</v>
      </c>
      <c r="M117" s="9">
        <f>sales[[#This Row],[Total Price]]*3%</f>
        <v>11.94</v>
      </c>
      <c r="N117" s="171">
        <f>sales[[#This Row],[Total Price]]*2.5%</f>
        <v>9.9500000000000011</v>
      </c>
      <c r="O117" s="9">
        <f>sales[[#This Row],[Total Price]]*1.5%</f>
        <v>5.97</v>
      </c>
      <c r="Q117" s="2">
        <v>1</v>
      </c>
      <c r="R117" s="5" t="str">
        <f>_xlfn.CONCAT(sales[[#This Row],[Shop]]," ",sales[[#This Row],[Location]])</f>
        <v>YL Citistore</v>
      </c>
    </row>
    <row r="118" spans="1:18" ht="15.6" customHeight="1">
      <c r="A118" s="7">
        <v>116</v>
      </c>
      <c r="B118" s="2" t="s">
        <v>983</v>
      </c>
      <c r="C118" s="5" t="s">
        <v>982</v>
      </c>
      <c r="D118" s="2" t="e">
        <f ca="1">OFFSET(Roster!$B$7, MATCH(B118&amp;" "&amp;C118&amp;"*",Roster!$B$8:$B$20,0),DAY(sales[[#This Row],[date]]),1, 1)</f>
        <v>#N/A</v>
      </c>
      <c r="E118" s="2">
        <f>MONTH(sales[[#This Row],[date]])</f>
        <v>6</v>
      </c>
      <c r="F118" s="233">
        <v>46179</v>
      </c>
      <c r="G118" s="3" t="e">
        <f>VLOOKUP("*"&amp;sales[[#This Row],[Input]]&amp;"*",'Ref-List'!$A:$C,1,0)</f>
        <v>#N/A</v>
      </c>
      <c r="H118" s="2" t="e">
        <f>VLOOKUP("*"&amp;G118&amp;"*",'Ref-List'!$A:$C,3,0)</f>
        <v>#N/A</v>
      </c>
      <c r="I118" s="2">
        <v>583</v>
      </c>
      <c r="J118" s="2">
        <v>1</v>
      </c>
      <c r="K118" s="2">
        <v>868</v>
      </c>
      <c r="L118" s="2">
        <f>sales[[#This Row],[quantity]]*sales[[#This Row],[price]]</f>
        <v>868</v>
      </c>
      <c r="M118" s="9">
        <f>sales[[#This Row],[Total Price]]*3%</f>
        <v>26.04</v>
      </c>
      <c r="N118" s="171">
        <f>sales[[#This Row],[Total Price]]*2.5%</f>
        <v>21.700000000000003</v>
      </c>
      <c r="O118" s="9">
        <f>sales[[#This Row],[Total Price]]*1.5%</f>
        <v>13.02</v>
      </c>
      <c r="Q118" s="2">
        <v>1</v>
      </c>
      <c r="R118" s="5" t="str">
        <f>_xlfn.CONCAT(sales[[#This Row],[Shop]]," ",sales[[#This Row],[Location]])</f>
        <v>YL Citistore</v>
      </c>
    </row>
    <row r="119" spans="1:18" ht="16.5" customHeight="1">
      <c r="A119" s="7">
        <v>117</v>
      </c>
      <c r="B119" s="2" t="s">
        <v>983</v>
      </c>
      <c r="C119" s="5" t="s">
        <v>982</v>
      </c>
      <c r="D119" s="2" t="e">
        <f ca="1">OFFSET(Roster!$B$7, MATCH(B119&amp;" "&amp;C119&amp;"*",Roster!$B$8:$B$20,0),DAY(sales[[#This Row],[date]]),1, 1)</f>
        <v>#N/A</v>
      </c>
      <c r="E119" s="2">
        <f>MONTH(sales[[#This Row],[date]])</f>
        <v>6</v>
      </c>
      <c r="F119" s="233">
        <v>46179</v>
      </c>
      <c r="G119" s="3" t="str">
        <f>VLOOKUP("*"&amp;sales[[#This Row],[Input]]&amp;"*",'Ref-List'!$A:$C,1,0)</f>
        <v>6901+541</v>
      </c>
      <c r="H119" s="2" t="str">
        <f>VLOOKUP("*"&amp;G119&amp;"*",'Ref-List'!$A:$C,3,0)</f>
        <v>RO純淨飲水機 + 濾芯</v>
      </c>
      <c r="I119" s="2">
        <v>541</v>
      </c>
      <c r="J119" s="2">
        <v>1</v>
      </c>
      <c r="K119" s="2">
        <v>568</v>
      </c>
      <c r="L119" s="2">
        <f>sales[[#This Row],[quantity]]*sales[[#This Row],[price]]</f>
        <v>568</v>
      </c>
      <c r="M119" s="9">
        <f>sales[[#This Row],[Total Price]]*3%</f>
        <v>17.04</v>
      </c>
      <c r="N119" s="171">
        <f>sales[[#This Row],[Total Price]]*2.5%</f>
        <v>14.200000000000001</v>
      </c>
      <c r="O119" s="9">
        <f>sales[[#This Row],[Total Price]]*1.5%</f>
        <v>8.52</v>
      </c>
      <c r="Q119" s="2">
        <v>1</v>
      </c>
      <c r="R119" s="5" t="str">
        <f>_xlfn.CONCAT(sales[[#This Row],[Shop]]," ",sales[[#This Row],[Location]])</f>
        <v>YL Citistore</v>
      </c>
    </row>
    <row r="120" spans="1:18" ht="16.5" customHeight="1">
      <c r="A120" s="7">
        <v>118</v>
      </c>
      <c r="B120" s="2" t="s">
        <v>983</v>
      </c>
      <c r="C120" s="5" t="s">
        <v>982</v>
      </c>
      <c r="D120" s="2" t="e">
        <f ca="1">OFFSET(Roster!$B$7, MATCH(B120&amp;" "&amp;C120&amp;"*",Roster!$B$8:$B$20,0),DAY(sales[[#This Row],[date]]),1, 1)</f>
        <v>#N/A</v>
      </c>
      <c r="E120" s="2">
        <f>MONTH(sales[[#This Row],[date]])</f>
        <v>6</v>
      </c>
      <c r="F120" s="233">
        <v>46179</v>
      </c>
      <c r="G120" s="3" t="str">
        <f>VLOOKUP("*"&amp;sales[[#This Row],[Input]]&amp;"*",'Ref-List'!$A:$C,1,0)</f>
        <v>3733+3922</v>
      </c>
      <c r="H120" s="2" t="str">
        <f>VLOOKUP("*"&amp;G120&amp;"*",'Ref-List'!$A:$C,3,0)</f>
        <v>超濾龍頭式淨水器組合</v>
      </c>
      <c r="I120" s="2">
        <v>3922</v>
      </c>
      <c r="J120" s="2">
        <v>1</v>
      </c>
      <c r="K120" s="2">
        <v>658</v>
      </c>
      <c r="L120" s="2">
        <f>sales[[#This Row],[quantity]]*sales[[#This Row],[price]]</f>
        <v>658</v>
      </c>
      <c r="M120" s="9">
        <f>sales[[#This Row],[Total Price]]*3%</f>
        <v>19.739999999999998</v>
      </c>
      <c r="N120" s="171">
        <f>sales[[#This Row],[Total Price]]*2.5%</f>
        <v>16.45</v>
      </c>
      <c r="O120" s="9">
        <f>sales[[#This Row],[Total Price]]*1.5%</f>
        <v>9.8699999999999992</v>
      </c>
      <c r="Q120" s="2">
        <v>1</v>
      </c>
      <c r="R120" s="5" t="str">
        <f>_xlfn.CONCAT(sales[[#This Row],[Shop]]," ",sales[[#This Row],[Location]])</f>
        <v>YL Citistore</v>
      </c>
    </row>
    <row r="121" spans="1:18" ht="16.5" customHeight="1">
      <c r="A121" s="7">
        <v>119</v>
      </c>
      <c r="B121" s="2" t="s">
        <v>983</v>
      </c>
      <c r="C121" s="5" t="s">
        <v>982</v>
      </c>
      <c r="D121" s="2" t="e">
        <f ca="1">OFFSET(Roster!$B$7, MATCH(B121&amp;" "&amp;C121&amp;"*",Roster!$B$8:$B$20,0),DAY(sales[[#This Row],[date]]),1, 1)</f>
        <v>#N/A</v>
      </c>
      <c r="E121" s="2">
        <f>MONTH(sales[[#This Row],[date]])</f>
        <v>6</v>
      </c>
      <c r="F121" s="233">
        <v>46180</v>
      </c>
      <c r="G121" s="3" t="e">
        <f>VLOOKUP("*"&amp;sales[[#This Row],[Input]]&amp;"*",'Ref-List'!$A:$C,1,0)</f>
        <v>#N/A</v>
      </c>
      <c r="H121" s="2" t="e">
        <f>VLOOKUP("*"&amp;G121&amp;"*",'Ref-List'!$A:$C,3,0)</f>
        <v>#N/A</v>
      </c>
      <c r="I121" s="2">
        <v>6912</v>
      </c>
      <c r="J121" s="2">
        <v>1</v>
      </c>
      <c r="K121" s="2">
        <v>2880</v>
      </c>
      <c r="L121" s="2">
        <f>sales[[#This Row],[quantity]]*sales[[#This Row],[price]]</f>
        <v>2880</v>
      </c>
      <c r="M121" s="9">
        <f>sales[[#This Row],[Total Price]]*3%</f>
        <v>86.399999999999991</v>
      </c>
      <c r="N121" s="171">
        <f>sales[[#This Row],[Total Price]]*2.5%</f>
        <v>72</v>
      </c>
      <c r="O121" s="9">
        <f>sales[[#This Row],[Total Price]]*1.5%</f>
        <v>43.199999999999996</v>
      </c>
      <c r="Q121" s="2">
        <v>2</v>
      </c>
      <c r="R121" s="5" t="str">
        <f>_xlfn.CONCAT(sales[[#This Row],[Shop]]," ",sales[[#This Row],[Location]])</f>
        <v>YL Citistore</v>
      </c>
    </row>
    <row r="122" spans="1:18" ht="16.5" customHeight="1">
      <c r="A122" s="7">
        <v>120</v>
      </c>
      <c r="B122" s="2" t="s">
        <v>983</v>
      </c>
      <c r="C122" s="5" t="s">
        <v>982</v>
      </c>
      <c r="D122" s="2" t="e">
        <f ca="1">OFFSET(Roster!$B$7, MATCH(B122&amp;" "&amp;C122&amp;"*",Roster!$B$8:$B$20,0),DAY(sales[[#This Row],[date]]),1, 1)</f>
        <v>#N/A</v>
      </c>
      <c r="E122" s="2">
        <f>MONTH(sales[[#This Row],[date]])</f>
        <v>6</v>
      </c>
      <c r="F122" s="233">
        <v>46180</v>
      </c>
      <c r="G122" s="3" t="str">
        <f>VLOOKUP("*"&amp;sales[[#This Row],[Input]]&amp;"*",'Ref-List'!$A:$C,1,0)</f>
        <v>3811+3911</v>
      </c>
      <c r="H122" s="2" t="str">
        <f>VLOOKUP("*"&amp;G122&amp;"*",'Ref-List'!$A:$C,3,0)</f>
        <v>超濾淨水器 + 濾芯套裝</v>
      </c>
      <c r="I122" s="5" t="s">
        <v>981</v>
      </c>
      <c r="J122" s="2">
        <v>1</v>
      </c>
      <c r="K122" s="2">
        <v>438</v>
      </c>
      <c r="L122" s="2">
        <f>sales[[#This Row],[quantity]]*sales[[#This Row],[price]]</f>
        <v>438</v>
      </c>
      <c r="M122" s="9">
        <f>sales[[#This Row],[Total Price]]*3%</f>
        <v>13.139999999999999</v>
      </c>
      <c r="N122" s="171">
        <f>sales[[#This Row],[Total Price]]*2.5%</f>
        <v>10.950000000000001</v>
      </c>
      <c r="O122" s="9">
        <f>sales[[#This Row],[Total Price]]*1.5%</f>
        <v>6.5699999999999994</v>
      </c>
      <c r="Q122" s="2">
        <v>2</v>
      </c>
      <c r="R122" s="5" t="str">
        <f>_xlfn.CONCAT(sales[[#This Row],[Shop]]," ",sales[[#This Row],[Location]])</f>
        <v>YL Citistore</v>
      </c>
    </row>
    <row r="123" spans="1:18" ht="16.5" customHeight="1">
      <c r="A123" s="7">
        <v>121</v>
      </c>
      <c r="B123" s="2" t="s">
        <v>983</v>
      </c>
      <c r="C123" s="5" t="s">
        <v>982</v>
      </c>
      <c r="D123" s="2" t="e">
        <f ca="1">OFFSET(Roster!$B$7, MATCH(B123&amp;" "&amp;C123&amp;"*",Roster!$B$8:$B$20,0),DAY(sales[[#This Row],[date]]),1, 1)</f>
        <v>#N/A</v>
      </c>
      <c r="E123" s="2">
        <f>MONTH(sales[[#This Row],[date]])</f>
        <v>6</v>
      </c>
      <c r="F123" s="233">
        <v>46180</v>
      </c>
      <c r="G123" s="3" t="str">
        <f>VLOOKUP("*"&amp;sales[[#This Row],[Input]]&amp;"*",'Ref-List'!$A:$C,1,0)</f>
        <v>6901+541</v>
      </c>
      <c r="H123" s="2" t="str">
        <f>VLOOKUP("*"&amp;G123&amp;"*",'Ref-List'!$A:$C,3,0)</f>
        <v>RO純淨飲水機 + 濾芯</v>
      </c>
      <c r="I123" s="2">
        <v>541</v>
      </c>
      <c r="J123" s="2">
        <v>1</v>
      </c>
      <c r="K123" s="2">
        <v>568</v>
      </c>
      <c r="L123" s="2">
        <f>sales[[#This Row],[quantity]]*sales[[#This Row],[price]]</f>
        <v>568</v>
      </c>
      <c r="M123" s="9">
        <f>sales[[#This Row],[Total Price]]*3%</f>
        <v>17.04</v>
      </c>
      <c r="N123" s="171">
        <f>sales[[#This Row],[Total Price]]*2.5%</f>
        <v>14.200000000000001</v>
      </c>
      <c r="O123" s="9">
        <f>sales[[#This Row],[Total Price]]*1.5%</f>
        <v>8.52</v>
      </c>
      <c r="Q123" s="2">
        <v>2</v>
      </c>
      <c r="R123" s="5" t="str">
        <f>_xlfn.CONCAT(sales[[#This Row],[Shop]]," ",sales[[#This Row],[Location]])</f>
        <v>YL Citistore</v>
      </c>
    </row>
    <row r="124" spans="1:18" ht="16.5" customHeight="1">
      <c r="A124" s="7">
        <v>122</v>
      </c>
      <c r="B124" s="2" t="s">
        <v>983</v>
      </c>
      <c r="C124" s="5" t="s">
        <v>982</v>
      </c>
      <c r="D124" s="2" t="e">
        <f ca="1">OFFSET(Roster!$B$7, MATCH(B124&amp;" "&amp;C124&amp;"*",Roster!$B$8:$B$20,0),DAY(sales[[#This Row],[date]]),1, 1)</f>
        <v>#N/A</v>
      </c>
      <c r="E124" s="2">
        <f>MONTH(sales[[#This Row],[date]])</f>
        <v>6</v>
      </c>
      <c r="F124" s="233">
        <v>46184</v>
      </c>
      <c r="G124" s="3" t="str">
        <f>VLOOKUP("*"&amp;sales[[#This Row],[Input]]&amp;"*",'Ref-List'!$A:$C,1,0)</f>
        <v>6901+541</v>
      </c>
      <c r="H124" s="2" t="str">
        <f>VLOOKUP("*"&amp;G124&amp;"*",'Ref-List'!$A:$C,3,0)</f>
        <v>RO純淨飲水機 + 濾芯</v>
      </c>
      <c r="I124" s="2">
        <v>541</v>
      </c>
      <c r="J124" s="2">
        <v>1</v>
      </c>
      <c r="K124" s="2">
        <v>568</v>
      </c>
      <c r="L124" s="2">
        <f>sales[[#This Row],[quantity]]*sales[[#This Row],[price]]</f>
        <v>568</v>
      </c>
      <c r="M124" s="9">
        <f>sales[[#This Row],[Total Price]]*3%</f>
        <v>17.04</v>
      </c>
      <c r="N124" s="171">
        <f>sales[[#This Row],[Total Price]]*2.5%</f>
        <v>14.200000000000001</v>
      </c>
      <c r="O124" s="9">
        <f>sales[[#This Row],[Total Price]]*1.5%</f>
        <v>8.52</v>
      </c>
      <c r="Q124" s="2">
        <v>2</v>
      </c>
      <c r="R124" s="5" t="str">
        <f>_xlfn.CONCAT(sales[[#This Row],[Shop]]," ",sales[[#This Row],[Location]])</f>
        <v>YL Citistore</v>
      </c>
    </row>
    <row r="125" spans="1:18" ht="16.5" customHeight="1">
      <c r="A125" s="7">
        <v>123</v>
      </c>
      <c r="B125" s="2" t="s">
        <v>983</v>
      </c>
      <c r="C125" s="5" t="s">
        <v>982</v>
      </c>
      <c r="D125" s="2" t="e">
        <f ca="1">OFFSET(Roster!$B$7, MATCH(B125&amp;" "&amp;C125&amp;"*",Roster!$B$8:$B$20,0),DAY(sales[[#This Row],[date]]),1, 1)</f>
        <v>#N/A</v>
      </c>
      <c r="E125" s="2">
        <f>MONTH(sales[[#This Row],[date]])</f>
        <v>6</v>
      </c>
      <c r="F125" s="233">
        <v>46184</v>
      </c>
      <c r="G125" s="3" t="str">
        <f>VLOOKUP("*"&amp;sales[[#This Row],[Input]]&amp;"*",'Ref-List'!$A:$C,1,0)</f>
        <v>3733+3922</v>
      </c>
      <c r="H125" s="2" t="str">
        <f>VLOOKUP("*"&amp;G125&amp;"*",'Ref-List'!$A:$C,3,0)</f>
        <v>超濾龍頭式淨水器組合</v>
      </c>
      <c r="I125" s="2">
        <v>3922</v>
      </c>
      <c r="J125" s="2">
        <v>1</v>
      </c>
      <c r="K125" s="2">
        <v>398</v>
      </c>
      <c r="L125" s="2">
        <f>sales[[#This Row],[quantity]]*sales[[#This Row],[price]]</f>
        <v>398</v>
      </c>
      <c r="M125" s="9">
        <f>sales[[#This Row],[Total Price]]*3%</f>
        <v>11.94</v>
      </c>
      <c r="N125" s="171">
        <f>sales[[#This Row],[Total Price]]*2.5%</f>
        <v>9.9500000000000011</v>
      </c>
      <c r="O125" s="9">
        <f>sales[[#This Row],[Total Price]]*1.5%</f>
        <v>5.97</v>
      </c>
      <c r="Q125" s="2">
        <v>2</v>
      </c>
      <c r="R125" s="5" t="str">
        <f>_xlfn.CONCAT(sales[[#This Row],[Shop]]," ",sales[[#This Row],[Location]])</f>
        <v>YL Citistore</v>
      </c>
    </row>
    <row r="126" spans="1:18" ht="16.5" customHeight="1">
      <c r="A126" s="7">
        <v>124</v>
      </c>
      <c r="B126" s="2" t="s">
        <v>983</v>
      </c>
      <c r="C126" s="5" t="s">
        <v>982</v>
      </c>
      <c r="D126" s="2" t="e">
        <f ca="1">OFFSET(Roster!$B$7, MATCH(B126&amp;" "&amp;C126&amp;"*",Roster!$B$8:$B$20,0),DAY(sales[[#This Row],[date]]),1, 1)</f>
        <v>#N/A</v>
      </c>
      <c r="E126" s="2">
        <f>MONTH(sales[[#This Row],[date]])</f>
        <v>6</v>
      </c>
      <c r="F126" s="233">
        <v>46184</v>
      </c>
      <c r="G126" s="3" t="str">
        <f>VLOOKUP("*"&amp;sales[[#This Row],[Input]]&amp;"*",'Ref-List'!$A:$C,1,0)</f>
        <v>3733+3922</v>
      </c>
      <c r="H126" s="2" t="str">
        <f>VLOOKUP("*"&amp;G126&amp;"*",'Ref-List'!$A:$C,3,0)</f>
        <v>超濾龍頭式淨水器組合</v>
      </c>
      <c r="I126" s="2">
        <v>3922</v>
      </c>
      <c r="J126" s="2">
        <v>1</v>
      </c>
      <c r="K126" s="2">
        <v>658</v>
      </c>
      <c r="L126" s="2">
        <f>sales[[#This Row],[quantity]]*sales[[#This Row],[price]]</f>
        <v>658</v>
      </c>
      <c r="M126" s="9">
        <f>sales[[#This Row],[Total Price]]*3%</f>
        <v>19.739999999999998</v>
      </c>
      <c r="N126" s="171">
        <f>sales[[#This Row],[Total Price]]*2.5%</f>
        <v>16.45</v>
      </c>
      <c r="O126" s="9">
        <f>sales[[#This Row],[Total Price]]*1.5%</f>
        <v>9.8699999999999992</v>
      </c>
      <c r="Q126" s="2">
        <v>2</v>
      </c>
      <c r="R126" s="5" t="str">
        <f>_xlfn.CONCAT(sales[[#This Row],[Shop]]," ",sales[[#This Row],[Location]])</f>
        <v>YL Citistore</v>
      </c>
    </row>
    <row r="127" spans="1:18" ht="16.5" customHeight="1">
      <c r="A127" s="7">
        <v>125</v>
      </c>
      <c r="B127" s="2" t="s">
        <v>983</v>
      </c>
      <c r="C127" s="5" t="s">
        <v>982</v>
      </c>
      <c r="D127" s="2" t="e">
        <f ca="1">OFFSET(Roster!$B$7, MATCH(B127&amp;" "&amp;C127&amp;"*",Roster!$B$8:$B$20,0),DAY(sales[[#This Row],[date]]),1, 1)</f>
        <v>#N/A</v>
      </c>
      <c r="E127" s="2">
        <f>MONTH(sales[[#This Row],[date]])</f>
        <v>6</v>
      </c>
      <c r="F127" s="233">
        <v>46185</v>
      </c>
      <c r="G127" s="3" t="str">
        <f>VLOOKUP("*"&amp;sales[[#This Row],[Input]]&amp;"*",'Ref-List'!$A:$C,1,0)</f>
        <v>3811+3911</v>
      </c>
      <c r="H127" s="2" t="str">
        <f>VLOOKUP("*"&amp;G127&amp;"*",'Ref-List'!$A:$C,3,0)</f>
        <v>超濾淨水器 + 濾芯套裝</v>
      </c>
      <c r="I127" s="5" t="s">
        <v>981</v>
      </c>
      <c r="J127" s="2">
        <v>1</v>
      </c>
      <c r="K127" s="2">
        <v>438</v>
      </c>
      <c r="L127" s="2">
        <f>sales[[#This Row],[quantity]]*sales[[#This Row],[price]]</f>
        <v>438</v>
      </c>
      <c r="M127" s="9">
        <f>sales[[#This Row],[Total Price]]*3%</f>
        <v>13.139999999999999</v>
      </c>
      <c r="N127" s="171">
        <f>sales[[#This Row],[Total Price]]*2.5%</f>
        <v>10.950000000000001</v>
      </c>
      <c r="O127" s="9">
        <f>sales[[#This Row],[Total Price]]*1.5%</f>
        <v>6.5699999999999994</v>
      </c>
      <c r="Q127" s="2">
        <v>2</v>
      </c>
      <c r="R127" s="5" t="str">
        <f>_xlfn.CONCAT(sales[[#This Row],[Shop]]," ",sales[[#This Row],[Location]])</f>
        <v>YL Citistore</v>
      </c>
    </row>
    <row r="128" spans="1:18" ht="16.5" customHeight="1">
      <c r="A128" s="7">
        <v>126</v>
      </c>
      <c r="B128" s="2" t="s">
        <v>983</v>
      </c>
      <c r="C128" s="5" t="s">
        <v>982</v>
      </c>
      <c r="D128" s="2" t="e">
        <f ca="1">OFFSET(Roster!$B$7, MATCH(B128&amp;" "&amp;C128&amp;"*",Roster!$B$8:$B$20,0),DAY(sales[[#This Row],[date]]),1, 1)</f>
        <v>#N/A</v>
      </c>
      <c r="E128" s="2">
        <f>MONTH(sales[[#This Row],[date]])</f>
        <v>6</v>
      </c>
      <c r="F128" s="233">
        <v>46185</v>
      </c>
      <c r="G128" s="3" t="str">
        <f>VLOOKUP("*"&amp;sales[[#This Row],[Input]]&amp;"*",'Ref-List'!$A:$C,1,0)</f>
        <v>3733+3922</v>
      </c>
      <c r="H128" s="2" t="str">
        <f>VLOOKUP("*"&amp;G128&amp;"*",'Ref-List'!$A:$C,3,0)</f>
        <v>超濾龍頭式淨水器組合</v>
      </c>
      <c r="I128" s="2">
        <v>3922</v>
      </c>
      <c r="J128" s="2">
        <v>1</v>
      </c>
      <c r="K128" s="2">
        <v>658</v>
      </c>
      <c r="L128" s="2">
        <f>sales[[#This Row],[quantity]]*sales[[#This Row],[price]]</f>
        <v>658</v>
      </c>
      <c r="M128" s="9">
        <f>sales[[#This Row],[Total Price]]*3%</f>
        <v>19.739999999999998</v>
      </c>
      <c r="N128" s="171">
        <f>sales[[#This Row],[Total Price]]*2.5%</f>
        <v>16.45</v>
      </c>
      <c r="O128" s="9">
        <f>sales[[#This Row],[Total Price]]*1.5%</f>
        <v>9.8699999999999992</v>
      </c>
      <c r="Q128" s="2">
        <v>2</v>
      </c>
      <c r="R128" s="5" t="str">
        <f>_xlfn.CONCAT(sales[[#This Row],[Shop]]," ",sales[[#This Row],[Location]])</f>
        <v>YL Citistore</v>
      </c>
    </row>
    <row r="129" spans="1:18" ht="16.5" customHeight="1">
      <c r="A129" s="7">
        <v>127</v>
      </c>
      <c r="B129" s="2" t="s">
        <v>983</v>
      </c>
      <c r="C129" s="5" t="s">
        <v>982</v>
      </c>
      <c r="D129" s="2" t="e">
        <f ca="1">OFFSET(Roster!$B$7, MATCH(B129&amp;" "&amp;C129&amp;"*",Roster!$B$8:$B$20,0),DAY(sales[[#This Row],[date]]),1, 1)</f>
        <v>#N/A</v>
      </c>
      <c r="E129" s="2">
        <f>MONTH(sales[[#This Row],[date]])</f>
        <v>6</v>
      </c>
      <c r="F129" s="233">
        <v>46186</v>
      </c>
      <c r="G129" s="3" t="str">
        <f>VLOOKUP("*"&amp;sales[[#This Row],[Input]]&amp;"*",'Ref-List'!$A:$C,1,0)</f>
        <v>6901+541</v>
      </c>
      <c r="H129" s="2" t="str">
        <f>VLOOKUP("*"&amp;G129&amp;"*",'Ref-List'!$A:$C,3,0)</f>
        <v>RO純淨飲水機 + 濾芯</v>
      </c>
      <c r="I129" s="2">
        <v>541</v>
      </c>
      <c r="J129" s="2">
        <v>2</v>
      </c>
      <c r="K129" s="2">
        <v>568</v>
      </c>
      <c r="L129" s="2">
        <f>sales[[#This Row],[quantity]]*sales[[#This Row],[price]]</f>
        <v>1136</v>
      </c>
      <c r="M129" s="9">
        <f>sales[[#This Row],[Total Price]]*3%</f>
        <v>34.08</v>
      </c>
      <c r="N129" s="171">
        <f>sales[[#This Row],[Total Price]]*2.5%</f>
        <v>28.400000000000002</v>
      </c>
      <c r="O129" s="9">
        <f>sales[[#This Row],[Total Price]]*1.5%</f>
        <v>17.04</v>
      </c>
      <c r="Q129" s="2">
        <v>2</v>
      </c>
      <c r="R129" s="5" t="str">
        <f>_xlfn.CONCAT(sales[[#This Row],[Shop]]," ",sales[[#This Row],[Location]])</f>
        <v>YL Citistore</v>
      </c>
    </row>
    <row r="130" spans="1:18" ht="16.5" customHeight="1">
      <c r="A130" s="7">
        <v>128</v>
      </c>
      <c r="B130" s="2" t="s">
        <v>983</v>
      </c>
      <c r="C130" s="5" t="s">
        <v>982</v>
      </c>
      <c r="D130" s="2" t="e">
        <f ca="1">OFFSET(Roster!$B$7, MATCH(B130&amp;" "&amp;C130&amp;"*",Roster!$B$8:$B$20,0),DAY(sales[[#This Row],[date]]),1, 1)</f>
        <v>#N/A</v>
      </c>
      <c r="E130" s="2">
        <f>MONTH(sales[[#This Row],[date]])</f>
        <v>6</v>
      </c>
      <c r="F130" s="233">
        <v>46186</v>
      </c>
      <c r="G130" s="3" t="str">
        <f>VLOOKUP("*"&amp;sales[[#This Row],[Input]]&amp;"*",'Ref-List'!$A:$C,1,0)</f>
        <v>1775+175</v>
      </c>
      <c r="H130" s="2" t="str">
        <f>VLOOKUP("*"&amp;G130&amp;"*",'Ref-List'!$A:$C,3,0)</f>
        <v>淋浴淨水器套裝</v>
      </c>
      <c r="I130" s="2">
        <v>175</v>
      </c>
      <c r="J130" s="2">
        <v>2</v>
      </c>
      <c r="K130" s="2">
        <v>328</v>
      </c>
      <c r="L130" s="2">
        <f>sales[[#This Row],[quantity]]*sales[[#This Row],[price]]</f>
        <v>656</v>
      </c>
      <c r="M130" s="9">
        <f>sales[[#This Row],[Total Price]]*3%</f>
        <v>19.68</v>
      </c>
      <c r="N130" s="171">
        <f>sales[[#This Row],[Total Price]]*2.5%</f>
        <v>16.400000000000002</v>
      </c>
      <c r="O130" s="9">
        <f>sales[[#This Row],[Total Price]]*1.5%</f>
        <v>9.84</v>
      </c>
      <c r="Q130" s="2">
        <v>2</v>
      </c>
      <c r="R130" s="5" t="str">
        <f>_xlfn.CONCAT(sales[[#This Row],[Shop]]," ",sales[[#This Row],[Location]])</f>
        <v>YL Citistore</v>
      </c>
    </row>
    <row r="131" spans="1:18" ht="16.5" customHeight="1">
      <c r="A131" s="7">
        <v>129</v>
      </c>
      <c r="B131" s="2" t="s">
        <v>983</v>
      </c>
      <c r="C131" s="5" t="s">
        <v>982</v>
      </c>
      <c r="D131" s="2" t="e">
        <f ca="1">OFFSET(Roster!$B$7, MATCH(B131&amp;" "&amp;C131&amp;"*",Roster!$B$8:$B$20,0),DAY(sales[[#This Row],[date]]),1, 1)</f>
        <v>#N/A</v>
      </c>
      <c r="E131" s="2">
        <f>MONTH(sales[[#This Row],[date]])</f>
        <v>6</v>
      </c>
      <c r="F131" s="233">
        <v>46186</v>
      </c>
      <c r="G131" s="3" t="e">
        <f>VLOOKUP("*"&amp;sales[[#This Row],[Input]]&amp;"*",'Ref-List'!$A:$C,1,0)</f>
        <v>#N/A</v>
      </c>
      <c r="H131" s="2" t="e">
        <f>VLOOKUP("*"&amp;G131&amp;"*",'Ref-List'!$A:$C,3,0)</f>
        <v>#N/A</v>
      </c>
      <c r="I131" s="2">
        <v>547</v>
      </c>
      <c r="J131" s="2">
        <v>1</v>
      </c>
      <c r="K131" s="2">
        <v>159.6</v>
      </c>
      <c r="L131" s="2">
        <f>sales[[#This Row],[quantity]]*sales[[#This Row],[price]]</f>
        <v>159.6</v>
      </c>
      <c r="M131" s="9">
        <f>sales[[#This Row],[Total Price]]*3%</f>
        <v>4.7879999999999994</v>
      </c>
      <c r="N131" s="171">
        <f>sales[[#This Row],[Total Price]]*2.5%</f>
        <v>3.99</v>
      </c>
      <c r="O131" s="9">
        <f>sales[[#This Row],[Total Price]]*1.5%</f>
        <v>2.3939999999999997</v>
      </c>
      <c r="Q131" s="2">
        <v>2</v>
      </c>
      <c r="R131" s="5" t="str">
        <f>_xlfn.CONCAT(sales[[#This Row],[Shop]]," ",sales[[#This Row],[Location]])</f>
        <v>YL Citistore</v>
      </c>
    </row>
    <row r="132" spans="1:18" ht="16.5" customHeight="1">
      <c r="A132" s="7">
        <v>130</v>
      </c>
      <c r="B132" s="2" t="s">
        <v>983</v>
      </c>
      <c r="C132" s="5" t="s">
        <v>982</v>
      </c>
      <c r="D132" s="2" t="e">
        <f ca="1">OFFSET(Roster!$B$7, MATCH(B132&amp;" "&amp;C132&amp;"*",Roster!$B$8:$B$20,0),DAY(sales[[#This Row],[date]]),1, 1)</f>
        <v>#N/A</v>
      </c>
      <c r="E132" s="2">
        <f>MONTH(sales[[#This Row],[date]])</f>
        <v>6</v>
      </c>
      <c r="F132" s="233">
        <v>46187</v>
      </c>
      <c r="G132" s="3" t="e">
        <f>VLOOKUP("*"&amp;sales[[#This Row],[Input]]&amp;"*",'Ref-List'!$A:$C,1,0)</f>
        <v>#N/A</v>
      </c>
      <c r="H132" s="2" t="e">
        <f>VLOOKUP("*"&amp;G132&amp;"*",'Ref-List'!$A:$C,3,0)</f>
        <v>#N/A</v>
      </c>
      <c r="I132" s="2">
        <v>6902</v>
      </c>
      <c r="J132" s="2">
        <v>1</v>
      </c>
      <c r="K132" s="2">
        <v>2688</v>
      </c>
      <c r="L132" s="2">
        <f>sales[[#This Row],[quantity]]*sales[[#This Row],[price]]</f>
        <v>2688</v>
      </c>
      <c r="M132" s="9">
        <f>sales[[#This Row],[Total Price]]*3%</f>
        <v>80.64</v>
      </c>
      <c r="N132" s="171">
        <f>sales[[#This Row],[Total Price]]*2.5%</f>
        <v>67.2</v>
      </c>
      <c r="O132" s="9">
        <f>sales[[#This Row],[Total Price]]*1.5%</f>
        <v>40.32</v>
      </c>
      <c r="Q132" s="2">
        <v>3</v>
      </c>
      <c r="R132" s="5" t="str">
        <f>_xlfn.CONCAT(sales[[#This Row],[Shop]]," ",sales[[#This Row],[Location]])</f>
        <v>YL Citistore</v>
      </c>
    </row>
    <row r="133" spans="1:18" ht="16.5" customHeight="1">
      <c r="A133" s="7">
        <v>131</v>
      </c>
      <c r="B133" s="2" t="s">
        <v>983</v>
      </c>
      <c r="C133" s="5" t="s">
        <v>982</v>
      </c>
      <c r="D133" s="2" t="e">
        <f ca="1">OFFSET(Roster!$B$7, MATCH(B133&amp;" "&amp;C133&amp;"*",Roster!$B$8:$B$20,0),DAY(sales[[#This Row],[date]]),1, 1)</f>
        <v>#N/A</v>
      </c>
      <c r="E133" s="2">
        <f>MONTH(sales[[#This Row],[date]])</f>
        <v>6</v>
      </c>
      <c r="F133" s="233">
        <v>46187</v>
      </c>
      <c r="G133" s="3" t="str">
        <f>VLOOKUP("*"&amp;sales[[#This Row],[Input]]&amp;"*",'Ref-List'!$A:$C,1,0)</f>
        <v>3811+3911</v>
      </c>
      <c r="H133" s="2" t="str">
        <f>VLOOKUP("*"&amp;G133&amp;"*",'Ref-List'!$A:$C,3,0)</f>
        <v>超濾淨水器 + 濾芯套裝</v>
      </c>
      <c r="I133" s="2">
        <v>3911</v>
      </c>
      <c r="J133" s="2">
        <v>1</v>
      </c>
      <c r="K133" s="2">
        <v>488</v>
      </c>
      <c r="L133" s="2">
        <f>sales[[#This Row],[quantity]]*sales[[#This Row],[price]]</f>
        <v>488</v>
      </c>
      <c r="M133" s="9">
        <f>sales[[#This Row],[Total Price]]*3%</f>
        <v>14.639999999999999</v>
      </c>
      <c r="N133" s="171">
        <f>sales[[#This Row],[Total Price]]*2.5%</f>
        <v>12.200000000000001</v>
      </c>
      <c r="O133" s="9">
        <f>sales[[#This Row],[Total Price]]*1.5%</f>
        <v>7.3199999999999994</v>
      </c>
      <c r="Q133" s="2">
        <v>3</v>
      </c>
      <c r="R133" s="5" t="str">
        <f>_xlfn.CONCAT(sales[[#This Row],[Shop]]," ",sales[[#This Row],[Location]])</f>
        <v>YL Citistore</v>
      </c>
    </row>
    <row r="134" spans="1:18" ht="16.5" customHeight="1">
      <c r="A134" s="7">
        <v>132</v>
      </c>
      <c r="B134" s="2" t="s">
        <v>983</v>
      </c>
      <c r="C134" s="5" t="s">
        <v>982</v>
      </c>
      <c r="D134" s="2" t="e">
        <f ca="1">OFFSET(Roster!$B$7, MATCH(B134&amp;" "&amp;C134&amp;"*",Roster!$B$8:$B$20,0),DAY(sales[[#This Row],[date]]),1, 1)</f>
        <v>#N/A</v>
      </c>
      <c r="E134" s="2">
        <f>MONTH(sales[[#This Row],[date]])</f>
        <v>6</v>
      </c>
      <c r="F134" s="233">
        <v>46187</v>
      </c>
      <c r="G134" s="3" t="str">
        <f>VLOOKUP("*"&amp;sales[[#This Row],[Input]]&amp;"*",'Ref-List'!$A:$C,1,0)</f>
        <v>3773+3922</v>
      </c>
      <c r="H134" s="2" t="str">
        <f>VLOOKUP("*"&amp;G134&amp;"*",'Ref-List'!$A:$C,3,0)</f>
        <v>水龍頭過濾器 + 濾心</v>
      </c>
      <c r="I134" s="2">
        <v>3773</v>
      </c>
      <c r="J134" s="2">
        <v>1</v>
      </c>
      <c r="K134" s="2">
        <v>1028</v>
      </c>
      <c r="L134" s="2">
        <f>sales[[#This Row],[quantity]]*sales[[#This Row],[price]]</f>
        <v>1028</v>
      </c>
      <c r="M134" s="9">
        <f>sales[[#This Row],[Total Price]]*3%</f>
        <v>30.84</v>
      </c>
      <c r="N134" s="171">
        <f>sales[[#This Row],[Total Price]]*2.5%</f>
        <v>25.700000000000003</v>
      </c>
      <c r="O134" s="9">
        <f>sales[[#This Row],[Total Price]]*1.5%</f>
        <v>15.42</v>
      </c>
      <c r="Q134" s="2">
        <v>3</v>
      </c>
      <c r="R134" s="5" t="str">
        <f>_xlfn.CONCAT(sales[[#This Row],[Shop]]," ",sales[[#This Row],[Location]])</f>
        <v>YL Citistore</v>
      </c>
    </row>
    <row r="135" spans="1:18" ht="16.5" customHeight="1">
      <c r="A135" s="7">
        <v>133</v>
      </c>
      <c r="B135" s="2" t="s">
        <v>983</v>
      </c>
      <c r="C135" s="5" t="s">
        <v>982</v>
      </c>
      <c r="D135" s="2" t="e">
        <f ca="1">OFFSET(Roster!$B$7, MATCH(B135&amp;" "&amp;C135&amp;"*",Roster!$B$8:$B$20,0),DAY(sales[[#This Row],[date]]),1, 1)</f>
        <v>#N/A</v>
      </c>
      <c r="E135" s="2">
        <f>MONTH(sales[[#This Row],[date]])</f>
        <v>6</v>
      </c>
      <c r="F135" s="233">
        <v>46187</v>
      </c>
      <c r="G135" s="3" t="str">
        <f>VLOOKUP("*"&amp;sales[[#This Row],[Input]]&amp;"*",'Ref-List'!$A:$C,1,0)</f>
        <v>3733+3922</v>
      </c>
      <c r="H135" s="2" t="str">
        <f>VLOOKUP("*"&amp;G135&amp;"*",'Ref-List'!$A:$C,3,0)</f>
        <v>超濾龍頭式淨水器組合</v>
      </c>
      <c r="I135" s="2">
        <v>3922</v>
      </c>
      <c r="J135" s="2">
        <v>1</v>
      </c>
      <c r="K135" s="2">
        <v>658</v>
      </c>
      <c r="L135" s="2">
        <f>sales[[#This Row],[quantity]]*sales[[#This Row],[price]]</f>
        <v>658</v>
      </c>
      <c r="M135" s="9">
        <f>sales[[#This Row],[Total Price]]*3%</f>
        <v>19.739999999999998</v>
      </c>
      <c r="N135" s="171">
        <f>sales[[#This Row],[Total Price]]*2.5%</f>
        <v>16.45</v>
      </c>
      <c r="O135" s="9">
        <f>sales[[#This Row],[Total Price]]*1.5%</f>
        <v>9.8699999999999992</v>
      </c>
      <c r="Q135" s="2">
        <v>3</v>
      </c>
      <c r="R135" s="5" t="str">
        <f>_xlfn.CONCAT(sales[[#This Row],[Shop]]," ",sales[[#This Row],[Location]])</f>
        <v>YL Citistore</v>
      </c>
    </row>
    <row r="136" spans="1:18" ht="16.5" customHeight="1">
      <c r="A136" s="7">
        <v>134</v>
      </c>
      <c r="B136" s="2" t="s">
        <v>983</v>
      </c>
      <c r="C136" s="5" t="s">
        <v>982</v>
      </c>
      <c r="D136" s="2" t="e">
        <f ca="1">OFFSET(Roster!$B$7, MATCH(B136&amp;" "&amp;C136&amp;"*",Roster!$B$8:$B$20,0),DAY(sales[[#This Row],[date]]),1, 1)</f>
        <v>#N/A</v>
      </c>
      <c r="E136" s="2">
        <f>MONTH(sales[[#This Row],[date]])</f>
        <v>6</v>
      </c>
      <c r="F136" s="233">
        <v>46187</v>
      </c>
      <c r="G136" s="3" t="str">
        <f>VLOOKUP("*"&amp;sales[[#This Row],[Input]]&amp;"*",'Ref-List'!$A:$C,1,0)</f>
        <v>3811/00</v>
      </c>
      <c r="H136" s="2" t="str">
        <f>VLOOKUP("*"&amp;G136&amp;"*",'Ref-List'!$A:$C,3,0)</f>
        <v>水龍頭濾水器</v>
      </c>
      <c r="I136" s="2">
        <v>3811</v>
      </c>
      <c r="J136" s="2">
        <v>1</v>
      </c>
      <c r="K136" s="2">
        <v>438</v>
      </c>
      <c r="L136" s="2">
        <f>sales[[#This Row],[quantity]]*sales[[#This Row],[price]]</f>
        <v>438</v>
      </c>
      <c r="M136" s="9">
        <f>sales[[#This Row],[Total Price]]*3%</f>
        <v>13.139999999999999</v>
      </c>
      <c r="N136" s="171">
        <f>sales[[#This Row],[Total Price]]*2.5%</f>
        <v>10.950000000000001</v>
      </c>
      <c r="O136" s="9">
        <f>sales[[#This Row],[Total Price]]*1.5%</f>
        <v>6.5699999999999994</v>
      </c>
      <c r="Q136" s="2">
        <v>3</v>
      </c>
      <c r="R136" s="5" t="str">
        <f>_xlfn.CONCAT(sales[[#This Row],[Shop]]," ",sales[[#This Row],[Location]])</f>
        <v>YL Citistore</v>
      </c>
    </row>
    <row r="137" spans="1:18" ht="16.5" customHeight="1">
      <c r="A137" s="7">
        <v>135</v>
      </c>
      <c r="B137" s="2" t="s">
        <v>983</v>
      </c>
      <c r="C137" s="5" t="s">
        <v>982</v>
      </c>
      <c r="D137" s="2" t="e">
        <f ca="1">OFFSET(Roster!$B$7, MATCH(B137&amp;" "&amp;C137&amp;"*",Roster!$B$8:$B$20,0),DAY(sales[[#This Row],[date]]),1, 1)</f>
        <v>#N/A</v>
      </c>
      <c r="E137" s="2">
        <f>MONTH(sales[[#This Row],[date]])</f>
        <v>6</v>
      </c>
      <c r="F137" s="233">
        <v>46191</v>
      </c>
      <c r="G137" s="3" t="str">
        <f>VLOOKUP("*"&amp;sales[[#This Row],[Input]]&amp;"*",'Ref-List'!$A:$C,1,0)</f>
        <v>3733+3922</v>
      </c>
      <c r="H137" s="2" t="str">
        <f>VLOOKUP("*"&amp;G137&amp;"*",'Ref-List'!$A:$C,3,0)</f>
        <v>超濾龍頭式淨水器組合</v>
      </c>
      <c r="I137" s="2">
        <v>3922</v>
      </c>
      <c r="J137" s="2">
        <v>1</v>
      </c>
      <c r="K137" s="2">
        <v>658</v>
      </c>
      <c r="L137" s="2">
        <f>sales[[#This Row],[quantity]]*sales[[#This Row],[price]]</f>
        <v>658</v>
      </c>
      <c r="M137" s="9">
        <f>sales[[#This Row],[Total Price]]*3%</f>
        <v>19.739999999999998</v>
      </c>
      <c r="N137" s="171">
        <f>sales[[#This Row],[Total Price]]*2.5%</f>
        <v>16.45</v>
      </c>
      <c r="O137" s="9">
        <f>sales[[#This Row],[Total Price]]*1.5%</f>
        <v>9.8699999999999992</v>
      </c>
      <c r="Q137" s="2">
        <v>3</v>
      </c>
      <c r="R137" s="5" t="str">
        <f>_xlfn.CONCAT(sales[[#This Row],[Shop]]," ",sales[[#This Row],[Location]])</f>
        <v>YL Citistore</v>
      </c>
    </row>
    <row r="138" spans="1:18" ht="16.5" customHeight="1">
      <c r="A138" s="7">
        <v>136</v>
      </c>
      <c r="B138" s="2" t="s">
        <v>983</v>
      </c>
      <c r="C138" s="5" t="s">
        <v>982</v>
      </c>
      <c r="D138" s="2" t="e">
        <f ca="1">OFFSET(Roster!$B$7, MATCH(B138&amp;" "&amp;C138&amp;"*",Roster!$B$8:$B$20,0),DAY(sales[[#This Row],[date]]),1, 1)</f>
        <v>#N/A</v>
      </c>
      <c r="E138" s="2">
        <f>MONTH(sales[[#This Row],[date]])</f>
        <v>6</v>
      </c>
      <c r="F138" s="233">
        <v>46191</v>
      </c>
      <c r="G138" s="3" t="str">
        <f>VLOOKUP("*"&amp;sales[[#This Row],[Input]]&amp;"*",'Ref-List'!$A:$C,1,0)</f>
        <v>3811+3911</v>
      </c>
      <c r="H138" s="2" t="str">
        <f>VLOOKUP("*"&amp;G138&amp;"*",'Ref-List'!$A:$C,3,0)</f>
        <v>超濾淨水器 + 濾芯套裝</v>
      </c>
      <c r="I138" s="2">
        <v>3911</v>
      </c>
      <c r="J138" s="2">
        <v>1</v>
      </c>
      <c r="K138" s="2">
        <v>488</v>
      </c>
      <c r="L138" s="2">
        <f>sales[[#This Row],[quantity]]*sales[[#This Row],[price]]</f>
        <v>488</v>
      </c>
      <c r="M138" s="9">
        <f>sales[[#This Row],[Total Price]]*3%</f>
        <v>14.639999999999999</v>
      </c>
      <c r="N138" s="171">
        <f>sales[[#This Row],[Total Price]]*2.5%</f>
        <v>12.200000000000001</v>
      </c>
      <c r="O138" s="9">
        <f>sales[[#This Row],[Total Price]]*1.5%</f>
        <v>7.3199999999999994</v>
      </c>
      <c r="Q138" s="2">
        <v>3</v>
      </c>
      <c r="R138" s="5" t="str">
        <f>_xlfn.CONCAT(sales[[#This Row],[Shop]]," ",sales[[#This Row],[Location]])</f>
        <v>YL Citistore</v>
      </c>
    </row>
    <row r="139" spans="1:18" ht="16.5" customHeight="1">
      <c r="A139" s="7">
        <v>137</v>
      </c>
      <c r="B139" s="2" t="s">
        <v>983</v>
      </c>
      <c r="C139" s="5" t="s">
        <v>982</v>
      </c>
      <c r="D139" s="2" t="e">
        <f ca="1">OFFSET(Roster!$B$7, MATCH(B139&amp;" "&amp;C139&amp;"*",Roster!$B$8:$B$20,0),DAY(sales[[#This Row],[date]]),1, 1)</f>
        <v>#N/A</v>
      </c>
      <c r="E139" s="2">
        <f>MONTH(sales[[#This Row],[date]])</f>
        <v>6</v>
      </c>
      <c r="F139" s="233">
        <v>46192</v>
      </c>
      <c r="G139" s="3" t="str">
        <f>VLOOKUP("*"&amp;sales[[#This Row],[Input]]&amp;"*",'Ref-List'!$A:$C,1,0)</f>
        <v>3733+3922</v>
      </c>
      <c r="H139" s="2" t="str">
        <f>VLOOKUP("*"&amp;G139&amp;"*",'Ref-List'!$A:$C,3,0)</f>
        <v>超濾龍頭式淨水器組合</v>
      </c>
      <c r="I139" s="2">
        <v>3922</v>
      </c>
      <c r="J139" s="2">
        <v>1</v>
      </c>
      <c r="K139" s="2">
        <v>658</v>
      </c>
      <c r="L139" s="2">
        <f>sales[[#This Row],[quantity]]*sales[[#This Row],[price]]</f>
        <v>658</v>
      </c>
      <c r="M139" s="9">
        <f>sales[[#This Row],[Total Price]]*3%</f>
        <v>19.739999999999998</v>
      </c>
      <c r="N139" s="171">
        <f>sales[[#This Row],[Total Price]]*2.5%</f>
        <v>16.45</v>
      </c>
      <c r="O139" s="9">
        <f>sales[[#This Row],[Total Price]]*1.5%</f>
        <v>9.8699999999999992</v>
      </c>
      <c r="Q139" s="2">
        <v>3</v>
      </c>
      <c r="R139" s="5" t="str">
        <f>_xlfn.CONCAT(sales[[#This Row],[Shop]]," ",sales[[#This Row],[Location]])</f>
        <v>YL Citistore</v>
      </c>
    </row>
    <row r="140" spans="1:18" ht="16.5" customHeight="1">
      <c r="A140" s="7">
        <v>138</v>
      </c>
      <c r="B140" s="2" t="s">
        <v>983</v>
      </c>
      <c r="C140" s="5" t="s">
        <v>982</v>
      </c>
      <c r="D140" s="2" t="e">
        <f ca="1">OFFSET(Roster!$B$7, MATCH(B140&amp;" "&amp;C140&amp;"*",Roster!$B$8:$B$20,0),DAY(sales[[#This Row],[date]]),1, 1)</f>
        <v>#N/A</v>
      </c>
      <c r="E140" s="2">
        <f>MONTH(sales[[#This Row],[date]])</f>
        <v>6</v>
      </c>
      <c r="F140" s="233">
        <v>46192</v>
      </c>
      <c r="G140" s="3" t="str">
        <f>VLOOKUP("*"&amp;sales[[#This Row],[Input]]&amp;"*",'Ref-List'!$A:$C,1,0)</f>
        <v>6901+541</v>
      </c>
      <c r="H140" s="2" t="str">
        <f>VLOOKUP("*"&amp;G140&amp;"*",'Ref-List'!$A:$C,3,0)</f>
        <v>RO純淨飲水機 + 濾芯</v>
      </c>
      <c r="I140" s="2">
        <v>541</v>
      </c>
      <c r="J140" s="2">
        <v>1</v>
      </c>
      <c r="K140" s="2">
        <v>568</v>
      </c>
      <c r="L140" s="2">
        <f>sales[[#This Row],[quantity]]*sales[[#This Row],[price]]</f>
        <v>568</v>
      </c>
      <c r="M140" s="9">
        <f>sales[[#This Row],[Total Price]]*3%</f>
        <v>17.04</v>
      </c>
      <c r="N140" s="171">
        <f>sales[[#This Row],[Total Price]]*2.5%</f>
        <v>14.200000000000001</v>
      </c>
      <c r="O140" s="9">
        <f>sales[[#This Row],[Total Price]]*1.5%</f>
        <v>8.52</v>
      </c>
      <c r="Q140" s="2">
        <v>3</v>
      </c>
      <c r="R140" s="5" t="str">
        <f>_xlfn.CONCAT(sales[[#This Row],[Shop]]," ",sales[[#This Row],[Location]])</f>
        <v>YL Citistore</v>
      </c>
    </row>
    <row r="141" spans="1:18" ht="16.5" customHeight="1">
      <c r="A141" s="7">
        <v>139</v>
      </c>
      <c r="B141" s="2" t="s">
        <v>983</v>
      </c>
      <c r="C141" s="5" t="s">
        <v>982</v>
      </c>
      <c r="D141" s="2" t="e">
        <f ca="1">OFFSET(Roster!$B$7, MATCH(B141&amp;" "&amp;C141&amp;"*",Roster!$B$8:$B$20,0),DAY(sales[[#This Row],[date]]),1, 1)</f>
        <v>#N/A</v>
      </c>
      <c r="E141" s="2">
        <f>MONTH(sales[[#This Row],[date]])</f>
        <v>6</v>
      </c>
      <c r="F141" s="233">
        <v>46193</v>
      </c>
      <c r="G141" s="3" t="str">
        <f>VLOOKUP("*"&amp;sales[[#This Row],[Input]]&amp;"*",'Ref-List'!$A:$C,1,0)</f>
        <v>6901+541</v>
      </c>
      <c r="H141" s="2" t="str">
        <f>VLOOKUP("*"&amp;G141&amp;"*",'Ref-List'!$A:$C,3,0)</f>
        <v>RO純淨飲水機 + 濾芯</v>
      </c>
      <c r="I141" s="2">
        <v>541</v>
      </c>
      <c r="J141" s="2">
        <v>2</v>
      </c>
      <c r="K141" s="2">
        <v>568</v>
      </c>
      <c r="L141" s="2">
        <f>sales[[#This Row],[quantity]]*sales[[#This Row],[price]]</f>
        <v>1136</v>
      </c>
      <c r="M141" s="9">
        <f>sales[[#This Row],[Total Price]]*3%</f>
        <v>34.08</v>
      </c>
      <c r="N141" s="171">
        <f>sales[[#This Row],[Total Price]]*2.5%</f>
        <v>28.400000000000002</v>
      </c>
      <c r="O141" s="9">
        <f>sales[[#This Row],[Total Price]]*1.5%</f>
        <v>17.04</v>
      </c>
      <c r="Q141" s="2">
        <v>3</v>
      </c>
      <c r="R141" s="5" t="str">
        <f>_xlfn.CONCAT(sales[[#This Row],[Shop]]," ",sales[[#This Row],[Location]])</f>
        <v>YL Citistore</v>
      </c>
    </row>
    <row r="142" spans="1:18" ht="16.5" customHeight="1">
      <c r="A142" s="7">
        <v>140</v>
      </c>
      <c r="B142" s="2" t="s">
        <v>983</v>
      </c>
      <c r="C142" s="5" t="s">
        <v>982</v>
      </c>
      <c r="D142" s="2" t="e">
        <f ca="1">OFFSET(Roster!$B$7, MATCH(B142&amp;" "&amp;C142&amp;"*",Roster!$B$8:$B$20,0),DAY(sales[[#This Row],[date]]),1, 1)</f>
        <v>#N/A</v>
      </c>
      <c r="E142" s="2">
        <f>MONTH(sales[[#This Row],[date]])</f>
        <v>6</v>
      </c>
      <c r="F142" s="233">
        <v>46193</v>
      </c>
      <c r="G142" s="3" t="e">
        <f>VLOOKUP("*"&amp;sales[[#This Row],[Input]]&amp;"*",'Ref-List'!$A:$C,1,0)</f>
        <v>#N/A</v>
      </c>
      <c r="H142" s="2" t="e">
        <f>VLOOKUP("*"&amp;G142&amp;"*",'Ref-List'!$A:$C,3,0)</f>
        <v>#N/A</v>
      </c>
      <c r="I142" s="2">
        <v>547</v>
      </c>
      <c r="J142" s="2">
        <v>1</v>
      </c>
      <c r="K142" s="2">
        <v>159.6</v>
      </c>
      <c r="L142" s="2">
        <f>sales[[#This Row],[quantity]]*sales[[#This Row],[price]]</f>
        <v>159.6</v>
      </c>
      <c r="M142" s="9">
        <f>sales[[#This Row],[Total Price]]*3%</f>
        <v>4.7879999999999994</v>
      </c>
      <c r="N142" s="171">
        <f>sales[[#This Row],[Total Price]]*2.5%</f>
        <v>3.99</v>
      </c>
      <c r="O142" s="9">
        <f>sales[[#This Row],[Total Price]]*1.5%</f>
        <v>2.3939999999999997</v>
      </c>
      <c r="Q142" s="2">
        <v>3</v>
      </c>
      <c r="R142" s="5" t="str">
        <f>_xlfn.CONCAT(sales[[#This Row],[Shop]]," ",sales[[#This Row],[Location]])</f>
        <v>YL Citistore</v>
      </c>
    </row>
    <row r="143" spans="1:18" ht="16.5" customHeight="1">
      <c r="A143" s="7">
        <v>141</v>
      </c>
      <c r="B143" s="2" t="s">
        <v>983</v>
      </c>
      <c r="C143" s="5" t="s">
        <v>982</v>
      </c>
      <c r="D143" s="2" t="e">
        <f ca="1">OFFSET(Roster!$B$7, MATCH(B143&amp;" "&amp;C143&amp;"*",Roster!$B$8:$B$20,0),DAY(sales[[#This Row],[date]]),1, 1)</f>
        <v>#N/A</v>
      </c>
      <c r="E143" s="2">
        <f>MONTH(sales[[#This Row],[date]])</f>
        <v>6</v>
      </c>
      <c r="F143" s="233">
        <v>46193</v>
      </c>
      <c r="G143" s="3" t="str">
        <f>VLOOKUP("*"&amp;sales[[#This Row],[Input]]&amp;"*",'Ref-List'!$A:$C,1,0)</f>
        <v>3733+3922</v>
      </c>
      <c r="H143" s="2" t="str">
        <f>VLOOKUP("*"&amp;G143&amp;"*",'Ref-List'!$A:$C,3,0)</f>
        <v>超濾龍頭式淨水器組合</v>
      </c>
      <c r="I143" s="2">
        <v>3922</v>
      </c>
      <c r="J143" s="2">
        <v>2</v>
      </c>
      <c r="K143" s="2">
        <v>658</v>
      </c>
      <c r="L143" s="2">
        <f>sales[[#This Row],[quantity]]*sales[[#This Row],[price]]</f>
        <v>1316</v>
      </c>
      <c r="M143" s="9">
        <f>sales[[#This Row],[Total Price]]*3%</f>
        <v>39.479999999999997</v>
      </c>
      <c r="N143" s="171">
        <f>sales[[#This Row],[Total Price]]*2.5%</f>
        <v>32.9</v>
      </c>
      <c r="O143" s="9">
        <f>sales[[#This Row],[Total Price]]*1.5%</f>
        <v>19.739999999999998</v>
      </c>
      <c r="Q143" s="2">
        <v>3</v>
      </c>
      <c r="R143" s="5" t="str">
        <f>_xlfn.CONCAT(sales[[#This Row],[Shop]]," ",sales[[#This Row],[Location]])</f>
        <v>YL Citistore</v>
      </c>
    </row>
    <row r="144" spans="1:18" ht="16.5" customHeight="1">
      <c r="A144" s="7">
        <v>142</v>
      </c>
      <c r="B144" s="2" t="s">
        <v>983</v>
      </c>
      <c r="C144" s="5" t="s">
        <v>982</v>
      </c>
      <c r="D144" s="2" t="e">
        <f ca="1">OFFSET(Roster!$B$7, MATCH(B144&amp;" "&amp;C144&amp;"*",Roster!$B$8:$B$20,0),DAY(sales[[#This Row],[date]]),1, 1)</f>
        <v>#N/A</v>
      </c>
      <c r="E144" s="2">
        <f>MONTH(sales[[#This Row],[date]])</f>
        <v>6</v>
      </c>
      <c r="F144" s="233">
        <v>46194</v>
      </c>
      <c r="G144" s="3" t="str">
        <f>VLOOKUP("*"&amp;sales[[#This Row],[Input]]&amp;"*",'Ref-List'!$A:$C,1,0)</f>
        <v>3811+3911</v>
      </c>
      <c r="H144" s="2" t="str">
        <f>VLOOKUP("*"&amp;G144&amp;"*",'Ref-List'!$A:$C,3,0)</f>
        <v>超濾淨水器 + 濾芯套裝</v>
      </c>
      <c r="I144" s="2">
        <v>3911</v>
      </c>
      <c r="J144" s="2">
        <v>2</v>
      </c>
      <c r="K144" s="2">
        <v>488</v>
      </c>
      <c r="L144" s="2">
        <f>sales[[#This Row],[quantity]]*sales[[#This Row],[price]]</f>
        <v>976</v>
      </c>
      <c r="M144" s="9">
        <f>sales[[#This Row],[Total Price]]*3%</f>
        <v>29.279999999999998</v>
      </c>
      <c r="N144" s="171">
        <f>sales[[#This Row],[Total Price]]*2.5%</f>
        <v>24.400000000000002</v>
      </c>
      <c r="O144" s="9">
        <f>sales[[#This Row],[Total Price]]*1.5%</f>
        <v>14.639999999999999</v>
      </c>
      <c r="Q144" s="2">
        <v>4</v>
      </c>
      <c r="R144" s="5" t="str">
        <f>_xlfn.CONCAT(sales[[#This Row],[Shop]]," ",sales[[#This Row],[Location]])</f>
        <v>YL Citistore</v>
      </c>
    </row>
    <row r="145" spans="1:18" ht="16.5" customHeight="1">
      <c r="A145" s="7">
        <v>143</v>
      </c>
      <c r="B145" s="2" t="s">
        <v>983</v>
      </c>
      <c r="C145" s="5" t="s">
        <v>982</v>
      </c>
      <c r="D145" s="2" t="e">
        <f ca="1">OFFSET(Roster!$B$7, MATCH(B145&amp;" "&amp;C145&amp;"*",Roster!$B$8:$B$20,0),DAY(sales[[#This Row],[date]]),1, 1)</f>
        <v>#N/A</v>
      </c>
      <c r="E145" s="2">
        <f>MONTH(sales[[#This Row],[date]])</f>
        <v>6</v>
      </c>
      <c r="F145" s="233">
        <v>46194</v>
      </c>
      <c r="G145" s="3" t="e">
        <f>VLOOKUP("*"&amp;sales[[#This Row],[Input]]&amp;"*",'Ref-List'!$A:$C,1,0)</f>
        <v>#N/A</v>
      </c>
      <c r="H145" s="2" t="e">
        <f>VLOOKUP("*"&amp;G145&amp;"*",'Ref-List'!$A:$C,3,0)</f>
        <v>#N/A</v>
      </c>
      <c r="I145" s="2">
        <v>547</v>
      </c>
      <c r="J145" s="2">
        <v>2</v>
      </c>
      <c r="K145" s="2">
        <v>159.6</v>
      </c>
      <c r="L145" s="2">
        <f>sales[[#This Row],[quantity]]*sales[[#This Row],[price]]</f>
        <v>319.2</v>
      </c>
      <c r="M145" s="9">
        <f>sales[[#This Row],[Total Price]]*3%</f>
        <v>9.5759999999999987</v>
      </c>
      <c r="N145" s="171">
        <f>sales[[#This Row],[Total Price]]*2.5%</f>
        <v>7.98</v>
      </c>
      <c r="O145" s="9">
        <f>sales[[#This Row],[Total Price]]*1.5%</f>
        <v>4.7879999999999994</v>
      </c>
      <c r="Q145" s="2">
        <v>4</v>
      </c>
      <c r="R145" s="5" t="str">
        <f>_xlfn.CONCAT(sales[[#This Row],[Shop]]," ",sales[[#This Row],[Location]])</f>
        <v>YL Citistore</v>
      </c>
    </row>
    <row r="146" spans="1:18" ht="16.5" customHeight="1">
      <c r="A146" s="7">
        <v>144</v>
      </c>
      <c r="B146" s="2" t="s">
        <v>983</v>
      </c>
      <c r="C146" s="5" t="s">
        <v>982</v>
      </c>
      <c r="D146" s="2" t="e">
        <f ca="1">OFFSET(Roster!$B$7, MATCH(B146&amp;" "&amp;C146&amp;"*",Roster!$B$8:$B$20,0),DAY(sales[[#This Row],[date]]),1, 1)</f>
        <v>#N/A</v>
      </c>
      <c r="E146" s="2">
        <f>MONTH(sales[[#This Row],[date]])</f>
        <v>6</v>
      </c>
      <c r="F146" s="233">
        <v>46194</v>
      </c>
      <c r="G146" s="3" t="str">
        <f>VLOOKUP("*"&amp;sales[[#This Row],[Input]]&amp;"*",'Ref-List'!$A:$C,1,0)</f>
        <v>6901+541</v>
      </c>
      <c r="H146" s="2" t="str">
        <f>VLOOKUP("*"&amp;G146&amp;"*",'Ref-List'!$A:$C,3,0)</f>
        <v>RO純淨飲水機 + 濾芯</v>
      </c>
      <c r="I146" s="2">
        <v>541</v>
      </c>
      <c r="J146" s="2">
        <v>2</v>
      </c>
      <c r="K146" s="2">
        <v>568</v>
      </c>
      <c r="L146" s="2">
        <f>sales[[#This Row],[quantity]]*sales[[#This Row],[price]]</f>
        <v>1136</v>
      </c>
      <c r="M146" s="9">
        <f>sales[[#This Row],[Total Price]]*3%</f>
        <v>34.08</v>
      </c>
      <c r="N146" s="171">
        <f>sales[[#This Row],[Total Price]]*2.5%</f>
        <v>28.400000000000002</v>
      </c>
      <c r="O146" s="9">
        <f>sales[[#This Row],[Total Price]]*1.5%</f>
        <v>17.04</v>
      </c>
      <c r="Q146" s="2">
        <v>4</v>
      </c>
      <c r="R146" s="5" t="str">
        <f>_xlfn.CONCAT(sales[[#This Row],[Shop]]," ",sales[[#This Row],[Location]])</f>
        <v>YL Citistore</v>
      </c>
    </row>
    <row r="147" spans="1:18" ht="16.5" customHeight="1">
      <c r="A147" s="7">
        <v>145</v>
      </c>
      <c r="B147" s="2" t="s">
        <v>983</v>
      </c>
      <c r="C147" s="5" t="s">
        <v>982</v>
      </c>
      <c r="D147" s="2" t="e">
        <f ca="1">OFFSET(Roster!$B$7, MATCH(B147&amp;" "&amp;C147&amp;"*",Roster!$B$8:$B$20,0),DAY(sales[[#This Row],[date]]),1, 1)</f>
        <v>#N/A</v>
      </c>
      <c r="E147" s="2">
        <f>MONTH(sales[[#This Row],[date]])</f>
        <v>6</v>
      </c>
      <c r="F147" s="233">
        <v>46194</v>
      </c>
      <c r="G147" s="3" t="str">
        <f>VLOOKUP("*"&amp;sales[[#This Row],[Input]]&amp;"*",'Ref-List'!$A:$C,1,0)</f>
        <v>6910+1775</v>
      </c>
      <c r="H147" s="2" t="str">
        <f>VLOOKUP("*"&amp;G147&amp;"*",'Ref-List'!$A:$C,3,0)</f>
        <v>RO純淨飲水機 + 淋浴淨水器</v>
      </c>
      <c r="I147" s="2">
        <v>1775</v>
      </c>
      <c r="J147" s="2">
        <v>1</v>
      </c>
      <c r="K147" s="2">
        <v>498</v>
      </c>
      <c r="L147" s="2">
        <f>sales[[#This Row],[quantity]]*sales[[#This Row],[price]]</f>
        <v>498</v>
      </c>
      <c r="M147" s="9">
        <f>sales[[#This Row],[Total Price]]*3%</f>
        <v>14.94</v>
      </c>
      <c r="N147" s="171">
        <f>sales[[#This Row],[Total Price]]*2.5%</f>
        <v>12.450000000000001</v>
      </c>
      <c r="O147" s="9">
        <f>sales[[#This Row],[Total Price]]*1.5%</f>
        <v>7.47</v>
      </c>
      <c r="Q147" s="2">
        <v>4</v>
      </c>
      <c r="R147" s="5" t="str">
        <f>_xlfn.CONCAT(sales[[#This Row],[Shop]]," ",sales[[#This Row],[Location]])</f>
        <v>YL Citistore</v>
      </c>
    </row>
    <row r="148" spans="1:18" ht="16.5" customHeight="1">
      <c r="A148" s="7">
        <v>146</v>
      </c>
      <c r="B148" s="2" t="s">
        <v>983</v>
      </c>
      <c r="C148" s="5" t="s">
        <v>982</v>
      </c>
      <c r="D148" s="2" t="e">
        <f ca="1">OFFSET(Roster!$B$7, MATCH(B148&amp;" "&amp;C148&amp;"*",Roster!$B$8:$B$20,0),DAY(sales[[#This Row],[date]]),1, 1)</f>
        <v>#N/A</v>
      </c>
      <c r="E148" s="2">
        <f>MONTH(sales[[#This Row],[date]])</f>
        <v>6</v>
      </c>
      <c r="F148" s="233">
        <v>46198</v>
      </c>
      <c r="G148" s="3" t="e">
        <f>VLOOKUP("*"&amp;sales[[#This Row],[Input]]&amp;"*",'Ref-List'!$A:$C,1,0)</f>
        <v>#N/A</v>
      </c>
      <c r="H148" s="2" t="e">
        <f>VLOOKUP("*"&amp;G148&amp;"*",'Ref-List'!$A:$C,3,0)</f>
        <v>#N/A</v>
      </c>
      <c r="I148" s="2">
        <v>583</v>
      </c>
      <c r="J148" s="2">
        <v>1</v>
      </c>
      <c r="K148" s="2">
        <v>868</v>
      </c>
      <c r="L148" s="2">
        <f>sales[[#This Row],[quantity]]*sales[[#This Row],[price]]</f>
        <v>868</v>
      </c>
      <c r="M148" s="9">
        <f>sales[[#This Row],[Total Price]]*3%</f>
        <v>26.04</v>
      </c>
      <c r="N148" s="171">
        <f>sales[[#This Row],[Total Price]]*2.5%</f>
        <v>21.700000000000003</v>
      </c>
      <c r="O148" s="9">
        <f>sales[[#This Row],[Total Price]]*1.5%</f>
        <v>13.02</v>
      </c>
      <c r="Q148" s="2">
        <v>4</v>
      </c>
      <c r="R148" s="5" t="str">
        <f>_xlfn.CONCAT(sales[[#This Row],[Shop]]," ",sales[[#This Row],[Location]])</f>
        <v>YL Citistore</v>
      </c>
    </row>
    <row r="149" spans="1:18" ht="16.5" customHeight="1">
      <c r="A149" s="7">
        <v>147</v>
      </c>
      <c r="B149" s="2" t="s">
        <v>983</v>
      </c>
      <c r="C149" s="5" t="s">
        <v>982</v>
      </c>
      <c r="D149" s="2" t="e">
        <f ca="1">OFFSET(Roster!$B$7, MATCH(B149&amp;" "&amp;C149&amp;"*",Roster!$B$8:$B$20,0),DAY(sales[[#This Row],[date]]),1, 1)</f>
        <v>#N/A</v>
      </c>
      <c r="E149" s="2">
        <f>MONTH(sales[[#This Row],[date]])</f>
        <v>6</v>
      </c>
      <c r="F149" s="233">
        <v>46198</v>
      </c>
      <c r="G149" s="3" t="str">
        <f>VLOOKUP("*"&amp;sales[[#This Row],[Input]]&amp;"*",'Ref-List'!$A:$C,1,0)</f>
        <v>3811+3911</v>
      </c>
      <c r="H149" s="2" t="str">
        <f>VLOOKUP("*"&amp;G149&amp;"*",'Ref-List'!$A:$C,3,0)</f>
        <v>超濾淨水器 + 濾芯套裝</v>
      </c>
      <c r="I149" s="5" t="s">
        <v>981</v>
      </c>
      <c r="J149" s="2">
        <v>2</v>
      </c>
      <c r="K149" s="2">
        <v>438</v>
      </c>
      <c r="L149" s="2">
        <f>sales[[#This Row],[quantity]]*sales[[#This Row],[price]]</f>
        <v>876</v>
      </c>
      <c r="M149" s="9">
        <f>sales[[#This Row],[Total Price]]*3%</f>
        <v>26.279999999999998</v>
      </c>
      <c r="N149" s="171">
        <f>sales[[#This Row],[Total Price]]*2.5%</f>
        <v>21.900000000000002</v>
      </c>
      <c r="O149" s="9">
        <f>sales[[#This Row],[Total Price]]*1.5%</f>
        <v>13.139999999999999</v>
      </c>
      <c r="Q149" s="2">
        <v>4</v>
      </c>
      <c r="R149" s="5" t="str">
        <f>_xlfn.CONCAT(sales[[#This Row],[Shop]]," ",sales[[#This Row],[Location]])</f>
        <v>YL Citistore</v>
      </c>
    </row>
    <row r="150" spans="1:18" ht="16.5" customHeight="1">
      <c r="A150" s="7">
        <v>148</v>
      </c>
      <c r="B150" s="2" t="s">
        <v>983</v>
      </c>
      <c r="C150" s="5" t="s">
        <v>982</v>
      </c>
      <c r="D150" s="2" t="e">
        <f ca="1">OFFSET(Roster!$B$7, MATCH(B150&amp;" "&amp;C150&amp;"*",Roster!$B$8:$B$20,0),DAY(sales[[#This Row],[date]]),1, 1)</f>
        <v>#N/A</v>
      </c>
      <c r="E150" s="2">
        <f>MONTH(sales[[#This Row],[date]])</f>
        <v>6</v>
      </c>
      <c r="F150" s="233">
        <v>46198</v>
      </c>
      <c r="G150" s="3" t="str">
        <f>VLOOKUP("*"&amp;sales[[#This Row],[Input]]&amp;"*",'Ref-List'!$A:$C,1,0)</f>
        <v>6910+550</v>
      </c>
      <c r="H150" s="2" t="str">
        <f>VLOOKUP("*"&amp;G150&amp;"*",'Ref-List'!$A:$C,3,0)</f>
        <v>冷熱飲水機 + 濾心</v>
      </c>
      <c r="I150" s="2">
        <v>550</v>
      </c>
      <c r="J150" s="2">
        <v>1</v>
      </c>
      <c r="K150" s="2">
        <v>598</v>
      </c>
      <c r="L150" s="2">
        <f>sales[[#This Row],[quantity]]*sales[[#This Row],[price]]</f>
        <v>598</v>
      </c>
      <c r="M150" s="9">
        <f>sales[[#This Row],[Total Price]]*3%</f>
        <v>17.939999999999998</v>
      </c>
      <c r="N150" s="171">
        <f>sales[[#This Row],[Total Price]]*2.5%</f>
        <v>14.950000000000001</v>
      </c>
      <c r="O150" s="9">
        <f>sales[[#This Row],[Total Price]]*1.5%</f>
        <v>8.9699999999999989</v>
      </c>
      <c r="Q150" s="2">
        <v>4</v>
      </c>
      <c r="R150" s="5" t="str">
        <f>_xlfn.CONCAT(sales[[#This Row],[Shop]]," ",sales[[#This Row],[Location]])</f>
        <v>YL Citistore</v>
      </c>
    </row>
    <row r="151" spans="1:18" ht="16.5" customHeight="1">
      <c r="A151" s="7">
        <v>149</v>
      </c>
      <c r="B151" s="2" t="s">
        <v>983</v>
      </c>
      <c r="C151" s="5" t="s">
        <v>982</v>
      </c>
      <c r="D151" s="2" t="e">
        <f ca="1">OFFSET(Roster!$B$7, MATCH(B151&amp;" "&amp;C151&amp;"*",Roster!$B$8:$B$20,0),DAY(sales[[#This Row],[date]]),1, 1)</f>
        <v>#N/A</v>
      </c>
      <c r="E151" s="2">
        <f>MONTH(sales[[#This Row],[date]])</f>
        <v>6</v>
      </c>
      <c r="F151" s="233">
        <v>46199</v>
      </c>
      <c r="G151" s="3" t="str">
        <f>VLOOKUP("*"&amp;sales[[#This Row],[Input]]&amp;"*",'Ref-List'!$A:$C,1,0)</f>
        <v>6901+541</v>
      </c>
      <c r="H151" s="2" t="str">
        <f>VLOOKUP("*"&amp;G151&amp;"*",'Ref-List'!$A:$C,3,0)</f>
        <v>RO純淨飲水機 + 濾芯</v>
      </c>
      <c r="I151" s="2">
        <v>541</v>
      </c>
      <c r="J151" s="2">
        <v>1</v>
      </c>
      <c r="K151" s="2">
        <v>568</v>
      </c>
      <c r="L151" s="2">
        <f>sales[[#This Row],[quantity]]*sales[[#This Row],[price]]</f>
        <v>568</v>
      </c>
      <c r="M151" s="9">
        <f>sales[[#This Row],[Total Price]]*3%</f>
        <v>17.04</v>
      </c>
      <c r="N151" s="171">
        <f>sales[[#This Row],[Total Price]]*2.5%</f>
        <v>14.200000000000001</v>
      </c>
      <c r="O151" s="9">
        <f>sales[[#This Row],[Total Price]]*1.5%</f>
        <v>8.52</v>
      </c>
      <c r="Q151" s="2">
        <v>4</v>
      </c>
      <c r="R151" s="5" t="str">
        <f>_xlfn.CONCAT(sales[[#This Row],[Shop]]," ",sales[[#This Row],[Location]])</f>
        <v>YL Citistore</v>
      </c>
    </row>
    <row r="152" spans="1:18" ht="16.5" customHeight="1">
      <c r="A152" s="7">
        <v>150</v>
      </c>
      <c r="B152" s="2" t="s">
        <v>983</v>
      </c>
      <c r="C152" s="5" t="s">
        <v>982</v>
      </c>
      <c r="D152" s="2" t="e">
        <f ca="1">OFFSET(Roster!$B$7, MATCH(B152&amp;" "&amp;C152&amp;"*",Roster!$B$8:$B$20,0),DAY(sales[[#This Row],[date]]),1, 1)</f>
        <v>#N/A</v>
      </c>
      <c r="E152" s="2">
        <f>MONTH(sales[[#This Row],[date]])</f>
        <v>6</v>
      </c>
      <c r="F152" s="233">
        <v>46199</v>
      </c>
      <c r="G152" s="3" t="str">
        <f>VLOOKUP("*"&amp;sales[[#This Row],[Input]]&amp;"*",'Ref-List'!$A:$C,1,0)</f>
        <v>3812+3922</v>
      </c>
      <c r="H152" s="2" t="str">
        <f>VLOOKUP("*"&amp;G152&amp;"*",'Ref-List'!$A:$C,3,0)</f>
        <v>超濾龍頭式淨水器組合</v>
      </c>
      <c r="I152" s="5" t="s">
        <v>980</v>
      </c>
      <c r="J152" s="2">
        <v>1</v>
      </c>
      <c r="K152" s="2">
        <v>738</v>
      </c>
      <c r="L152" s="2">
        <f>sales[[#This Row],[quantity]]*sales[[#This Row],[price]]</f>
        <v>738</v>
      </c>
      <c r="M152" s="9">
        <f>sales[[#This Row],[Total Price]]*3%</f>
        <v>22.14</v>
      </c>
      <c r="N152" s="171">
        <f>sales[[#This Row],[Total Price]]*2.5%</f>
        <v>18.45</v>
      </c>
      <c r="O152" s="9">
        <f>sales[[#This Row],[Total Price]]*1.5%</f>
        <v>11.07</v>
      </c>
      <c r="Q152" s="2">
        <v>4</v>
      </c>
      <c r="R152" s="5" t="str">
        <f>_xlfn.CONCAT(sales[[#This Row],[Shop]]," ",sales[[#This Row],[Location]])</f>
        <v>YL Citistore</v>
      </c>
    </row>
    <row r="153" spans="1:18" ht="16.5" customHeight="1">
      <c r="A153" s="7">
        <v>151</v>
      </c>
      <c r="B153" s="2" t="s">
        <v>983</v>
      </c>
      <c r="C153" s="5" t="s">
        <v>982</v>
      </c>
      <c r="D153" s="2" t="e">
        <f ca="1">OFFSET(Roster!$B$7, MATCH(B153&amp;" "&amp;C153&amp;"*",Roster!$B$8:$B$20,0),DAY(sales[[#This Row],[date]]),1, 1)</f>
        <v>#N/A</v>
      </c>
      <c r="E153" s="2">
        <f>MONTH(sales[[#This Row],[date]])</f>
        <v>6</v>
      </c>
      <c r="F153" s="233">
        <v>46199</v>
      </c>
      <c r="G153" s="3" t="str">
        <f>VLOOKUP("*"&amp;sales[[#This Row],[Input]]&amp;"*",'Ref-List'!$A:$C,1,0)</f>
        <v>3733+3922</v>
      </c>
      <c r="H153" s="2" t="str">
        <f>VLOOKUP("*"&amp;G153&amp;"*",'Ref-List'!$A:$C,3,0)</f>
        <v>超濾龍頭式淨水器組合</v>
      </c>
      <c r="I153" s="2">
        <v>3922</v>
      </c>
      <c r="J153" s="2">
        <v>1</v>
      </c>
      <c r="K153" s="2">
        <v>658</v>
      </c>
      <c r="L153" s="2">
        <f>sales[[#This Row],[quantity]]*sales[[#This Row],[price]]</f>
        <v>658</v>
      </c>
      <c r="M153" s="9">
        <f>sales[[#This Row],[Total Price]]*3%</f>
        <v>19.739999999999998</v>
      </c>
      <c r="N153" s="171">
        <f>sales[[#This Row],[Total Price]]*2.5%</f>
        <v>16.45</v>
      </c>
      <c r="O153" s="9">
        <f>sales[[#This Row],[Total Price]]*1.5%</f>
        <v>9.8699999999999992</v>
      </c>
      <c r="Q153" s="2">
        <v>4</v>
      </c>
      <c r="R153" s="5" t="str">
        <f>_xlfn.CONCAT(sales[[#This Row],[Shop]]," ",sales[[#This Row],[Location]])</f>
        <v>YL Citistore</v>
      </c>
    </row>
    <row r="154" spans="1:18" ht="16.5" customHeight="1">
      <c r="A154" s="7">
        <v>152</v>
      </c>
      <c r="B154" s="2" t="s">
        <v>983</v>
      </c>
      <c r="C154" s="5" t="s">
        <v>982</v>
      </c>
      <c r="D154" s="2" t="e">
        <f ca="1">OFFSET(Roster!$B$7, MATCH(B154&amp;" "&amp;C154&amp;"*",Roster!$B$8:$B$20,0),DAY(sales[[#This Row],[date]]),1, 1)</f>
        <v>#N/A</v>
      </c>
      <c r="E154" s="2">
        <f>MONTH(sales[[#This Row],[date]])</f>
        <v>6</v>
      </c>
      <c r="F154" s="233">
        <v>46200</v>
      </c>
      <c r="G154" s="3" t="str">
        <f>VLOOKUP("*"&amp;sales[[#This Row],[Input]]&amp;"*",'Ref-List'!$A:$C,1,0)</f>
        <v>3733+3922</v>
      </c>
      <c r="H154" s="2" t="str">
        <f>VLOOKUP("*"&amp;G154&amp;"*",'Ref-List'!$A:$C,3,0)</f>
        <v>超濾龍頭式淨水器組合</v>
      </c>
      <c r="I154" s="2">
        <v>3922</v>
      </c>
      <c r="J154" s="2">
        <v>1</v>
      </c>
      <c r="K154" s="2">
        <v>658</v>
      </c>
      <c r="L154" s="2">
        <f>sales[[#This Row],[quantity]]*sales[[#This Row],[price]]</f>
        <v>658</v>
      </c>
      <c r="M154" s="9">
        <f>sales[[#This Row],[Total Price]]*3%</f>
        <v>19.739999999999998</v>
      </c>
      <c r="N154" s="171">
        <f>sales[[#This Row],[Total Price]]*2.5%</f>
        <v>16.45</v>
      </c>
      <c r="O154" s="9">
        <f>sales[[#This Row],[Total Price]]*1.5%</f>
        <v>9.8699999999999992</v>
      </c>
      <c r="Q154" s="2">
        <v>4</v>
      </c>
      <c r="R154" s="5" t="str">
        <f>_xlfn.CONCAT(sales[[#This Row],[Shop]]," ",sales[[#This Row],[Location]])</f>
        <v>YL Citistore</v>
      </c>
    </row>
    <row r="155" spans="1:18" ht="16.5" customHeight="1">
      <c r="A155" s="7">
        <v>153</v>
      </c>
      <c r="B155" s="2" t="s">
        <v>983</v>
      </c>
      <c r="C155" s="5" t="s">
        <v>982</v>
      </c>
      <c r="D155" s="2" t="e">
        <f ca="1">OFFSET(Roster!$B$7, MATCH(B155&amp;" "&amp;C155&amp;"*",Roster!$B$8:$B$20,0),DAY(sales[[#This Row],[date]]),1, 1)</f>
        <v>#N/A</v>
      </c>
      <c r="E155" s="2">
        <f>MONTH(sales[[#This Row],[date]])</f>
        <v>6</v>
      </c>
      <c r="F155" s="233">
        <v>46200</v>
      </c>
      <c r="G155" s="3" t="str">
        <f>VLOOKUP("*"&amp;sales[[#This Row],[Input]]&amp;"*",'Ref-List'!$A:$C,1,0)</f>
        <v>6920WH</v>
      </c>
      <c r="H155" s="2" t="str">
        <f>VLOOKUP("*"&amp;G155&amp;"*",'Ref-List'!$A:$C,3,0)</f>
        <v>升級製冰版</v>
      </c>
      <c r="I155" s="2">
        <v>6920</v>
      </c>
      <c r="J155" s="2">
        <v>1</v>
      </c>
      <c r="K155" s="2">
        <v>3688</v>
      </c>
      <c r="L155" s="2">
        <f>sales[[#This Row],[quantity]]*sales[[#This Row],[price]]</f>
        <v>3688</v>
      </c>
      <c r="M155" s="9">
        <f>sales[[#This Row],[Total Price]]*3%</f>
        <v>110.64</v>
      </c>
      <c r="N155" s="171">
        <f>sales[[#This Row],[Total Price]]*2.5%</f>
        <v>92.2</v>
      </c>
      <c r="O155" s="9">
        <f>sales[[#This Row],[Total Price]]*1.5%</f>
        <v>55.32</v>
      </c>
      <c r="Q155" s="2">
        <v>4</v>
      </c>
      <c r="R155" s="5" t="str">
        <f>_xlfn.CONCAT(sales[[#This Row],[Shop]]," ",sales[[#This Row],[Location]])</f>
        <v>YL Citistore</v>
      </c>
    </row>
    <row r="156" spans="1:18" ht="16.5" customHeight="1">
      <c r="A156" s="7">
        <v>154</v>
      </c>
      <c r="B156" s="2" t="s">
        <v>983</v>
      </c>
      <c r="C156" s="5" t="s">
        <v>982</v>
      </c>
      <c r="D156" s="2" t="e">
        <f ca="1">OFFSET(Roster!$B$7, MATCH(B156&amp;" "&amp;C156&amp;"*",Roster!$B$8:$B$20,0),DAY(sales[[#This Row],[date]]),1, 1)</f>
        <v>#N/A</v>
      </c>
      <c r="E156" s="2">
        <f>MONTH(sales[[#This Row],[date]])</f>
        <v>6</v>
      </c>
      <c r="F156" s="233">
        <v>46201</v>
      </c>
      <c r="G156" s="3" t="str">
        <f>VLOOKUP("*"&amp;sales[[#This Row],[Input]]&amp;"*",'Ref-List'!$A:$C,1,0)</f>
        <v>2937+211</v>
      </c>
      <c r="H156" s="2" t="str">
        <f>VLOOKUP("*"&amp;G156&amp;"*",'Ref-List'!$A:$C,3,0)</f>
        <v>濾水壺濾芯套裝</v>
      </c>
      <c r="I156" s="2">
        <v>211</v>
      </c>
      <c r="J156" s="2">
        <v>1</v>
      </c>
      <c r="K156" s="2">
        <v>158</v>
      </c>
      <c r="L156" s="2">
        <f>sales[[#This Row],[quantity]]*sales[[#This Row],[price]]</f>
        <v>158</v>
      </c>
      <c r="M156" s="9">
        <f>sales[[#This Row],[Total Price]]*3%</f>
        <v>4.74</v>
      </c>
      <c r="N156" s="171">
        <f>sales[[#This Row],[Total Price]]*2.5%</f>
        <v>3.95</v>
      </c>
      <c r="O156" s="9">
        <f>sales[[#This Row],[Total Price]]*1.5%</f>
        <v>2.37</v>
      </c>
      <c r="Q156" s="2">
        <v>5</v>
      </c>
      <c r="R156" s="5" t="str">
        <f>_xlfn.CONCAT(sales[[#This Row],[Shop]]," ",sales[[#This Row],[Location]])</f>
        <v>YL Citistore</v>
      </c>
    </row>
    <row r="157" spans="1:18" ht="16.5" customHeight="1">
      <c r="A157" s="7">
        <v>155</v>
      </c>
      <c r="B157" s="2" t="s">
        <v>983</v>
      </c>
      <c r="C157" s="5" t="s">
        <v>982</v>
      </c>
      <c r="D157" s="2" t="e">
        <f ca="1">OFFSET(Roster!$B$7, MATCH(B157&amp;" "&amp;C157&amp;"*",Roster!$B$8:$B$20,0),DAY(sales[[#This Row],[date]]),1, 1)</f>
        <v>#N/A</v>
      </c>
      <c r="E157" s="2">
        <f>MONTH(sales[[#This Row],[date]])</f>
        <v>6</v>
      </c>
      <c r="F157" s="233">
        <v>46201</v>
      </c>
      <c r="G157" s="3" t="e">
        <f>VLOOKUP("*"&amp;sales[[#This Row],[Input]]&amp;"*",'Ref-List'!$A:$C,1,0)</f>
        <v>#N/A</v>
      </c>
      <c r="H157" s="2" t="e">
        <f>VLOOKUP("*"&amp;G157&amp;"*",'Ref-List'!$A:$C,3,0)</f>
        <v>#N/A</v>
      </c>
      <c r="I157" s="2">
        <v>583</v>
      </c>
      <c r="J157" s="2">
        <v>1</v>
      </c>
      <c r="K157" s="2">
        <v>868</v>
      </c>
      <c r="L157" s="2">
        <f>sales[[#This Row],[quantity]]*sales[[#This Row],[price]]</f>
        <v>868</v>
      </c>
      <c r="M157" s="9">
        <f>sales[[#This Row],[Total Price]]*3%</f>
        <v>26.04</v>
      </c>
      <c r="N157" s="171">
        <f>sales[[#This Row],[Total Price]]*2.5%</f>
        <v>21.700000000000003</v>
      </c>
      <c r="O157" s="9">
        <f>sales[[#This Row],[Total Price]]*1.5%</f>
        <v>13.02</v>
      </c>
      <c r="Q157" s="2">
        <v>5</v>
      </c>
      <c r="R157" s="5" t="str">
        <f>_xlfn.CONCAT(sales[[#This Row],[Shop]]," ",sales[[#This Row],[Location]])</f>
        <v>YL Citistore</v>
      </c>
    </row>
    <row r="158" spans="1:18" ht="16.5" customHeight="1">
      <c r="A158" s="7">
        <v>156</v>
      </c>
      <c r="B158" s="2" t="s">
        <v>983</v>
      </c>
      <c r="C158" s="5"/>
      <c r="D158" s="2" t="e">
        <f ca="1">OFFSET(Roster!$B$7, MATCH(B158&amp;" "&amp;C158&amp;"*",Roster!$B$8:$B$20,0),DAY(sales[[#This Row],[date]]),1, 1)</f>
        <v>#N/A</v>
      </c>
      <c r="E158" s="2">
        <f>MONTH(sales[[#This Row],[date]])</f>
        <v>6</v>
      </c>
      <c r="F158" s="233">
        <v>46177</v>
      </c>
      <c r="G158" s="3" t="str">
        <f>VLOOKUP("*"&amp;sales[[#This Row],[Input]]&amp;"*",'Ref-List'!$A:$C,1,0)</f>
        <v>1141/00</v>
      </c>
      <c r="H158" s="2" t="str">
        <f>VLOOKUP("*"&amp;G158&amp;"*",'Ref-List'!$A:$C,3,0)</f>
        <v>鬚刨</v>
      </c>
      <c r="I158" s="2">
        <v>1141</v>
      </c>
      <c r="J158" s="2">
        <v>1</v>
      </c>
      <c r="K158" s="2">
        <v>338</v>
      </c>
      <c r="L158" s="2">
        <f>sales[[#This Row],[quantity]]*sales[[#This Row],[price]]</f>
        <v>338</v>
      </c>
      <c r="M158" s="9">
        <f>sales[[#This Row],[Total Price]]*3%</f>
        <v>10.139999999999999</v>
      </c>
      <c r="N158" s="171">
        <f>sales[[#This Row],[Total Price]]*2.5%</f>
        <v>8.4500000000000011</v>
      </c>
      <c r="O158" s="9">
        <f>sales[[#This Row],[Total Price]]*1.5%</f>
        <v>5.0699999999999994</v>
      </c>
      <c r="Q158" s="5" t="s">
        <v>985</v>
      </c>
      <c r="R158" s="5" t="str">
        <f>_xlfn.CONCAT(sales[[#This Row],[Shop]]," ",sales[[#This Row],[Location]])</f>
        <v xml:space="preserve">YL </v>
      </c>
    </row>
    <row r="159" spans="1:18" ht="16.5" customHeight="1">
      <c r="A159" s="7">
        <v>157</v>
      </c>
      <c r="B159" s="2" t="s">
        <v>983</v>
      </c>
      <c r="C159" s="5"/>
      <c r="D159" s="2" t="e">
        <f ca="1">OFFSET(Roster!$B$7, MATCH(B159&amp;" "&amp;C159&amp;"*",Roster!$B$8:$B$20,0),DAY(sales[[#This Row],[date]]),1, 1)</f>
        <v>#N/A</v>
      </c>
      <c r="E159" s="2">
        <f>MONTH(sales[[#This Row],[date]])</f>
        <v>6</v>
      </c>
      <c r="F159" s="233">
        <v>46177</v>
      </c>
      <c r="G159" s="3" t="e">
        <f>VLOOKUP("*"&amp;sales[[#This Row],[Input]]&amp;"*",'Ref-List'!$A:$C,1,0)</f>
        <v>#N/A</v>
      </c>
      <c r="H159" s="2" t="e">
        <f>VLOOKUP("*"&amp;G159&amp;"*",'Ref-List'!$A:$C,3,0)</f>
        <v>#N/A</v>
      </c>
      <c r="I159" s="2">
        <v>5650</v>
      </c>
      <c r="J159" s="2">
        <v>1</v>
      </c>
      <c r="K159" s="2">
        <v>238</v>
      </c>
      <c r="L159" s="2">
        <f>sales[[#This Row],[quantity]]*sales[[#This Row],[price]]</f>
        <v>238</v>
      </c>
      <c r="M159" s="9">
        <f>sales[[#This Row],[Total Price]]*3%</f>
        <v>7.14</v>
      </c>
      <c r="N159" s="171">
        <f>sales[[#This Row],[Total Price]]*2.5%</f>
        <v>5.95</v>
      </c>
      <c r="O159" s="9">
        <f>sales[[#This Row],[Total Price]]*1.5%</f>
        <v>3.57</v>
      </c>
      <c r="Q159" s="5" t="s">
        <v>985</v>
      </c>
      <c r="R159" s="5" t="str">
        <f>_xlfn.CONCAT(sales[[#This Row],[Shop]]," ",sales[[#This Row],[Location]])</f>
        <v xml:space="preserve">YL </v>
      </c>
    </row>
    <row r="160" spans="1:18" ht="16.5" customHeight="1">
      <c r="A160" s="7">
        <v>158</v>
      </c>
      <c r="B160" s="2" t="s">
        <v>983</v>
      </c>
      <c r="C160" s="5"/>
      <c r="D160" s="2" t="e">
        <f ca="1">OFFSET(Roster!$B$7, MATCH(B160&amp;" "&amp;C160&amp;"*",Roster!$B$8:$B$20,0),DAY(sales[[#This Row],[date]]),1, 1)</f>
        <v>#N/A</v>
      </c>
      <c r="E160" s="2">
        <f>MONTH(sales[[#This Row],[date]])</f>
        <v>6</v>
      </c>
      <c r="F160" s="233">
        <v>46178</v>
      </c>
      <c r="G160" s="3" t="e">
        <f>VLOOKUP("*"&amp;sales[[#This Row],[Input]]&amp;"*",'Ref-List'!$A:$C,1,0)</f>
        <v>#N/A</v>
      </c>
      <c r="H160" s="2" t="e">
        <f>VLOOKUP("*"&amp;G160&amp;"*",'Ref-List'!$A:$C,3,0)</f>
        <v>#N/A</v>
      </c>
      <c r="I160" s="2">
        <v>206</v>
      </c>
      <c r="J160" s="2">
        <v>1</v>
      </c>
      <c r="K160" s="2">
        <v>98</v>
      </c>
      <c r="L160" s="2">
        <f>sales[[#This Row],[quantity]]*sales[[#This Row],[price]]</f>
        <v>98</v>
      </c>
      <c r="M160" s="9">
        <f>sales[[#This Row],[Total Price]]*3%</f>
        <v>2.94</v>
      </c>
      <c r="N160" s="171">
        <f>sales[[#This Row],[Total Price]]*2.5%</f>
        <v>2.4500000000000002</v>
      </c>
      <c r="O160" s="9">
        <f>sales[[#This Row],[Total Price]]*1.5%</f>
        <v>1.47</v>
      </c>
      <c r="Q160" s="5" t="s">
        <v>984</v>
      </c>
      <c r="R160" s="5" t="str">
        <f>_xlfn.CONCAT(sales[[#This Row],[Shop]]," ",sales[[#This Row],[Location]])</f>
        <v xml:space="preserve">YL </v>
      </c>
    </row>
    <row r="161" spans="1:18" ht="16.5" customHeight="1">
      <c r="A161" s="7">
        <v>159</v>
      </c>
      <c r="B161" s="2" t="s">
        <v>983</v>
      </c>
      <c r="C161" s="5"/>
      <c r="D161" s="2" t="e">
        <f ca="1">OFFSET(Roster!$B$7, MATCH(B161&amp;" "&amp;C161&amp;"*",Roster!$B$8:$B$20,0),DAY(sales[[#This Row],[date]]),1, 1)</f>
        <v>#N/A</v>
      </c>
      <c r="E161" s="2">
        <f>MONTH(sales[[#This Row],[date]])</f>
        <v>6</v>
      </c>
      <c r="F161" s="233">
        <v>46178</v>
      </c>
      <c r="G161" s="3" t="e">
        <f>VLOOKUP("*"&amp;sales[[#This Row],[Input]]&amp;"*",'Ref-List'!$A:$C,1,0)</f>
        <v>#N/A</v>
      </c>
      <c r="H161" s="2" t="e">
        <f>VLOOKUP("*"&amp;G161&amp;"*",'Ref-List'!$A:$C,3,0)</f>
        <v>#N/A</v>
      </c>
      <c r="I161" s="2">
        <v>538</v>
      </c>
      <c r="J161" s="2">
        <v>1</v>
      </c>
      <c r="K161" s="2">
        <v>518</v>
      </c>
      <c r="L161" s="2">
        <f>sales[[#This Row],[quantity]]*sales[[#This Row],[price]]</f>
        <v>518</v>
      </c>
      <c r="M161" s="9">
        <f>sales[[#This Row],[Total Price]]*3%</f>
        <v>15.54</v>
      </c>
      <c r="N161" s="171">
        <f>sales[[#This Row],[Total Price]]*2.5%</f>
        <v>12.950000000000001</v>
      </c>
      <c r="O161" s="9">
        <f>sales[[#This Row],[Total Price]]*1.5%</f>
        <v>7.77</v>
      </c>
      <c r="Q161" s="5" t="s">
        <v>984</v>
      </c>
      <c r="R161" s="5" t="str">
        <f>_xlfn.CONCAT(sales[[#This Row],[Shop]]," ",sales[[#This Row],[Location]])</f>
        <v xml:space="preserve">YL </v>
      </c>
    </row>
    <row r="162" spans="1:18" ht="16.5" customHeight="1">
      <c r="A162" s="7">
        <v>160</v>
      </c>
      <c r="B162" s="2" t="s">
        <v>983</v>
      </c>
      <c r="C162" s="5"/>
      <c r="D162" s="2" t="e">
        <f ca="1">OFFSET(Roster!$B$7, MATCH(B162&amp;" "&amp;C162&amp;"*",Roster!$B$8:$B$20,0),DAY(sales[[#This Row],[date]]),1, 1)</f>
        <v>#N/A</v>
      </c>
      <c r="E162" s="2">
        <f>MONTH(sales[[#This Row],[date]])</f>
        <v>6</v>
      </c>
      <c r="F162" s="233">
        <v>46179</v>
      </c>
      <c r="G162" s="3" t="e">
        <f>VLOOKUP("*"&amp;sales[[#This Row],[Input]]&amp;"*",'Ref-List'!$A:$C,1,0)</f>
        <v>#N/A</v>
      </c>
      <c r="H162" s="2" t="e">
        <f>VLOOKUP("*"&amp;G162&amp;"*",'Ref-List'!$A:$C,3,0)</f>
        <v>#N/A</v>
      </c>
      <c r="I162" s="2">
        <v>3144</v>
      </c>
      <c r="J162" s="2">
        <v>1</v>
      </c>
      <c r="K162" s="2">
        <v>638</v>
      </c>
      <c r="L162" s="2">
        <f>sales[[#This Row],[quantity]]*sales[[#This Row],[price]]</f>
        <v>638</v>
      </c>
      <c r="M162" s="9">
        <f>sales[[#This Row],[Total Price]]*3%</f>
        <v>19.14</v>
      </c>
      <c r="N162" s="171">
        <f>sales[[#This Row],[Total Price]]*2.5%</f>
        <v>15.950000000000001</v>
      </c>
      <c r="O162" s="9">
        <f>sales[[#This Row],[Total Price]]*1.5%</f>
        <v>9.57</v>
      </c>
      <c r="Q162" s="5" t="s">
        <v>984</v>
      </c>
      <c r="R162" s="5" t="str">
        <f>_xlfn.CONCAT(sales[[#This Row],[Shop]]," ",sales[[#This Row],[Location]])</f>
        <v xml:space="preserve">YL </v>
      </c>
    </row>
    <row r="163" spans="1:18" ht="16.5" customHeight="1">
      <c r="A163" s="7">
        <v>161</v>
      </c>
      <c r="B163" s="2" t="s">
        <v>983</v>
      </c>
      <c r="C163" s="5"/>
      <c r="D163" s="2" t="e">
        <f ca="1">OFFSET(Roster!$B$7, MATCH(B163&amp;" "&amp;C163&amp;"*",Roster!$B$8:$B$20,0),DAY(sales[[#This Row],[date]]),1, 1)</f>
        <v>#N/A</v>
      </c>
      <c r="E163" s="2">
        <f>MONTH(sales[[#This Row],[date]])</f>
        <v>6</v>
      </c>
      <c r="F163" s="233">
        <v>46180</v>
      </c>
      <c r="G163" s="3" t="e">
        <f>VLOOKUP("*"&amp;sales[[#This Row],[Input]]&amp;"*",'Ref-List'!$A:$C,1,0)</f>
        <v>#N/A</v>
      </c>
      <c r="H163" s="2" t="e">
        <f>VLOOKUP("*"&amp;G163&amp;"*",'Ref-List'!$A:$C,3,0)</f>
        <v>#N/A</v>
      </c>
      <c r="I163" s="2">
        <v>5650</v>
      </c>
      <c r="J163" s="2">
        <v>1</v>
      </c>
      <c r="K163" s="2">
        <v>238</v>
      </c>
      <c r="L163" s="2">
        <f>sales[[#This Row],[quantity]]*sales[[#This Row],[price]]</f>
        <v>238</v>
      </c>
      <c r="M163" s="9">
        <f>sales[[#This Row],[Total Price]]*3%</f>
        <v>7.14</v>
      </c>
      <c r="N163" s="171">
        <f>sales[[#This Row],[Total Price]]*2.5%</f>
        <v>5.95</v>
      </c>
      <c r="O163" s="9">
        <f>sales[[#This Row],[Total Price]]*1.5%</f>
        <v>3.57</v>
      </c>
      <c r="Q163" s="5" t="s">
        <v>984</v>
      </c>
      <c r="R163" s="5" t="str">
        <f>_xlfn.CONCAT(sales[[#This Row],[Shop]]," ",sales[[#This Row],[Location]])</f>
        <v xml:space="preserve">YL </v>
      </c>
    </row>
    <row r="164" spans="1:18" ht="16.5" customHeight="1">
      <c r="A164" s="7">
        <v>162</v>
      </c>
      <c r="B164" s="2" t="s">
        <v>983</v>
      </c>
      <c r="C164" s="5"/>
      <c r="D164" s="2" t="e">
        <f ca="1">OFFSET(Roster!$B$7, MATCH(B164&amp;" "&amp;C164&amp;"*",Roster!$B$8:$B$20,0),DAY(sales[[#This Row],[date]]),1, 1)</f>
        <v>#N/A</v>
      </c>
      <c r="E164" s="2">
        <f>MONTH(sales[[#This Row],[date]])</f>
        <v>6</v>
      </c>
      <c r="F164" s="233">
        <v>46180</v>
      </c>
      <c r="G164" s="3" t="e">
        <f>VLOOKUP("*"&amp;sales[[#This Row],[Input]]&amp;"*",'Ref-List'!$A:$C,1,0)</f>
        <v>#N/A</v>
      </c>
      <c r="H164" s="2" t="e">
        <f>VLOOKUP("*"&amp;G164&amp;"*",'Ref-List'!$A:$C,3,0)</f>
        <v>#N/A</v>
      </c>
      <c r="I164" s="2">
        <v>903</v>
      </c>
      <c r="J164" s="2">
        <v>1</v>
      </c>
      <c r="K164" s="2">
        <v>988</v>
      </c>
      <c r="L164" s="2">
        <f>sales[[#This Row],[quantity]]*sales[[#This Row],[price]]</f>
        <v>988</v>
      </c>
      <c r="M164" s="9">
        <f>sales[[#This Row],[Total Price]]*3%</f>
        <v>29.64</v>
      </c>
      <c r="N164" s="171">
        <f>sales[[#This Row],[Total Price]]*2.5%</f>
        <v>24.700000000000003</v>
      </c>
      <c r="O164" s="9">
        <f>sales[[#This Row],[Total Price]]*1.5%</f>
        <v>14.82</v>
      </c>
      <c r="Q164" s="5" t="s">
        <v>984</v>
      </c>
      <c r="R164" s="5" t="str">
        <f>_xlfn.CONCAT(sales[[#This Row],[Shop]]," ",sales[[#This Row],[Location]])</f>
        <v xml:space="preserve">YL </v>
      </c>
    </row>
    <row r="165" spans="1:18" ht="16.5" customHeight="1">
      <c r="A165" s="7">
        <v>163</v>
      </c>
      <c r="B165" s="2" t="s">
        <v>983</v>
      </c>
      <c r="C165" s="5"/>
      <c r="D165" s="2" t="e">
        <f ca="1">OFFSET(Roster!$B$7, MATCH(B165&amp;" "&amp;C165&amp;"*",Roster!$B$8:$B$20,0),DAY(sales[[#This Row],[date]]),1, 1)</f>
        <v>#N/A</v>
      </c>
      <c r="E165" s="2">
        <f>MONTH(sales[[#This Row],[date]])</f>
        <v>6</v>
      </c>
      <c r="F165" s="233">
        <v>46180</v>
      </c>
      <c r="G165" s="3" t="e">
        <f>VLOOKUP("*"&amp;sales[[#This Row],[Input]]&amp;"*",'Ref-List'!$A:$C,1,0)</f>
        <v>#N/A</v>
      </c>
      <c r="H165" s="2" t="e">
        <f>VLOOKUP("*"&amp;G165&amp;"*",'Ref-List'!$A:$C,3,0)</f>
        <v>#N/A</v>
      </c>
      <c r="I165" s="2">
        <v>206</v>
      </c>
      <c r="J165" s="2">
        <v>1</v>
      </c>
      <c r="K165" s="2">
        <v>98</v>
      </c>
      <c r="L165" s="2">
        <f>sales[[#This Row],[quantity]]*sales[[#This Row],[price]]</f>
        <v>98</v>
      </c>
      <c r="M165" s="9">
        <f>sales[[#This Row],[Total Price]]*3%</f>
        <v>2.94</v>
      </c>
      <c r="N165" s="171">
        <f>sales[[#This Row],[Total Price]]*2.5%</f>
        <v>2.4500000000000002</v>
      </c>
      <c r="O165" s="9">
        <f>sales[[#This Row],[Total Price]]*1.5%</f>
        <v>1.47</v>
      </c>
      <c r="Q165" s="5" t="s">
        <v>984</v>
      </c>
      <c r="R165" s="5" t="str">
        <f>_xlfn.CONCAT(sales[[#This Row],[Shop]]," ",sales[[#This Row],[Location]])</f>
        <v xml:space="preserve">YL </v>
      </c>
    </row>
    <row r="166" spans="1:18" ht="16.5" customHeight="1">
      <c r="A166" s="7">
        <v>164</v>
      </c>
      <c r="B166" s="2" t="s">
        <v>983</v>
      </c>
      <c r="C166" s="5"/>
      <c r="D166" s="2" t="e">
        <f ca="1">OFFSET(Roster!$B$7, MATCH(B166&amp;" "&amp;C166&amp;"*",Roster!$B$8:$B$20,0),DAY(sales[[#This Row],[date]]),1, 1)</f>
        <v>#N/A</v>
      </c>
      <c r="E166" s="2">
        <f>MONTH(sales[[#This Row],[date]])</f>
        <v>6</v>
      </c>
      <c r="F166" s="233">
        <v>46184</v>
      </c>
      <c r="G166" s="3" t="e">
        <f>VLOOKUP("*"&amp;sales[[#This Row],[Input]]&amp;"*",'Ref-List'!$A:$C,1,0)</f>
        <v>#N/A</v>
      </c>
      <c r="H166" s="2" t="e">
        <f>VLOOKUP("*"&amp;G166&amp;"*",'Ref-List'!$A:$C,3,0)</f>
        <v>#N/A</v>
      </c>
      <c r="I166" s="2">
        <v>206</v>
      </c>
      <c r="J166" s="2">
        <v>1</v>
      </c>
      <c r="K166" s="2">
        <v>98</v>
      </c>
      <c r="L166" s="2">
        <f>sales[[#This Row],[quantity]]*sales[[#This Row],[price]]</f>
        <v>98</v>
      </c>
      <c r="M166" s="9">
        <f>sales[[#This Row],[Total Price]]*3%</f>
        <v>2.94</v>
      </c>
      <c r="N166" s="171">
        <f>sales[[#This Row],[Total Price]]*2.5%</f>
        <v>2.4500000000000002</v>
      </c>
      <c r="O166" s="9">
        <f>sales[[#This Row],[Total Price]]*1.5%</f>
        <v>1.47</v>
      </c>
      <c r="Q166" s="5" t="s">
        <v>984</v>
      </c>
      <c r="R166" s="5" t="str">
        <f>_xlfn.CONCAT(sales[[#This Row],[Shop]]," ",sales[[#This Row],[Location]])</f>
        <v xml:space="preserve">YL </v>
      </c>
    </row>
    <row r="167" spans="1:18" ht="16.5" customHeight="1">
      <c r="A167" s="7">
        <v>165</v>
      </c>
      <c r="B167" s="2" t="s">
        <v>983</v>
      </c>
      <c r="C167" s="5"/>
      <c r="D167" s="2" t="e">
        <f ca="1">OFFSET(Roster!$B$7, MATCH(B167&amp;" "&amp;C167&amp;"*",Roster!$B$8:$B$20,0),DAY(sales[[#This Row],[date]]),1, 1)</f>
        <v>#N/A</v>
      </c>
      <c r="E167" s="2">
        <f>MONTH(sales[[#This Row],[date]])</f>
        <v>6</v>
      </c>
      <c r="F167" s="233">
        <v>46184</v>
      </c>
      <c r="G167" s="3" t="e">
        <f>VLOOKUP("*"&amp;sales[[#This Row],[Input]]&amp;"*",'Ref-List'!$A:$C,1,0)</f>
        <v>#N/A</v>
      </c>
      <c r="H167" s="2" t="e">
        <f>VLOOKUP("*"&amp;G167&amp;"*",'Ref-List'!$A:$C,3,0)</f>
        <v>#N/A</v>
      </c>
      <c r="I167" s="2">
        <v>7885</v>
      </c>
      <c r="J167" s="2">
        <v>1</v>
      </c>
      <c r="K167" s="2">
        <v>1698</v>
      </c>
      <c r="L167" s="2">
        <f>sales[[#This Row],[quantity]]*sales[[#This Row],[price]]</f>
        <v>1698</v>
      </c>
      <c r="M167" s="9">
        <f>sales[[#This Row],[Total Price]]*3%</f>
        <v>50.94</v>
      </c>
      <c r="N167" s="171">
        <f>sales[[#This Row],[Total Price]]*2.5%</f>
        <v>42.45</v>
      </c>
      <c r="O167" s="9">
        <f>sales[[#This Row],[Total Price]]*1.5%</f>
        <v>25.47</v>
      </c>
      <c r="Q167" s="5" t="s">
        <v>984</v>
      </c>
      <c r="R167" s="5" t="str">
        <f>_xlfn.CONCAT(sales[[#This Row],[Shop]]," ",sales[[#This Row],[Location]])</f>
        <v xml:space="preserve">YL </v>
      </c>
    </row>
    <row r="168" spans="1:18" ht="16.5" customHeight="1">
      <c r="A168" s="7">
        <v>166</v>
      </c>
      <c r="B168" s="2" t="s">
        <v>983</v>
      </c>
      <c r="C168" s="5"/>
      <c r="D168" s="2" t="e">
        <f ca="1">OFFSET(Roster!$B$7, MATCH(B168&amp;" "&amp;C168&amp;"*",Roster!$B$8:$B$20,0),DAY(sales[[#This Row],[date]]),1, 1)</f>
        <v>#N/A</v>
      </c>
      <c r="E168" s="2">
        <f>MONTH(sales[[#This Row],[date]])</f>
        <v>6</v>
      </c>
      <c r="F168" s="233">
        <v>46184</v>
      </c>
      <c r="G168" s="3" t="str">
        <f>VLOOKUP("*"&amp;sales[[#This Row],[Input]]&amp;"*",'Ref-List'!$A:$C,1,0)</f>
        <v>5980+3754</v>
      </c>
      <c r="H168" s="2" t="str">
        <f>VLOOKUP("*"&amp;G168&amp;"*",'Ref-List'!$A:$C,3,0)</f>
        <v>冷熱過濾飲水機 + 水龍頭式淨水器</v>
      </c>
      <c r="I168" s="2">
        <v>375</v>
      </c>
      <c r="J168" s="2">
        <v>1</v>
      </c>
      <c r="K168" s="2">
        <v>178</v>
      </c>
      <c r="L168" s="2">
        <f>sales[[#This Row],[quantity]]*sales[[#This Row],[price]]</f>
        <v>178</v>
      </c>
      <c r="M168" s="9">
        <f>sales[[#This Row],[Total Price]]*3%</f>
        <v>5.34</v>
      </c>
      <c r="N168" s="171">
        <f>sales[[#This Row],[Total Price]]*2.5%</f>
        <v>4.45</v>
      </c>
      <c r="O168" s="9">
        <f>sales[[#This Row],[Total Price]]*1.5%</f>
        <v>2.67</v>
      </c>
      <c r="Q168" s="5" t="s">
        <v>984</v>
      </c>
      <c r="R168" s="5" t="str">
        <f>_xlfn.CONCAT(sales[[#This Row],[Shop]]," ",sales[[#This Row],[Location]])</f>
        <v xml:space="preserve">YL </v>
      </c>
    </row>
    <row r="169" spans="1:18" ht="16.5" customHeight="1">
      <c r="A169" s="7">
        <v>167</v>
      </c>
      <c r="B169" s="2" t="s">
        <v>983</v>
      </c>
      <c r="C169" s="5"/>
      <c r="D169" s="2" t="e">
        <f ca="1">OFFSET(Roster!$B$7, MATCH(B169&amp;" "&amp;C169&amp;"*",Roster!$B$8:$B$20,0),DAY(sales[[#This Row],[date]]),1, 1)</f>
        <v>#N/A</v>
      </c>
      <c r="E169" s="2">
        <f>MONTH(sales[[#This Row],[date]])</f>
        <v>6</v>
      </c>
      <c r="F169" s="233">
        <v>46185</v>
      </c>
      <c r="G169" s="3" t="e">
        <f>VLOOKUP("*"&amp;sales[[#This Row],[Input]]&amp;"*",'Ref-List'!$A:$C,1,0)</f>
        <v>#N/A</v>
      </c>
      <c r="H169" s="2" t="e">
        <f>VLOOKUP("*"&amp;G169&amp;"*",'Ref-List'!$A:$C,3,0)</f>
        <v>#N/A</v>
      </c>
      <c r="I169" s="2">
        <v>3241</v>
      </c>
      <c r="J169" s="2">
        <v>1</v>
      </c>
      <c r="K169" s="2">
        <v>738</v>
      </c>
      <c r="L169" s="2">
        <f>sales[[#This Row],[quantity]]*sales[[#This Row],[price]]</f>
        <v>738</v>
      </c>
      <c r="M169" s="9">
        <f>sales[[#This Row],[Total Price]]*3%</f>
        <v>22.14</v>
      </c>
      <c r="N169" s="171">
        <f>sales[[#This Row],[Total Price]]*2.5%</f>
        <v>18.45</v>
      </c>
      <c r="O169" s="9">
        <f>sales[[#This Row],[Total Price]]*1.5%</f>
        <v>11.07</v>
      </c>
      <c r="Q169" s="5" t="s">
        <v>986</v>
      </c>
      <c r="R169" s="5" t="str">
        <f>_xlfn.CONCAT(sales[[#This Row],[Shop]]," ",sales[[#This Row],[Location]])</f>
        <v xml:space="preserve">YL </v>
      </c>
    </row>
    <row r="170" spans="1:18" ht="16.5" customHeight="1">
      <c r="A170" s="7">
        <v>168</v>
      </c>
      <c r="B170" s="2" t="s">
        <v>983</v>
      </c>
      <c r="C170" s="5"/>
      <c r="D170" s="2" t="e">
        <f ca="1">OFFSET(Roster!$B$7, MATCH(B170&amp;" "&amp;C170&amp;"*",Roster!$B$8:$B$20,0),DAY(sales[[#This Row],[date]]),1, 1)</f>
        <v>#N/A</v>
      </c>
      <c r="E170" s="2">
        <f>MONTH(sales[[#This Row],[date]])</f>
        <v>6</v>
      </c>
      <c r="F170" s="233">
        <v>46187</v>
      </c>
      <c r="G170" s="3" t="str">
        <f>VLOOKUP("*"&amp;sales[[#This Row],[Input]]&amp;"*",'Ref-List'!$A:$C,1,0)</f>
        <v>5980+3754</v>
      </c>
      <c r="H170" s="2" t="str">
        <f>VLOOKUP("*"&amp;G170&amp;"*",'Ref-List'!$A:$C,3,0)</f>
        <v>冷熱過濾飲水機 + 水龍頭式淨水器</v>
      </c>
      <c r="I170" s="2">
        <v>375</v>
      </c>
      <c r="J170" s="2">
        <v>1</v>
      </c>
      <c r="K170" s="2">
        <v>178</v>
      </c>
      <c r="L170" s="2">
        <f>sales[[#This Row],[quantity]]*sales[[#This Row],[price]]</f>
        <v>178</v>
      </c>
      <c r="M170" s="9">
        <f>sales[[#This Row],[Total Price]]*3%</f>
        <v>5.34</v>
      </c>
      <c r="N170" s="171">
        <f>sales[[#This Row],[Total Price]]*2.5%</f>
        <v>4.45</v>
      </c>
      <c r="O170" s="9">
        <f>sales[[#This Row],[Total Price]]*1.5%</f>
        <v>2.67</v>
      </c>
      <c r="Q170" s="5" t="s">
        <v>986</v>
      </c>
      <c r="R170" s="5" t="str">
        <f>_xlfn.CONCAT(sales[[#This Row],[Shop]]," ",sales[[#This Row],[Location]])</f>
        <v xml:space="preserve">YL </v>
      </c>
    </row>
    <row r="171" spans="1:18" ht="16.5" customHeight="1">
      <c r="A171" s="7">
        <v>169</v>
      </c>
      <c r="B171" s="2" t="s">
        <v>983</v>
      </c>
      <c r="C171" s="5"/>
      <c r="D171" s="2" t="e">
        <f ca="1">OFFSET(Roster!$B$7, MATCH(B171&amp;" "&amp;C171&amp;"*",Roster!$B$8:$B$20,0),DAY(sales[[#This Row],[date]]),1, 1)</f>
        <v>#N/A</v>
      </c>
      <c r="E171" s="2">
        <f>MONTH(sales[[#This Row],[date]])</f>
        <v>6</v>
      </c>
      <c r="F171" s="233">
        <v>46187</v>
      </c>
      <c r="G171" s="3" t="e">
        <f>VLOOKUP("*"&amp;sales[[#This Row],[Input]]&amp;"*",'Ref-List'!$A:$C,1,0)</f>
        <v>#N/A</v>
      </c>
      <c r="H171" s="2" t="e">
        <f>VLOOKUP("*"&amp;G171&amp;"*",'Ref-List'!$A:$C,3,0)</f>
        <v>#N/A</v>
      </c>
      <c r="I171" s="2">
        <v>7501</v>
      </c>
      <c r="J171" s="2">
        <v>1</v>
      </c>
      <c r="K171" s="2">
        <v>898</v>
      </c>
      <c r="L171" s="2">
        <f>sales[[#This Row],[quantity]]*sales[[#This Row],[price]]</f>
        <v>898</v>
      </c>
      <c r="M171" s="9">
        <f>sales[[#This Row],[Total Price]]*3%</f>
        <v>26.939999999999998</v>
      </c>
      <c r="N171" s="171">
        <f>sales[[#This Row],[Total Price]]*2.5%</f>
        <v>22.450000000000003</v>
      </c>
      <c r="O171" s="9">
        <f>sales[[#This Row],[Total Price]]*1.5%</f>
        <v>13.469999999999999</v>
      </c>
      <c r="Q171" s="5" t="s">
        <v>986</v>
      </c>
      <c r="R171" s="5" t="str">
        <f>_xlfn.CONCAT(sales[[#This Row],[Shop]]," ",sales[[#This Row],[Location]])</f>
        <v xml:space="preserve">YL </v>
      </c>
    </row>
    <row r="172" spans="1:18" ht="16.5" customHeight="1">
      <c r="A172" s="7">
        <v>170</v>
      </c>
      <c r="B172" s="2" t="s">
        <v>983</v>
      </c>
      <c r="C172" s="5"/>
      <c r="D172" s="2" t="e">
        <f ca="1">OFFSET(Roster!$B$7, MATCH(B172&amp;" "&amp;C172&amp;"*",Roster!$B$8:$B$20,0),DAY(sales[[#This Row],[date]]),1, 1)</f>
        <v>#N/A</v>
      </c>
      <c r="E172" s="2">
        <f>MONTH(sales[[#This Row],[date]])</f>
        <v>6</v>
      </c>
      <c r="F172" s="233">
        <v>46192</v>
      </c>
      <c r="G172" s="3" t="e">
        <f>VLOOKUP("*"&amp;sales[[#This Row],[Input]]&amp;"*",'Ref-List'!$A:$C,1,0)</f>
        <v>#N/A</v>
      </c>
      <c r="H172" s="2" t="e">
        <f>VLOOKUP("*"&amp;G172&amp;"*",'Ref-List'!$A:$C,3,0)</f>
        <v>#N/A</v>
      </c>
      <c r="I172" s="2">
        <v>351</v>
      </c>
      <c r="J172" s="2">
        <v>1</v>
      </c>
      <c r="K172" s="2">
        <v>228</v>
      </c>
      <c r="L172" s="2">
        <f>sales[[#This Row],[quantity]]*sales[[#This Row],[price]]</f>
        <v>228</v>
      </c>
      <c r="M172" s="9">
        <f>sales[[#This Row],[Total Price]]*3%</f>
        <v>6.84</v>
      </c>
      <c r="N172" s="171">
        <f>sales[[#This Row],[Total Price]]*2.5%</f>
        <v>5.7</v>
      </c>
      <c r="O172" s="9">
        <f>sales[[#This Row],[Total Price]]*1.5%</f>
        <v>3.42</v>
      </c>
      <c r="Q172" s="5" t="s">
        <v>986</v>
      </c>
      <c r="R172" s="5" t="str">
        <f>_xlfn.CONCAT(sales[[#This Row],[Shop]]," ",sales[[#This Row],[Location]])</f>
        <v xml:space="preserve">YL </v>
      </c>
    </row>
    <row r="173" spans="1:18" ht="16.5" customHeight="1">
      <c r="A173" s="7">
        <v>171</v>
      </c>
      <c r="B173" s="2" t="s">
        <v>983</v>
      </c>
      <c r="C173" s="5"/>
      <c r="D173" s="2" t="e">
        <f ca="1">OFFSET(Roster!$B$7, MATCH(B173&amp;" "&amp;C173&amp;"*",Roster!$B$8:$B$20,0),DAY(sales[[#This Row],[date]]),1, 1)</f>
        <v>#N/A</v>
      </c>
      <c r="E173" s="2">
        <f>MONTH(sales[[#This Row],[date]])</f>
        <v>6</v>
      </c>
      <c r="F173" s="233">
        <v>46193</v>
      </c>
      <c r="G173" s="3" t="e">
        <f>VLOOKUP("*"&amp;sales[[#This Row],[Input]]&amp;"*",'Ref-List'!$A:$C,1,0)</f>
        <v>#N/A</v>
      </c>
      <c r="H173" s="2" t="e">
        <f>VLOOKUP("*"&amp;G173&amp;"*",'Ref-List'!$A:$C,3,0)</f>
        <v>#N/A</v>
      </c>
      <c r="I173" s="2">
        <v>6073</v>
      </c>
      <c r="J173" s="2">
        <v>1</v>
      </c>
      <c r="K173" s="2">
        <v>298</v>
      </c>
      <c r="L173" s="2">
        <f>sales[[#This Row],[quantity]]*sales[[#This Row],[price]]</f>
        <v>298</v>
      </c>
      <c r="M173" s="9">
        <f>sales[[#This Row],[Total Price]]*3%</f>
        <v>8.94</v>
      </c>
      <c r="N173" s="171">
        <f>sales[[#This Row],[Total Price]]*2.5%</f>
        <v>7.45</v>
      </c>
      <c r="O173" s="9">
        <f>sales[[#This Row],[Total Price]]*1.5%</f>
        <v>4.47</v>
      </c>
      <c r="Q173" s="5" t="s">
        <v>986</v>
      </c>
      <c r="R173" s="5" t="str">
        <f>_xlfn.CONCAT(sales[[#This Row],[Shop]]," ",sales[[#This Row],[Location]])</f>
        <v xml:space="preserve">YL </v>
      </c>
    </row>
    <row r="174" spans="1:18" ht="16.5" customHeight="1">
      <c r="A174" s="7">
        <v>172</v>
      </c>
      <c r="B174" s="2" t="s">
        <v>983</v>
      </c>
      <c r="C174" s="5"/>
      <c r="D174" s="2" t="e">
        <f ca="1">OFFSET(Roster!$B$7, MATCH(B174&amp;" "&amp;C174&amp;"*",Roster!$B$8:$B$20,0),DAY(sales[[#This Row],[date]]),1, 1)</f>
        <v>#N/A</v>
      </c>
      <c r="E174" s="2">
        <f>MONTH(sales[[#This Row],[date]])</f>
        <v>6</v>
      </c>
      <c r="F174" s="233">
        <v>46193</v>
      </c>
      <c r="G174" s="3" t="e">
        <f>VLOOKUP("*"&amp;sales[[#This Row],[Input]]&amp;"*",'Ref-List'!$A:$C,1,0)</f>
        <v>#N/A</v>
      </c>
      <c r="H174" s="2" t="e">
        <f>VLOOKUP("*"&amp;G174&amp;"*",'Ref-List'!$A:$C,3,0)</f>
        <v>#N/A</v>
      </c>
      <c r="I174" s="2">
        <v>351</v>
      </c>
      <c r="J174" s="2">
        <v>1</v>
      </c>
      <c r="K174" s="2">
        <v>228</v>
      </c>
      <c r="L174" s="2">
        <f>sales[[#This Row],[quantity]]*sales[[#This Row],[price]]</f>
        <v>228</v>
      </c>
      <c r="M174" s="9">
        <f>sales[[#This Row],[Total Price]]*3%</f>
        <v>6.84</v>
      </c>
      <c r="N174" s="171">
        <f>sales[[#This Row],[Total Price]]*2.5%</f>
        <v>5.7</v>
      </c>
      <c r="O174" s="9">
        <f>sales[[#This Row],[Total Price]]*1.5%</f>
        <v>3.42</v>
      </c>
      <c r="Q174" s="5" t="s">
        <v>986</v>
      </c>
      <c r="R174" s="5" t="str">
        <f>_xlfn.CONCAT(sales[[#This Row],[Shop]]," ",sales[[#This Row],[Location]])</f>
        <v xml:space="preserve">YL </v>
      </c>
    </row>
    <row r="175" spans="1:18" ht="16.5" customHeight="1">
      <c r="A175" s="7">
        <v>173</v>
      </c>
      <c r="B175" s="2" t="s">
        <v>983</v>
      </c>
      <c r="C175" s="5"/>
      <c r="D175" s="2" t="e">
        <f ca="1">OFFSET(Roster!$B$7, MATCH(B175&amp;" "&amp;C175&amp;"*",Roster!$B$8:$B$20,0),DAY(sales[[#This Row],[date]]),1, 1)</f>
        <v>#N/A</v>
      </c>
      <c r="E175" s="2">
        <f>MONTH(sales[[#This Row],[date]])</f>
        <v>6</v>
      </c>
      <c r="F175" s="233">
        <v>46194</v>
      </c>
      <c r="G175" s="3" t="str">
        <f>VLOOKUP("*"&amp;sales[[#This Row],[Input]]&amp;"*",'Ref-List'!$A:$C,1,0)</f>
        <v>5950/15</v>
      </c>
      <c r="H175" s="2" t="str">
        <f>VLOOKUP("*"&amp;G175&amp;"*",'Ref-List'!$A:$C,3,0)</f>
        <v>頭髮修剪器</v>
      </c>
      <c r="I175" s="2">
        <v>5950</v>
      </c>
      <c r="J175" s="2">
        <v>1</v>
      </c>
      <c r="K175" s="2">
        <v>488</v>
      </c>
      <c r="L175" s="2">
        <f>sales[[#This Row],[quantity]]*sales[[#This Row],[price]]</f>
        <v>488</v>
      </c>
      <c r="M175" s="9">
        <f>sales[[#This Row],[Total Price]]*3%</f>
        <v>14.639999999999999</v>
      </c>
      <c r="N175" s="171">
        <f>sales[[#This Row],[Total Price]]*2.5%</f>
        <v>12.200000000000001</v>
      </c>
      <c r="O175" s="9">
        <f>sales[[#This Row],[Total Price]]*1.5%</f>
        <v>7.3199999999999994</v>
      </c>
      <c r="Q175" s="5" t="s">
        <v>986</v>
      </c>
      <c r="R175" s="5" t="str">
        <f>_xlfn.CONCAT(sales[[#This Row],[Shop]]," ",sales[[#This Row],[Location]])</f>
        <v xml:space="preserve">YL </v>
      </c>
    </row>
    <row r="176" spans="1:18" ht="16.5" customHeight="1">
      <c r="A176" s="7">
        <v>174</v>
      </c>
      <c r="B176" s="2" t="s">
        <v>983</v>
      </c>
      <c r="C176" s="5"/>
      <c r="D176" s="2" t="e">
        <f ca="1">OFFSET(Roster!$B$7, MATCH(B176&amp;" "&amp;C176&amp;"*",Roster!$B$8:$B$20,0),DAY(sales[[#This Row],[date]]),1, 1)</f>
        <v>#N/A</v>
      </c>
      <c r="E176" s="2">
        <f>MONTH(sales[[#This Row],[date]])</f>
        <v>6</v>
      </c>
      <c r="F176" s="233">
        <v>46194</v>
      </c>
      <c r="G176" s="3" t="str">
        <f>VLOOKUP("*"&amp;sales[[#This Row],[Input]]&amp;"*",'Ref-List'!$A:$C,1,0)</f>
        <v>1141/00</v>
      </c>
      <c r="H176" s="2" t="str">
        <f>VLOOKUP("*"&amp;G176&amp;"*",'Ref-List'!$A:$C,3,0)</f>
        <v>鬚刨</v>
      </c>
      <c r="I176" s="2">
        <v>1141</v>
      </c>
      <c r="J176" s="2">
        <v>1</v>
      </c>
      <c r="K176" s="2">
        <v>338</v>
      </c>
      <c r="L176" s="2">
        <f>sales[[#This Row],[quantity]]*sales[[#This Row],[price]]</f>
        <v>338</v>
      </c>
      <c r="M176" s="9">
        <f>sales[[#This Row],[Total Price]]*3%</f>
        <v>10.139999999999999</v>
      </c>
      <c r="N176" s="171">
        <f>sales[[#This Row],[Total Price]]*2.5%</f>
        <v>8.4500000000000011</v>
      </c>
      <c r="O176" s="9">
        <f>sales[[#This Row],[Total Price]]*1.5%</f>
        <v>5.0699999999999994</v>
      </c>
      <c r="Q176" s="5" t="s">
        <v>986</v>
      </c>
      <c r="R176" s="5" t="str">
        <f>_xlfn.CONCAT(sales[[#This Row],[Shop]]," ",sales[[#This Row],[Location]])</f>
        <v xml:space="preserve">YL </v>
      </c>
    </row>
    <row r="177" spans="1:18" ht="16.5" customHeight="1">
      <c r="A177" s="7">
        <v>175</v>
      </c>
      <c r="B177" s="2" t="s">
        <v>983</v>
      </c>
      <c r="C177" s="5"/>
      <c r="D177" s="2" t="e">
        <f ca="1">OFFSET(Roster!$B$7, MATCH(B177&amp;" "&amp;C177&amp;"*",Roster!$B$8:$B$20,0),DAY(sales[[#This Row],[date]]),1, 1)</f>
        <v>#N/A</v>
      </c>
      <c r="E177" s="2">
        <f>MONTH(sales[[#This Row],[date]])</f>
        <v>6</v>
      </c>
      <c r="F177" s="233">
        <v>46199</v>
      </c>
      <c r="G177" s="3" t="e">
        <f>VLOOKUP("*"&amp;sales[[#This Row],[Input]]&amp;"*",'Ref-List'!$A:$C,1,0)</f>
        <v>#N/A</v>
      </c>
      <c r="H177" s="2" t="e">
        <f>VLOOKUP("*"&amp;G177&amp;"*",'Ref-List'!$A:$C,3,0)</f>
        <v>#N/A</v>
      </c>
      <c r="I177" s="2">
        <v>206</v>
      </c>
      <c r="J177" s="2">
        <v>1</v>
      </c>
      <c r="K177" s="2">
        <v>98</v>
      </c>
      <c r="L177" s="2">
        <f>sales[[#This Row],[quantity]]*sales[[#This Row],[price]]</f>
        <v>98</v>
      </c>
      <c r="M177" s="9">
        <f>sales[[#This Row],[Total Price]]*3%</f>
        <v>2.94</v>
      </c>
      <c r="N177" s="171">
        <f>sales[[#This Row],[Total Price]]*2.5%</f>
        <v>2.4500000000000002</v>
      </c>
      <c r="O177" s="9">
        <f>sales[[#This Row],[Total Price]]*1.5%</f>
        <v>1.47</v>
      </c>
      <c r="Q177" s="5" t="s">
        <v>987</v>
      </c>
      <c r="R177" s="5" t="str">
        <f>_xlfn.CONCAT(sales[[#This Row],[Shop]]," ",sales[[#This Row],[Location]])</f>
        <v xml:space="preserve">YL </v>
      </c>
    </row>
    <row r="178" spans="1:18" ht="16.5" customHeight="1">
      <c r="A178" s="7">
        <v>176</v>
      </c>
      <c r="B178" s="2" t="s">
        <v>983</v>
      </c>
      <c r="C178" s="5"/>
      <c r="D178" s="2" t="e">
        <f ca="1">OFFSET(Roster!$B$7, MATCH(B178&amp;" "&amp;C178&amp;"*",Roster!$B$8:$B$20,0),DAY(sales[[#This Row],[date]]),1, 1)</f>
        <v>#N/A</v>
      </c>
      <c r="E178" s="2">
        <f>MONTH(sales[[#This Row],[date]])</f>
        <v>6</v>
      </c>
      <c r="F178" s="233">
        <v>46200</v>
      </c>
      <c r="G178" s="3" t="str">
        <f>VLOOKUP("*"&amp;sales[[#This Row],[Input]]&amp;"*",'Ref-List'!$A:$C,1,0)</f>
        <v>5980+3754</v>
      </c>
      <c r="H178" s="2" t="str">
        <f>VLOOKUP("*"&amp;G178&amp;"*",'Ref-List'!$A:$C,3,0)</f>
        <v>冷熱過濾飲水機 + 水龍頭式淨水器</v>
      </c>
      <c r="I178" s="2">
        <v>375</v>
      </c>
      <c r="J178" s="2">
        <v>1</v>
      </c>
      <c r="K178" s="2">
        <v>178</v>
      </c>
      <c r="L178" s="2">
        <f>sales[[#This Row],[quantity]]*sales[[#This Row],[price]]</f>
        <v>178</v>
      </c>
      <c r="M178" s="9">
        <f>sales[[#This Row],[Total Price]]*3%</f>
        <v>5.34</v>
      </c>
      <c r="N178" s="171">
        <f>sales[[#This Row],[Total Price]]*2.5%</f>
        <v>4.45</v>
      </c>
      <c r="O178" s="9">
        <f>sales[[#This Row],[Total Price]]*1.5%</f>
        <v>2.67</v>
      </c>
      <c r="Q178" s="5" t="s">
        <v>987</v>
      </c>
      <c r="R178" s="5" t="str">
        <f>_xlfn.CONCAT(sales[[#This Row],[Shop]]," ",sales[[#This Row],[Location]])</f>
        <v xml:space="preserve">YL </v>
      </c>
    </row>
    <row r="179" spans="1:18" ht="15.6" customHeight="1">
      <c r="A179" s="7">
        <v>177</v>
      </c>
      <c r="B179" s="2" t="s">
        <v>983</v>
      </c>
      <c r="C179" s="5"/>
      <c r="D179" s="2" t="e">
        <f ca="1">OFFSET(Roster!$B$7, MATCH(B179&amp;" "&amp;C179&amp;"*",Roster!$B$8:$B$20,0),DAY(sales[[#This Row],[date]]),1, 1)</f>
        <v>#N/A</v>
      </c>
      <c r="E179" s="2">
        <f>MONTH(sales[[#This Row],[date]])</f>
        <v>6</v>
      </c>
      <c r="F179" s="233">
        <v>46201</v>
      </c>
      <c r="G179" s="3" t="e">
        <f>VLOOKUP("*"&amp;sales[[#This Row],[Input]]&amp;"*",'Ref-List'!$A:$C,1,0)</f>
        <v>#N/A</v>
      </c>
      <c r="H179" s="2" t="e">
        <f>VLOOKUP("*"&amp;G179&amp;"*",'Ref-List'!$A:$C,3,0)</f>
        <v>#N/A</v>
      </c>
      <c r="I179" s="2">
        <v>351</v>
      </c>
      <c r="J179" s="2">
        <v>1</v>
      </c>
      <c r="K179" s="2">
        <v>228</v>
      </c>
      <c r="L179" s="2">
        <f>sales[[#This Row],[quantity]]*sales[[#This Row],[price]]</f>
        <v>228</v>
      </c>
      <c r="M179" s="9">
        <f>sales[[#This Row],[Total Price]]*3%</f>
        <v>6.84</v>
      </c>
      <c r="N179" s="171">
        <f>sales[[#This Row],[Total Price]]*2.5%</f>
        <v>5.7</v>
      </c>
      <c r="O179" s="9">
        <f>sales[[#This Row],[Total Price]]*1.5%</f>
        <v>3.42</v>
      </c>
      <c r="Q179" s="5" t="s">
        <v>987</v>
      </c>
      <c r="R179" s="5" t="str">
        <f>_xlfn.CONCAT(sales[[#This Row],[Shop]]," ",sales[[#This Row],[Location]])</f>
        <v xml:space="preserve">YL </v>
      </c>
    </row>
    <row r="180" spans="1:18" ht="15.6" customHeight="1">
      <c r="A180" s="7">
        <v>178</v>
      </c>
      <c r="B180" s="2" t="s">
        <v>983</v>
      </c>
      <c r="C180" s="5"/>
      <c r="D180" s="2" t="e">
        <f ca="1">OFFSET(Roster!$B$7, MATCH(B180&amp;" "&amp;C180&amp;"*",Roster!$B$8:$B$20,0),DAY(sales[[#This Row],[date]]),1, 1)</f>
        <v>#N/A</v>
      </c>
      <c r="E180" s="2">
        <f>MONTH(sales[[#This Row],[date]])</f>
        <v>6</v>
      </c>
      <c r="F180" s="233">
        <v>46201</v>
      </c>
      <c r="G180" s="3" t="e">
        <f>VLOOKUP("*"&amp;sales[[#This Row],[Input]]&amp;"*",'Ref-List'!$A:$C,1,0)</f>
        <v>#N/A</v>
      </c>
      <c r="H180" s="2" t="e">
        <f>VLOOKUP("*"&amp;G180&amp;"*",'Ref-List'!$A:$C,3,0)</f>
        <v>#N/A</v>
      </c>
      <c r="I180" s="2">
        <v>206</v>
      </c>
      <c r="J180" s="2">
        <v>1</v>
      </c>
      <c r="K180" s="2">
        <v>98</v>
      </c>
      <c r="L180" s="2">
        <f>sales[[#This Row],[quantity]]*sales[[#This Row],[price]]</f>
        <v>98</v>
      </c>
      <c r="M180" s="9">
        <f>sales[[#This Row],[Total Price]]*3%</f>
        <v>2.94</v>
      </c>
      <c r="N180" s="171">
        <f>sales[[#This Row],[Total Price]]*2.5%</f>
        <v>2.4500000000000002</v>
      </c>
      <c r="O180" s="9">
        <f>sales[[#This Row],[Total Price]]*1.5%</f>
        <v>1.47</v>
      </c>
      <c r="Q180" s="5" t="s">
        <v>987</v>
      </c>
      <c r="R180" s="5" t="str">
        <f>_xlfn.CONCAT(sales[[#This Row],[Shop]]," ",sales[[#This Row],[Location]])</f>
        <v xml:space="preserve">YL </v>
      </c>
    </row>
    <row r="181" spans="1:18" ht="15.6" customHeight="1">
      <c r="A181" s="7">
        <v>179</v>
      </c>
      <c r="B181" s="2" t="s">
        <v>983</v>
      </c>
      <c r="C181" s="5"/>
      <c r="D181" s="2" t="e">
        <f ca="1">OFFSET(Roster!$B$7, MATCH(B181&amp;" "&amp;C181&amp;"*",Roster!$B$8:$B$20,0),DAY(sales[[#This Row],[date]]),1, 1)</f>
        <v>#N/A</v>
      </c>
      <c r="E181" s="2">
        <f>MONTH(sales[[#This Row],[date]])</f>
        <v>6</v>
      </c>
      <c r="F181" s="233">
        <v>46201</v>
      </c>
      <c r="G181" s="3" t="str">
        <f>VLOOKUP("*"&amp;sales[[#This Row],[Input]]&amp;"*",'Ref-List'!$A:$C,1,0)</f>
        <v>5006/00</v>
      </c>
      <c r="H181" s="2" t="str">
        <f>VLOOKUP("*"&amp;G181&amp;"*",'Ref-List'!$A:$C,3,0)</f>
        <v>鬚刨</v>
      </c>
      <c r="I181" s="2">
        <v>5006</v>
      </c>
      <c r="J181" s="2">
        <v>1</v>
      </c>
      <c r="K181" s="2">
        <v>658</v>
      </c>
      <c r="L181" s="2">
        <f>sales[[#This Row],[quantity]]*sales[[#This Row],[price]]</f>
        <v>658</v>
      </c>
      <c r="M181" s="9">
        <f>sales[[#This Row],[Total Price]]*3%</f>
        <v>19.739999999999998</v>
      </c>
      <c r="N181" s="171">
        <f>sales[[#This Row],[Total Price]]*2.5%</f>
        <v>16.45</v>
      </c>
      <c r="O181" s="9">
        <f>sales[[#This Row],[Total Price]]*1.5%</f>
        <v>9.8699999999999992</v>
      </c>
      <c r="Q181" s="5" t="s">
        <v>987</v>
      </c>
      <c r="R181" s="5" t="str">
        <f>_xlfn.CONCAT(sales[[#This Row],[Shop]]," ",sales[[#This Row],[Location]])</f>
        <v xml:space="preserve">YL </v>
      </c>
    </row>
    <row r="182" spans="1:18" ht="15.6" customHeight="1">
      <c r="A182" s="7">
        <v>180</v>
      </c>
      <c r="B182" s="2" t="s">
        <v>983</v>
      </c>
      <c r="C182" s="5"/>
      <c r="D182" s="2" t="e">
        <f ca="1">OFFSET(Roster!$B$7, MATCH(B182&amp;" "&amp;C182&amp;"*",Roster!$B$8:$B$20,0),DAY(sales[[#This Row],[date]]),1, 1)</f>
        <v>#N/A</v>
      </c>
      <c r="E182" s="2">
        <f>MONTH(sales[[#This Row],[date]])</f>
        <v>6</v>
      </c>
      <c r="F182" s="233">
        <v>46177</v>
      </c>
      <c r="G182" s="3" t="e">
        <f>VLOOKUP("*"&amp;sales[[#This Row],[Input]]&amp;"*",'Ref-List'!$A:$C,1,0)</f>
        <v>#N/A</v>
      </c>
      <c r="H182" s="2" t="e">
        <f>VLOOKUP("*"&amp;G182&amp;"*",'Ref-List'!$A:$C,3,0)</f>
        <v>#N/A</v>
      </c>
      <c r="I182" s="2">
        <v>2020</v>
      </c>
      <c r="J182" s="2">
        <v>1</v>
      </c>
      <c r="K182" s="2">
        <v>238</v>
      </c>
      <c r="L182" s="2">
        <f>sales[[#This Row],[quantity]]*sales[[#This Row],[price]]</f>
        <v>238</v>
      </c>
      <c r="M182" s="9">
        <f>sales[[#This Row],[Total Price]]*3%</f>
        <v>7.14</v>
      </c>
      <c r="N182" s="171">
        <f>sales[[#This Row],[Total Price]]*2.5%</f>
        <v>5.95</v>
      </c>
      <c r="O182" s="9">
        <f>sales[[#This Row],[Total Price]]*1.5%</f>
        <v>3.57</v>
      </c>
      <c r="Q182" s="5" t="s">
        <v>988</v>
      </c>
      <c r="R182" s="5" t="str">
        <f>_xlfn.CONCAT(sales[[#This Row],[Shop]]," ",sales[[#This Row],[Location]])</f>
        <v xml:space="preserve">YL </v>
      </c>
    </row>
    <row r="183" spans="1:18" ht="15.6" customHeight="1">
      <c r="A183" s="7">
        <v>181</v>
      </c>
      <c r="B183" s="2" t="s">
        <v>983</v>
      </c>
      <c r="C183" s="5"/>
      <c r="D183" s="2" t="e">
        <f ca="1">OFFSET(Roster!$B$7, MATCH(B183&amp;" "&amp;C183&amp;"*",Roster!$B$8:$B$20,0),DAY(sales[[#This Row],[date]]),1, 1)</f>
        <v>#N/A</v>
      </c>
      <c r="E183" s="2">
        <f>MONTH(sales[[#This Row],[date]])</f>
        <v>6</v>
      </c>
      <c r="F183" s="233">
        <v>46177</v>
      </c>
      <c r="G183" s="3" t="e">
        <f>VLOOKUP("*"&amp;sales[[#This Row],[Input]]&amp;"*",'Ref-List'!$A:$C,1,0)</f>
        <v>#N/A</v>
      </c>
      <c r="H183" s="2" t="e">
        <f>VLOOKUP("*"&amp;G183&amp;"*",'Ref-List'!$A:$C,3,0)</f>
        <v>#N/A</v>
      </c>
      <c r="I183" s="2">
        <v>2517</v>
      </c>
      <c r="J183" s="2">
        <v>1</v>
      </c>
      <c r="K183" s="2">
        <v>258</v>
      </c>
      <c r="L183" s="2">
        <f>sales[[#This Row],[quantity]]*sales[[#This Row],[price]]</f>
        <v>258</v>
      </c>
      <c r="M183" s="9">
        <f>sales[[#This Row],[Total Price]]*3%</f>
        <v>7.7399999999999993</v>
      </c>
      <c r="N183" s="171">
        <f>sales[[#This Row],[Total Price]]*2.5%</f>
        <v>6.45</v>
      </c>
      <c r="O183" s="9">
        <f>sales[[#This Row],[Total Price]]*1.5%</f>
        <v>3.8699999999999997</v>
      </c>
      <c r="Q183" s="5" t="s">
        <v>988</v>
      </c>
      <c r="R183" s="5" t="str">
        <f>_xlfn.CONCAT(sales[[#This Row],[Shop]]," ",sales[[#This Row],[Location]])</f>
        <v xml:space="preserve">YL </v>
      </c>
    </row>
    <row r="184" spans="1:18" ht="16.5" customHeight="1">
      <c r="A184" s="7">
        <v>182</v>
      </c>
      <c r="B184" s="2" t="s">
        <v>983</v>
      </c>
      <c r="C184" s="5"/>
      <c r="D184" s="2" t="e">
        <f ca="1">OFFSET(Roster!$B$7, MATCH(B184&amp;" "&amp;C184&amp;"*",Roster!$B$8:$B$20,0),DAY(sales[[#This Row],[date]]),1, 1)</f>
        <v>#N/A</v>
      </c>
      <c r="E184" s="2">
        <f>MONTH(sales[[#This Row],[date]])</f>
        <v>6</v>
      </c>
      <c r="F184" s="233">
        <v>46179</v>
      </c>
      <c r="G184" s="3" t="e">
        <f>VLOOKUP("*"&amp;sales[[#This Row],[Input]]&amp;"*",'Ref-List'!$A:$C,1,0)</f>
        <v>#N/A</v>
      </c>
      <c r="H184" s="2" t="e">
        <f>VLOOKUP("*"&amp;G184&amp;"*",'Ref-List'!$A:$C,3,0)</f>
        <v>#N/A</v>
      </c>
      <c r="I184" s="2">
        <v>110</v>
      </c>
      <c r="J184" s="2">
        <v>1</v>
      </c>
      <c r="K184" s="2">
        <v>498</v>
      </c>
      <c r="L184" s="2">
        <f>sales[[#This Row],[quantity]]*sales[[#This Row],[price]]</f>
        <v>498</v>
      </c>
      <c r="M184" s="9">
        <f>sales[[#This Row],[Total Price]]*3%</f>
        <v>14.94</v>
      </c>
      <c r="N184" s="171">
        <f>sales[[#This Row],[Total Price]]*2.5%</f>
        <v>12.450000000000001</v>
      </c>
      <c r="O184" s="9">
        <f>sales[[#This Row],[Total Price]]*1.5%</f>
        <v>7.47</v>
      </c>
      <c r="Q184" s="5" t="s">
        <v>988</v>
      </c>
      <c r="R184" s="5" t="str">
        <f>_xlfn.CONCAT(sales[[#This Row],[Shop]]," ",sales[[#This Row],[Location]])</f>
        <v xml:space="preserve">YL </v>
      </c>
    </row>
    <row r="185" spans="1:18" ht="16.5" customHeight="1">
      <c r="A185" s="7">
        <v>183</v>
      </c>
      <c r="B185" s="2" t="s">
        <v>983</v>
      </c>
      <c r="C185" s="5"/>
      <c r="D185" s="2" t="e">
        <f ca="1">OFFSET(Roster!$B$7, MATCH(B185&amp;" "&amp;C185&amp;"*",Roster!$B$8:$B$20,0),DAY(sales[[#This Row],[date]]),1, 1)</f>
        <v>#N/A</v>
      </c>
      <c r="E185" s="2">
        <f>MONTH(sales[[#This Row],[date]])</f>
        <v>6</v>
      </c>
      <c r="F185" s="233">
        <v>46179</v>
      </c>
      <c r="G185" s="3" t="e">
        <f>VLOOKUP("*"&amp;sales[[#This Row],[Input]]&amp;"*",'Ref-List'!$A:$C,1,0)</f>
        <v>#N/A</v>
      </c>
      <c r="H185" s="2" t="e">
        <f>VLOOKUP("*"&amp;G185&amp;"*",'Ref-List'!$A:$C,3,0)</f>
        <v>#N/A</v>
      </c>
      <c r="I185" s="2">
        <v>9350</v>
      </c>
      <c r="J185" s="2">
        <v>1</v>
      </c>
      <c r="K185" s="2">
        <v>998</v>
      </c>
      <c r="L185" s="2">
        <f>sales[[#This Row],[quantity]]*sales[[#This Row],[price]]</f>
        <v>998</v>
      </c>
      <c r="M185" s="9">
        <f>sales[[#This Row],[Total Price]]*3%</f>
        <v>29.939999999999998</v>
      </c>
      <c r="N185" s="171">
        <f>sales[[#This Row],[Total Price]]*2.5%</f>
        <v>24.950000000000003</v>
      </c>
      <c r="O185" s="9">
        <f>sales[[#This Row],[Total Price]]*1.5%</f>
        <v>14.969999999999999</v>
      </c>
      <c r="Q185" s="5" t="s">
        <v>988</v>
      </c>
      <c r="R185" s="5" t="str">
        <f>_xlfn.CONCAT(sales[[#This Row],[Shop]]," ",sales[[#This Row],[Location]])</f>
        <v xml:space="preserve">YL </v>
      </c>
    </row>
    <row r="186" spans="1:18" ht="16.5" customHeight="1">
      <c r="A186" s="7">
        <v>184</v>
      </c>
      <c r="B186" s="2" t="s">
        <v>983</v>
      </c>
      <c r="C186" s="5"/>
      <c r="D186" s="2" t="e">
        <f ca="1">OFFSET(Roster!$B$7, MATCH(B186&amp;" "&amp;C186&amp;"*",Roster!$B$8:$B$20,0),DAY(sales[[#This Row],[date]]),1, 1)</f>
        <v>#N/A</v>
      </c>
      <c r="E186" s="2">
        <f>MONTH(sales[[#This Row],[date]])</f>
        <v>6</v>
      </c>
      <c r="F186" s="233">
        <v>46180</v>
      </c>
      <c r="G186" s="3" t="e">
        <f>VLOOKUP("*"&amp;sales[[#This Row],[Input]]&amp;"*",'Ref-List'!$A:$C,1,0)</f>
        <v>#N/A</v>
      </c>
      <c r="H186" s="2" t="e">
        <f>VLOOKUP("*"&amp;G186&amp;"*",'Ref-List'!$A:$C,3,0)</f>
        <v>#N/A</v>
      </c>
      <c r="I186" s="2">
        <v>9372</v>
      </c>
      <c r="J186" s="2">
        <v>2</v>
      </c>
      <c r="K186" s="2">
        <v>298</v>
      </c>
      <c r="L186" s="2">
        <f>sales[[#This Row],[quantity]]*sales[[#This Row],[price]]</f>
        <v>596</v>
      </c>
      <c r="M186" s="9">
        <f>sales[[#This Row],[Total Price]]*3%</f>
        <v>17.88</v>
      </c>
      <c r="N186" s="171">
        <f>sales[[#This Row],[Total Price]]*2.5%</f>
        <v>14.9</v>
      </c>
      <c r="O186" s="9">
        <f>sales[[#This Row],[Total Price]]*1.5%</f>
        <v>8.94</v>
      </c>
      <c r="Q186" s="5" t="s">
        <v>988</v>
      </c>
      <c r="R186" s="5" t="str">
        <f>_xlfn.CONCAT(sales[[#This Row],[Shop]]," ",sales[[#This Row],[Location]])</f>
        <v xml:space="preserve">YL </v>
      </c>
    </row>
    <row r="187" spans="1:18" ht="16.5" customHeight="1">
      <c r="A187" s="7">
        <v>185</v>
      </c>
      <c r="B187" s="2" t="s">
        <v>983</v>
      </c>
      <c r="C187" s="5"/>
      <c r="D187" s="2" t="e">
        <f ca="1">OFFSET(Roster!$B$7, MATCH(B187&amp;" "&amp;C187&amp;"*",Roster!$B$8:$B$20,0),DAY(sales[[#This Row],[date]]),1, 1)</f>
        <v>#N/A</v>
      </c>
      <c r="E187" s="2">
        <f>MONTH(sales[[#This Row],[date]])</f>
        <v>6</v>
      </c>
      <c r="F187" s="233">
        <v>46184</v>
      </c>
      <c r="G187" s="3" t="str">
        <f>VLOOKUP("*"&amp;sales[[#This Row],[Input]]&amp;"*",'Ref-List'!$A:$C,1,0)</f>
        <v>5020/36</v>
      </c>
      <c r="H187" s="2" t="str">
        <f>VLOOKUP("*"&amp;G187&amp;"*",'Ref-List'!$A:$C,3,0)</f>
        <v>燙斗</v>
      </c>
      <c r="I187" s="2">
        <v>5020</v>
      </c>
      <c r="J187" s="2">
        <v>1</v>
      </c>
      <c r="K187" s="2">
        <v>358</v>
      </c>
      <c r="L187" s="2">
        <f>sales[[#This Row],[quantity]]*sales[[#This Row],[price]]</f>
        <v>358</v>
      </c>
      <c r="M187" s="9">
        <f>sales[[#This Row],[Total Price]]*3%</f>
        <v>10.74</v>
      </c>
      <c r="N187" s="171">
        <f>sales[[#This Row],[Total Price]]*2.5%</f>
        <v>8.9500000000000011</v>
      </c>
      <c r="O187" s="9">
        <f>sales[[#This Row],[Total Price]]*1.5%</f>
        <v>5.37</v>
      </c>
      <c r="Q187" s="5" t="s">
        <v>988</v>
      </c>
      <c r="R187" s="5" t="str">
        <f>_xlfn.CONCAT(sales[[#This Row],[Shop]]," ",sales[[#This Row],[Location]])</f>
        <v xml:space="preserve">YL </v>
      </c>
    </row>
    <row r="188" spans="1:18" ht="16.5" customHeight="1">
      <c r="A188" s="7">
        <v>186</v>
      </c>
      <c r="B188" s="2" t="s">
        <v>983</v>
      </c>
      <c r="C188" s="5"/>
      <c r="D188" s="2" t="e">
        <f ca="1">OFFSET(Roster!$B$7, MATCH(B188&amp;" "&amp;C188&amp;"*",Roster!$B$8:$B$20,0),DAY(sales[[#This Row],[date]]),1, 1)</f>
        <v>#N/A</v>
      </c>
      <c r="E188" s="2">
        <f>MONTH(sales[[#This Row],[date]])</f>
        <v>6</v>
      </c>
      <c r="F188" s="233">
        <v>46184</v>
      </c>
      <c r="G188" s="3" t="e">
        <f>VLOOKUP("*"&amp;sales[[#This Row],[Input]]&amp;"*",'Ref-List'!$A:$C,1,0)</f>
        <v>#N/A</v>
      </c>
      <c r="H188" s="2" t="e">
        <f>VLOOKUP("*"&amp;G188&amp;"*",'Ref-List'!$A:$C,3,0)</f>
        <v>#N/A</v>
      </c>
      <c r="I188" s="2">
        <v>2020</v>
      </c>
      <c r="J188" s="2">
        <v>1</v>
      </c>
      <c r="K188" s="2">
        <v>238</v>
      </c>
      <c r="L188" s="2">
        <f>sales[[#This Row],[quantity]]*sales[[#This Row],[price]]</f>
        <v>238</v>
      </c>
      <c r="M188" s="9">
        <f>sales[[#This Row],[Total Price]]*3%</f>
        <v>7.14</v>
      </c>
      <c r="N188" s="171">
        <f>sales[[#This Row],[Total Price]]*2.5%</f>
        <v>5.95</v>
      </c>
      <c r="O188" s="9">
        <f>sales[[#This Row],[Total Price]]*1.5%</f>
        <v>3.57</v>
      </c>
      <c r="Q188" s="5" t="s">
        <v>989</v>
      </c>
      <c r="R188" s="5" t="str">
        <f>_xlfn.CONCAT(sales[[#This Row],[Shop]]," ",sales[[#This Row],[Location]])</f>
        <v xml:space="preserve">YL </v>
      </c>
    </row>
    <row r="189" spans="1:18" ht="16.5" customHeight="1">
      <c r="A189" s="7">
        <v>187</v>
      </c>
      <c r="B189" s="2" t="s">
        <v>983</v>
      </c>
      <c r="C189" s="5"/>
      <c r="D189" s="2" t="e">
        <f ca="1">OFFSET(Roster!$B$7, MATCH(B189&amp;" "&amp;C189&amp;"*",Roster!$B$8:$B$20,0),DAY(sales[[#This Row],[date]]),1, 1)</f>
        <v>#N/A</v>
      </c>
      <c r="E189" s="2">
        <f>MONTH(sales[[#This Row],[date]])</f>
        <v>6</v>
      </c>
      <c r="F189" s="233">
        <v>46184</v>
      </c>
      <c r="G189" s="3" t="e">
        <f>VLOOKUP("*"&amp;sales[[#This Row],[Input]]&amp;"*",'Ref-List'!$A:$C,1,0)</f>
        <v>#N/A</v>
      </c>
      <c r="H189" s="2" t="e">
        <f>VLOOKUP("*"&amp;G189&amp;"*",'Ref-List'!$A:$C,3,0)</f>
        <v>#N/A</v>
      </c>
      <c r="I189" s="2">
        <v>2512</v>
      </c>
      <c r="J189" s="2">
        <v>1</v>
      </c>
      <c r="K189" s="2">
        <v>548</v>
      </c>
      <c r="L189" s="2">
        <f>sales[[#This Row],[quantity]]*sales[[#This Row],[price]]</f>
        <v>548</v>
      </c>
      <c r="M189" s="9">
        <f>sales[[#This Row],[Total Price]]*3%</f>
        <v>16.439999999999998</v>
      </c>
      <c r="N189" s="171">
        <f>sales[[#This Row],[Total Price]]*2.5%</f>
        <v>13.700000000000001</v>
      </c>
      <c r="O189" s="9">
        <f>sales[[#This Row],[Total Price]]*1.5%</f>
        <v>8.2199999999999989</v>
      </c>
      <c r="Q189" s="5" t="s">
        <v>989</v>
      </c>
      <c r="R189" s="5" t="str">
        <f>_xlfn.CONCAT(sales[[#This Row],[Shop]]," ",sales[[#This Row],[Location]])</f>
        <v xml:space="preserve">YL </v>
      </c>
    </row>
    <row r="190" spans="1:18" ht="16.5" customHeight="1">
      <c r="A190" s="7">
        <v>188</v>
      </c>
      <c r="B190" s="2" t="s">
        <v>983</v>
      </c>
      <c r="C190" s="5"/>
      <c r="D190" s="2" t="e">
        <f ca="1">OFFSET(Roster!$B$7, MATCH(B190&amp;" "&amp;C190&amp;"*",Roster!$B$8:$B$20,0),DAY(sales[[#This Row],[date]]),1, 1)</f>
        <v>#N/A</v>
      </c>
      <c r="E190" s="2">
        <f>MONTH(sales[[#This Row],[date]])</f>
        <v>6</v>
      </c>
      <c r="F190" s="233">
        <v>46186</v>
      </c>
      <c r="G190" s="3" t="e">
        <f>VLOOKUP("*"&amp;sales[[#This Row],[Input]]&amp;"*",'Ref-List'!$A:$C,1,0)</f>
        <v>#N/A</v>
      </c>
      <c r="H190" s="2" t="e">
        <f>VLOOKUP("*"&amp;G190&amp;"*",'Ref-List'!$A:$C,3,0)</f>
        <v>#N/A</v>
      </c>
      <c r="I190" s="2">
        <v>9351</v>
      </c>
      <c r="J190" s="2">
        <v>1</v>
      </c>
      <c r="K190" s="2">
        <v>348</v>
      </c>
      <c r="L190" s="2">
        <f>sales[[#This Row],[quantity]]*sales[[#This Row],[price]]</f>
        <v>348</v>
      </c>
      <c r="M190" s="9">
        <f>sales[[#This Row],[Total Price]]*3%</f>
        <v>10.44</v>
      </c>
      <c r="N190" s="171">
        <f>sales[[#This Row],[Total Price]]*2.5%</f>
        <v>8.7000000000000011</v>
      </c>
      <c r="O190" s="9">
        <f>sales[[#This Row],[Total Price]]*1.5%</f>
        <v>5.22</v>
      </c>
      <c r="Q190" s="5" t="s">
        <v>989</v>
      </c>
      <c r="R190" s="5" t="str">
        <f>_xlfn.CONCAT(sales[[#This Row],[Shop]]," ",sales[[#This Row],[Location]])</f>
        <v xml:space="preserve">YL </v>
      </c>
    </row>
    <row r="191" spans="1:18" ht="16.5" customHeight="1">
      <c r="A191" s="7">
        <v>189</v>
      </c>
      <c r="B191" s="2" t="s">
        <v>983</v>
      </c>
      <c r="C191" s="5"/>
      <c r="D191" s="2" t="e">
        <f ca="1">OFFSET(Roster!$B$7, MATCH(B191&amp;" "&amp;C191&amp;"*",Roster!$B$8:$B$20,0),DAY(sales[[#This Row],[date]]),1, 1)</f>
        <v>#N/A</v>
      </c>
      <c r="E191" s="2">
        <f>MONTH(sales[[#This Row],[date]])</f>
        <v>6</v>
      </c>
      <c r="F191" s="233">
        <v>46186</v>
      </c>
      <c r="G191" s="3" t="e">
        <f>VLOOKUP("*"&amp;sales[[#This Row],[Input]]&amp;"*",'Ref-List'!$A:$C,1,0)</f>
        <v>#N/A</v>
      </c>
      <c r="H191" s="2" t="e">
        <f>VLOOKUP("*"&amp;G191&amp;"*",'Ref-List'!$A:$C,3,0)</f>
        <v>#N/A</v>
      </c>
      <c r="I191" s="2">
        <v>1811</v>
      </c>
      <c r="J191" s="2">
        <v>1</v>
      </c>
      <c r="K191" s="2">
        <v>458</v>
      </c>
      <c r="L191" s="2">
        <f>sales[[#This Row],[quantity]]*sales[[#This Row],[price]]</f>
        <v>458</v>
      </c>
      <c r="M191" s="9">
        <f>sales[[#This Row],[Total Price]]*3%</f>
        <v>13.74</v>
      </c>
      <c r="N191" s="171">
        <f>sales[[#This Row],[Total Price]]*2.5%</f>
        <v>11.450000000000001</v>
      </c>
      <c r="O191" s="9">
        <f>sales[[#This Row],[Total Price]]*1.5%</f>
        <v>6.87</v>
      </c>
      <c r="Q191" s="5" t="s">
        <v>989</v>
      </c>
      <c r="R191" s="5" t="str">
        <f>_xlfn.CONCAT(sales[[#This Row],[Shop]]," ",sales[[#This Row],[Location]])</f>
        <v xml:space="preserve">YL </v>
      </c>
    </row>
    <row r="192" spans="1:18" ht="16.5" customHeight="1">
      <c r="A192" s="7">
        <v>190</v>
      </c>
      <c r="B192" s="2" t="s">
        <v>983</v>
      </c>
      <c r="C192" s="5"/>
      <c r="D192" s="2" t="e">
        <f ca="1">OFFSET(Roster!$B$7, MATCH(B192&amp;" "&amp;C192&amp;"*",Roster!$B$8:$B$20,0),DAY(sales[[#This Row],[date]]),1, 1)</f>
        <v>#N/A</v>
      </c>
      <c r="E192" s="2">
        <f>MONTH(sales[[#This Row],[date]])</f>
        <v>6</v>
      </c>
      <c r="F192" s="233">
        <v>46187</v>
      </c>
      <c r="G192" s="3" t="e">
        <f>VLOOKUP("*"&amp;sales[[#This Row],[Input]]&amp;"*",'Ref-List'!$A:$C,1,0)</f>
        <v>#N/A</v>
      </c>
      <c r="H192" s="2" t="e">
        <f>VLOOKUP("*"&amp;G192&amp;"*",'Ref-List'!$A:$C,3,0)</f>
        <v>#N/A</v>
      </c>
      <c r="I192" s="2">
        <v>9372</v>
      </c>
      <c r="J192" s="2">
        <v>1</v>
      </c>
      <c r="K192" s="2">
        <v>298</v>
      </c>
      <c r="L192" s="2">
        <f>sales[[#This Row],[quantity]]*sales[[#This Row],[price]]</f>
        <v>298</v>
      </c>
      <c r="M192" s="9">
        <f>sales[[#This Row],[Total Price]]*3%</f>
        <v>8.94</v>
      </c>
      <c r="N192" s="171">
        <f>sales[[#This Row],[Total Price]]*2.5%</f>
        <v>7.45</v>
      </c>
      <c r="O192" s="9">
        <f>sales[[#This Row],[Total Price]]*1.5%</f>
        <v>4.47</v>
      </c>
      <c r="Q192" s="5" t="s">
        <v>990</v>
      </c>
      <c r="R192" s="5" t="str">
        <f>_xlfn.CONCAT(sales[[#This Row],[Shop]]," ",sales[[#This Row],[Location]])</f>
        <v xml:space="preserve">YL </v>
      </c>
    </row>
    <row r="193" spans="1:18" ht="16.5" customHeight="1">
      <c r="A193" s="7">
        <v>191</v>
      </c>
      <c r="B193" s="2" t="s">
        <v>983</v>
      </c>
      <c r="C193" s="5"/>
      <c r="D193" s="2" t="e">
        <f ca="1">OFFSET(Roster!$B$7, MATCH(B193&amp;" "&amp;C193&amp;"*",Roster!$B$8:$B$20,0),DAY(sales[[#This Row],[date]]),1, 1)</f>
        <v>#N/A</v>
      </c>
      <c r="E193" s="2">
        <f>MONTH(sales[[#This Row],[date]])</f>
        <v>6</v>
      </c>
      <c r="F193" s="233">
        <v>46187</v>
      </c>
      <c r="G193" s="3" t="e">
        <f>VLOOKUP("*"&amp;sales[[#This Row],[Input]]&amp;"*",'Ref-List'!$A:$C,1,0)</f>
        <v>#N/A</v>
      </c>
      <c r="H193" s="2" t="e">
        <f>VLOOKUP("*"&amp;G193&amp;"*",'Ref-List'!$A:$C,3,0)</f>
        <v>#N/A</v>
      </c>
      <c r="I193" s="2">
        <v>2041</v>
      </c>
      <c r="J193" s="2">
        <v>1</v>
      </c>
      <c r="K193" s="2">
        <v>228</v>
      </c>
      <c r="L193" s="2">
        <f>sales[[#This Row],[quantity]]*sales[[#This Row],[price]]</f>
        <v>228</v>
      </c>
      <c r="M193" s="9">
        <f>sales[[#This Row],[Total Price]]*3%</f>
        <v>6.84</v>
      </c>
      <c r="N193" s="171">
        <f>sales[[#This Row],[Total Price]]*2.5%</f>
        <v>5.7</v>
      </c>
      <c r="O193" s="9">
        <f>sales[[#This Row],[Total Price]]*1.5%</f>
        <v>3.42</v>
      </c>
      <c r="Q193" s="5" t="s">
        <v>990</v>
      </c>
      <c r="R193" s="5" t="str">
        <f>_xlfn.CONCAT(sales[[#This Row],[Shop]]," ",sales[[#This Row],[Location]])</f>
        <v xml:space="preserve">YL </v>
      </c>
    </row>
    <row r="194" spans="1:18" ht="16.5" customHeight="1">
      <c r="A194" s="7">
        <v>192</v>
      </c>
      <c r="B194" s="2" t="s">
        <v>983</v>
      </c>
      <c r="C194" s="5"/>
      <c r="D194" s="2" t="e">
        <f ca="1">OFFSET(Roster!$B$7, MATCH(B194&amp;" "&amp;C194&amp;"*",Roster!$B$8:$B$20,0),DAY(sales[[#This Row],[date]]),1, 1)</f>
        <v>#N/A</v>
      </c>
      <c r="E194" s="2">
        <f>MONTH(sales[[#This Row],[date]])</f>
        <v>6</v>
      </c>
      <c r="F194" s="233">
        <v>46187</v>
      </c>
      <c r="G194" s="3" t="e">
        <f>VLOOKUP("*"&amp;sales[[#This Row],[Input]]&amp;"*",'Ref-List'!$A:$C,1,0)</f>
        <v>#N/A</v>
      </c>
      <c r="H194" s="2" t="e">
        <f>VLOOKUP("*"&amp;G194&amp;"*",'Ref-List'!$A:$C,3,0)</f>
        <v>#N/A</v>
      </c>
      <c r="I194" s="2">
        <v>9351</v>
      </c>
      <c r="J194" s="2">
        <v>1</v>
      </c>
      <c r="K194" s="2">
        <v>348</v>
      </c>
      <c r="L194" s="2">
        <f>sales[[#This Row],[quantity]]*sales[[#This Row],[price]]</f>
        <v>348</v>
      </c>
      <c r="M194" s="9">
        <f>sales[[#This Row],[Total Price]]*3%</f>
        <v>10.44</v>
      </c>
      <c r="N194" s="171">
        <f>sales[[#This Row],[Total Price]]*2.5%</f>
        <v>8.7000000000000011</v>
      </c>
      <c r="O194" s="9">
        <f>sales[[#This Row],[Total Price]]*1.5%</f>
        <v>5.22</v>
      </c>
      <c r="Q194" s="5" t="s">
        <v>990</v>
      </c>
      <c r="R194" s="5" t="str">
        <f>_xlfn.CONCAT(sales[[#This Row],[Shop]]," ",sales[[#This Row],[Location]])</f>
        <v xml:space="preserve">YL </v>
      </c>
    </row>
    <row r="195" spans="1:18" ht="16.5" customHeight="1">
      <c r="A195" s="7">
        <v>193</v>
      </c>
      <c r="B195" s="2" t="s">
        <v>983</v>
      </c>
      <c r="C195" s="5"/>
      <c r="D195" s="2" t="e">
        <f ca="1">OFFSET(Roster!$B$7, MATCH(B195&amp;" "&amp;C195&amp;"*",Roster!$B$8:$B$20,0),DAY(sales[[#This Row],[date]]),1, 1)</f>
        <v>#N/A</v>
      </c>
      <c r="E195" s="2">
        <f>MONTH(sales[[#This Row],[date]])</f>
        <v>6</v>
      </c>
      <c r="F195" s="233">
        <v>46191</v>
      </c>
      <c r="G195" s="3" t="str">
        <f>VLOOKUP("*"&amp;sales[[#This Row],[Input]]&amp;"*",'Ref-List'!$A:$C,1,0)</f>
        <v>5020/36</v>
      </c>
      <c r="H195" s="2" t="str">
        <f>VLOOKUP("*"&amp;G195&amp;"*",'Ref-List'!$A:$C,3,0)</f>
        <v>燙斗</v>
      </c>
      <c r="I195" s="2">
        <v>5020</v>
      </c>
      <c r="J195" s="2">
        <v>1</v>
      </c>
      <c r="K195" s="2">
        <v>358</v>
      </c>
      <c r="L195" s="2">
        <f>sales[[#This Row],[quantity]]*sales[[#This Row],[price]]</f>
        <v>358</v>
      </c>
      <c r="M195" s="9">
        <f>sales[[#This Row],[Total Price]]*3%</f>
        <v>10.74</v>
      </c>
      <c r="N195" s="171">
        <f>sales[[#This Row],[Total Price]]*2.5%</f>
        <v>8.9500000000000011</v>
      </c>
      <c r="O195" s="9">
        <f>sales[[#This Row],[Total Price]]*1.5%</f>
        <v>5.37</v>
      </c>
      <c r="Q195" s="5" t="s">
        <v>990</v>
      </c>
      <c r="R195" s="5" t="str">
        <f>_xlfn.CONCAT(sales[[#This Row],[Shop]]," ",sales[[#This Row],[Location]])</f>
        <v xml:space="preserve">YL </v>
      </c>
    </row>
    <row r="196" spans="1:18" ht="16.5" customHeight="1">
      <c r="A196" s="7">
        <v>194</v>
      </c>
      <c r="B196" s="2" t="s">
        <v>983</v>
      </c>
      <c r="C196" s="5"/>
      <c r="D196" s="2" t="e">
        <f ca="1">OFFSET(Roster!$B$7, MATCH(B196&amp;" "&amp;C196&amp;"*",Roster!$B$8:$B$20,0),DAY(sales[[#This Row],[date]]),1, 1)</f>
        <v>#N/A</v>
      </c>
      <c r="E196" s="2">
        <f>MONTH(sales[[#This Row],[date]])</f>
        <v>6</v>
      </c>
      <c r="F196" s="233">
        <v>46191</v>
      </c>
      <c r="G196" s="3" t="e">
        <f>VLOOKUP("*"&amp;sales[[#This Row],[Input]]&amp;"*",'Ref-List'!$A:$C,1,0)</f>
        <v>#N/A</v>
      </c>
      <c r="H196" s="2" t="e">
        <f>VLOOKUP("*"&amp;G196&amp;"*",'Ref-List'!$A:$C,3,0)</f>
        <v>#N/A</v>
      </c>
      <c r="I196" s="2">
        <v>9372</v>
      </c>
      <c r="J196" s="2">
        <v>1</v>
      </c>
      <c r="K196" s="2">
        <v>298</v>
      </c>
      <c r="L196" s="2">
        <f>sales[[#This Row],[quantity]]*sales[[#This Row],[price]]</f>
        <v>298</v>
      </c>
      <c r="M196" s="9">
        <f>sales[[#This Row],[Total Price]]*3%</f>
        <v>8.94</v>
      </c>
      <c r="N196" s="171">
        <f>sales[[#This Row],[Total Price]]*2.5%</f>
        <v>7.45</v>
      </c>
      <c r="O196" s="9">
        <f>sales[[#This Row],[Total Price]]*1.5%</f>
        <v>4.47</v>
      </c>
      <c r="Q196" s="5" t="s">
        <v>990</v>
      </c>
      <c r="R196" s="5" t="str">
        <f>_xlfn.CONCAT(sales[[#This Row],[Shop]]," ",sales[[#This Row],[Location]])</f>
        <v xml:space="preserve">YL </v>
      </c>
    </row>
    <row r="197" spans="1:18" ht="16.5" customHeight="1">
      <c r="A197" s="7">
        <v>195</v>
      </c>
      <c r="B197" s="2" t="s">
        <v>983</v>
      </c>
      <c r="C197" s="5"/>
      <c r="D197" s="2" t="e">
        <f ca="1">OFFSET(Roster!$B$7, MATCH(B197&amp;" "&amp;C197&amp;"*",Roster!$B$8:$B$20,0),DAY(sales[[#This Row],[date]]),1, 1)</f>
        <v>#N/A</v>
      </c>
      <c r="E197" s="2">
        <f>MONTH(sales[[#This Row],[date]])</f>
        <v>6</v>
      </c>
      <c r="F197" s="233">
        <v>46192</v>
      </c>
      <c r="G197" s="3" t="e">
        <f>VLOOKUP("*"&amp;sales[[#This Row],[Input]]&amp;"*",'Ref-List'!$A:$C,1,0)</f>
        <v>#N/A</v>
      </c>
      <c r="H197" s="2" t="e">
        <f>VLOOKUP("*"&amp;G197&amp;"*",'Ref-List'!$A:$C,3,0)</f>
        <v>#N/A</v>
      </c>
      <c r="I197" s="2">
        <v>9372</v>
      </c>
      <c r="J197" s="2">
        <v>1</v>
      </c>
      <c r="K197" s="2">
        <v>298</v>
      </c>
      <c r="L197" s="2">
        <f>sales[[#This Row],[quantity]]*sales[[#This Row],[price]]</f>
        <v>298</v>
      </c>
      <c r="M197" s="9">
        <f>sales[[#This Row],[Total Price]]*3%</f>
        <v>8.94</v>
      </c>
      <c r="N197" s="171">
        <f>sales[[#This Row],[Total Price]]*2.5%</f>
        <v>7.45</v>
      </c>
      <c r="O197" s="9">
        <f>sales[[#This Row],[Total Price]]*1.5%</f>
        <v>4.47</v>
      </c>
      <c r="Q197" s="5" t="s">
        <v>990</v>
      </c>
      <c r="R197" s="5" t="str">
        <f>_xlfn.CONCAT(sales[[#This Row],[Shop]]," ",sales[[#This Row],[Location]])</f>
        <v xml:space="preserve">YL </v>
      </c>
    </row>
    <row r="198" spans="1:18" ht="16.5" customHeight="1">
      <c r="A198" s="7">
        <v>196</v>
      </c>
      <c r="B198" s="2" t="s">
        <v>983</v>
      </c>
      <c r="C198" s="5"/>
      <c r="D198" s="2" t="e">
        <f ca="1">OFFSET(Roster!$B$7, MATCH(B198&amp;" "&amp;C198&amp;"*",Roster!$B$8:$B$20,0),DAY(sales[[#This Row],[date]]),1, 1)</f>
        <v>#N/A</v>
      </c>
      <c r="E198" s="2">
        <f>MONTH(sales[[#This Row],[date]])</f>
        <v>6</v>
      </c>
      <c r="F198" s="233">
        <v>46192</v>
      </c>
      <c r="G198" s="3" t="str">
        <f>VLOOKUP("*"&amp;sales[[#This Row],[Input]]&amp;"*",'Ref-List'!$A:$C,1,0)</f>
        <v>4911/80</v>
      </c>
      <c r="H198" s="2" t="str">
        <f>VLOOKUP("*"&amp;G198&amp;"*",'Ref-List'!$A:$C,3,0)</f>
        <v>電磁爐</v>
      </c>
      <c r="I198" s="2">
        <v>4911</v>
      </c>
      <c r="J198" s="2">
        <v>1</v>
      </c>
      <c r="K198" s="2">
        <v>598</v>
      </c>
      <c r="L198" s="2">
        <f>sales[[#This Row],[quantity]]*sales[[#This Row],[price]]</f>
        <v>598</v>
      </c>
      <c r="M198" s="9">
        <f>sales[[#This Row],[Total Price]]*3%</f>
        <v>17.939999999999998</v>
      </c>
      <c r="N198" s="171">
        <f>sales[[#This Row],[Total Price]]*2.5%</f>
        <v>14.950000000000001</v>
      </c>
      <c r="O198" s="9">
        <f>sales[[#This Row],[Total Price]]*1.5%</f>
        <v>8.9699999999999989</v>
      </c>
      <c r="Q198" s="5" t="s">
        <v>990</v>
      </c>
      <c r="R198" s="5" t="str">
        <f>_xlfn.CONCAT(sales[[#This Row],[Shop]]," ",sales[[#This Row],[Location]])</f>
        <v xml:space="preserve">YL </v>
      </c>
    </row>
    <row r="199" spans="1:18" ht="16.5" customHeight="1">
      <c r="A199" s="7">
        <v>197</v>
      </c>
      <c r="B199" s="2" t="s">
        <v>983</v>
      </c>
      <c r="C199" s="5"/>
      <c r="D199" s="2" t="e">
        <f ca="1">OFFSET(Roster!$B$7, MATCH(B199&amp;" "&amp;C199&amp;"*",Roster!$B$8:$B$20,0),DAY(sales[[#This Row],[date]]),1, 1)</f>
        <v>#N/A</v>
      </c>
      <c r="E199" s="2">
        <f>MONTH(sales[[#This Row],[date]])</f>
        <v>6</v>
      </c>
      <c r="F199" s="233">
        <v>46193</v>
      </c>
      <c r="G199" s="3" t="e">
        <f>VLOOKUP("*"&amp;sales[[#This Row],[Input]]&amp;"*",'Ref-List'!$A:$C,1,0)</f>
        <v>#N/A</v>
      </c>
      <c r="H199" s="2" t="e">
        <f>VLOOKUP("*"&amp;G199&amp;"*",'Ref-List'!$A:$C,3,0)</f>
        <v>#N/A</v>
      </c>
      <c r="I199" s="2">
        <v>9355</v>
      </c>
      <c r="J199" s="2">
        <v>1</v>
      </c>
      <c r="K199" s="2">
        <v>498</v>
      </c>
      <c r="L199" s="2">
        <f>sales[[#This Row],[quantity]]*sales[[#This Row],[price]]</f>
        <v>498</v>
      </c>
      <c r="M199" s="9">
        <f>sales[[#This Row],[Total Price]]*3%</f>
        <v>14.94</v>
      </c>
      <c r="N199" s="171">
        <f>sales[[#This Row],[Total Price]]*2.5%</f>
        <v>12.450000000000001</v>
      </c>
      <c r="O199" s="9">
        <f>sales[[#This Row],[Total Price]]*1.5%</f>
        <v>7.47</v>
      </c>
      <c r="Q199" s="5" t="s">
        <v>990</v>
      </c>
      <c r="R199" s="5" t="str">
        <f>_xlfn.CONCAT(sales[[#This Row],[Shop]]," ",sales[[#This Row],[Location]])</f>
        <v xml:space="preserve">YL </v>
      </c>
    </row>
    <row r="200" spans="1:18" ht="16.5" customHeight="1">
      <c r="A200" s="7">
        <v>198</v>
      </c>
      <c r="B200" s="2" t="s">
        <v>983</v>
      </c>
      <c r="C200" s="5"/>
      <c r="D200" s="2" t="e">
        <f ca="1">OFFSET(Roster!$B$7, MATCH(B200&amp;" "&amp;C200&amp;"*",Roster!$B$8:$B$20,0),DAY(sales[[#This Row],[date]]),1, 1)</f>
        <v>#N/A</v>
      </c>
      <c r="E200" s="2">
        <f>MONTH(sales[[#This Row],[date]])</f>
        <v>6</v>
      </c>
      <c r="F200" s="233">
        <v>46193</v>
      </c>
      <c r="G200" s="3" t="e">
        <f>VLOOKUP("*"&amp;sales[[#This Row],[Input]]&amp;"*",'Ref-List'!$A:$C,1,0)</f>
        <v>#N/A</v>
      </c>
      <c r="H200" s="2" t="e">
        <f>VLOOKUP("*"&amp;G200&amp;"*",'Ref-List'!$A:$C,3,0)</f>
        <v>#N/A</v>
      </c>
      <c r="I200" s="2">
        <v>2517</v>
      </c>
      <c r="J200" s="2">
        <v>1</v>
      </c>
      <c r="K200" s="2">
        <v>208</v>
      </c>
      <c r="L200" s="2">
        <f>sales[[#This Row],[quantity]]*sales[[#This Row],[price]]</f>
        <v>208</v>
      </c>
      <c r="M200" s="9">
        <f>sales[[#This Row],[Total Price]]*3%</f>
        <v>6.24</v>
      </c>
      <c r="N200" s="171">
        <f>sales[[#This Row],[Total Price]]*2.5%</f>
        <v>5.2</v>
      </c>
      <c r="O200" s="9">
        <f>sales[[#This Row],[Total Price]]*1.5%</f>
        <v>3.12</v>
      </c>
      <c r="Q200" s="5" t="s">
        <v>990</v>
      </c>
      <c r="R200" s="5" t="str">
        <f>_xlfn.CONCAT(sales[[#This Row],[Shop]]," ",sales[[#This Row],[Location]])</f>
        <v xml:space="preserve">YL </v>
      </c>
    </row>
    <row r="201" spans="1:18" ht="16.5" customHeight="1">
      <c r="A201" s="7">
        <v>199</v>
      </c>
      <c r="B201" s="2" t="s">
        <v>983</v>
      </c>
      <c r="C201" s="5"/>
      <c r="D201" s="2" t="e">
        <f ca="1">OFFSET(Roster!$B$7, MATCH(B201&amp;" "&amp;C201&amp;"*",Roster!$B$8:$B$20,0),DAY(sales[[#This Row],[date]]),1, 1)</f>
        <v>#N/A</v>
      </c>
      <c r="E201" s="2">
        <f>MONTH(sales[[#This Row],[date]])</f>
        <v>6</v>
      </c>
      <c r="F201" s="233">
        <v>46193</v>
      </c>
      <c r="G201" s="3" t="e">
        <f>VLOOKUP("*"&amp;sales[[#This Row],[Input]]&amp;"*",'Ref-List'!$A:$C,1,0)</f>
        <v>#N/A</v>
      </c>
      <c r="H201" s="2" t="e">
        <f>VLOOKUP("*"&amp;G201&amp;"*",'Ref-List'!$A:$C,3,0)</f>
        <v>#N/A</v>
      </c>
      <c r="I201" s="2">
        <v>9351</v>
      </c>
      <c r="J201" s="2">
        <v>1</v>
      </c>
      <c r="K201" s="2">
        <v>348</v>
      </c>
      <c r="L201" s="2">
        <f>sales[[#This Row],[quantity]]*sales[[#This Row],[price]]</f>
        <v>348</v>
      </c>
      <c r="M201" s="9">
        <f>sales[[#This Row],[Total Price]]*3%</f>
        <v>10.44</v>
      </c>
      <c r="N201" s="171">
        <f>sales[[#This Row],[Total Price]]*2.5%</f>
        <v>8.7000000000000011</v>
      </c>
      <c r="O201" s="9">
        <f>sales[[#This Row],[Total Price]]*1.5%</f>
        <v>5.22</v>
      </c>
      <c r="Q201" s="5" t="s">
        <v>990</v>
      </c>
      <c r="R201" s="5" t="str">
        <f>_xlfn.CONCAT(sales[[#This Row],[Shop]]," ",sales[[#This Row],[Location]])</f>
        <v xml:space="preserve">YL </v>
      </c>
    </row>
    <row r="202" spans="1:18" ht="16.5" customHeight="1">
      <c r="A202" s="7">
        <v>200</v>
      </c>
      <c r="B202" s="2" t="s">
        <v>983</v>
      </c>
      <c r="C202" s="5"/>
      <c r="D202" s="2" t="e">
        <f ca="1">OFFSET(Roster!$B$7, MATCH(B202&amp;" "&amp;C202&amp;"*",Roster!$B$8:$B$20,0),DAY(sales[[#This Row],[date]]),1, 1)</f>
        <v>#N/A</v>
      </c>
      <c r="E202" s="2">
        <f>MONTH(sales[[#This Row],[date]])</f>
        <v>6</v>
      </c>
      <c r="F202" s="233">
        <v>46193</v>
      </c>
      <c r="G202" s="3" t="e">
        <f>VLOOKUP("*"&amp;sales[[#This Row],[Input]]&amp;"*",'Ref-List'!$A:$C,1,0)</f>
        <v>#N/A</v>
      </c>
      <c r="H202" s="2" t="e">
        <f>VLOOKUP("*"&amp;G202&amp;"*",'Ref-List'!$A:$C,3,0)</f>
        <v>#N/A</v>
      </c>
      <c r="I202" s="2">
        <v>9372</v>
      </c>
      <c r="J202" s="2">
        <v>1</v>
      </c>
      <c r="K202" s="2">
        <v>298</v>
      </c>
      <c r="L202" s="2">
        <f>sales[[#This Row],[quantity]]*sales[[#This Row],[price]]</f>
        <v>298</v>
      </c>
      <c r="M202" s="9">
        <f>sales[[#This Row],[Total Price]]*3%</f>
        <v>8.94</v>
      </c>
      <c r="N202" s="171">
        <f>sales[[#This Row],[Total Price]]*2.5%</f>
        <v>7.45</v>
      </c>
      <c r="O202" s="9">
        <f>sales[[#This Row],[Total Price]]*1.5%</f>
        <v>4.47</v>
      </c>
      <c r="Q202" s="5" t="s">
        <v>990</v>
      </c>
      <c r="R202" s="5" t="str">
        <f>_xlfn.CONCAT(sales[[#This Row],[Shop]]," ",sales[[#This Row],[Location]])</f>
        <v xml:space="preserve">YL </v>
      </c>
    </row>
    <row r="203" spans="1:18" ht="16.5" customHeight="1">
      <c r="A203" s="7">
        <v>201</v>
      </c>
      <c r="B203" s="2" t="s">
        <v>983</v>
      </c>
      <c r="C203" s="5"/>
      <c r="D203" s="2" t="e">
        <f ca="1">OFFSET(Roster!$B$7, MATCH(B203&amp;" "&amp;C203&amp;"*",Roster!$B$8:$B$20,0),DAY(sales[[#This Row],[date]]),1, 1)</f>
        <v>#N/A</v>
      </c>
      <c r="E203" s="2">
        <f>MONTH(sales[[#This Row],[date]])</f>
        <v>6</v>
      </c>
      <c r="F203" s="233">
        <v>46194</v>
      </c>
      <c r="G203" s="3" t="e">
        <f>VLOOKUP("*"&amp;sales[[#This Row],[Input]]&amp;"*",'Ref-List'!$A:$C,1,0)</f>
        <v>#N/A</v>
      </c>
      <c r="H203" s="2" t="e">
        <f>VLOOKUP("*"&amp;G203&amp;"*",'Ref-List'!$A:$C,3,0)</f>
        <v>#N/A</v>
      </c>
      <c r="I203" s="2">
        <v>9351</v>
      </c>
      <c r="J203" s="2">
        <v>1</v>
      </c>
      <c r="K203" s="2">
        <v>348</v>
      </c>
      <c r="L203" s="2">
        <f>sales[[#This Row],[quantity]]*sales[[#This Row],[price]]</f>
        <v>348</v>
      </c>
      <c r="M203" s="9">
        <f>sales[[#This Row],[Total Price]]*3%</f>
        <v>10.44</v>
      </c>
      <c r="N203" s="171">
        <f>sales[[#This Row],[Total Price]]*2.5%</f>
        <v>8.7000000000000011</v>
      </c>
      <c r="O203" s="9">
        <f>sales[[#This Row],[Total Price]]*1.5%</f>
        <v>5.22</v>
      </c>
      <c r="Q203" s="5" t="s">
        <v>991</v>
      </c>
      <c r="R203" s="5" t="str">
        <f>_xlfn.CONCAT(sales[[#This Row],[Shop]]," ",sales[[#This Row],[Location]])</f>
        <v xml:space="preserve">YL </v>
      </c>
    </row>
    <row r="204" spans="1:18" ht="16.5" customHeight="1">
      <c r="A204" s="7">
        <v>202</v>
      </c>
      <c r="B204" s="2" t="s">
        <v>983</v>
      </c>
      <c r="C204" s="5"/>
      <c r="D204" s="2" t="e">
        <f ca="1">OFFSET(Roster!$B$7, MATCH(B204&amp;" "&amp;C204&amp;"*",Roster!$B$8:$B$20,0),DAY(sales[[#This Row],[date]]),1, 1)</f>
        <v>#N/A</v>
      </c>
      <c r="E204" s="2">
        <f>MONTH(sales[[#This Row],[date]])</f>
        <v>6</v>
      </c>
      <c r="F204" s="233">
        <v>46194</v>
      </c>
      <c r="G204" s="3" t="e">
        <f>VLOOKUP("*"&amp;sales[[#This Row],[Input]]&amp;"*",'Ref-List'!$A:$C,1,0)</f>
        <v>#N/A</v>
      </c>
      <c r="H204" s="2" t="e">
        <f>VLOOKUP("*"&amp;G204&amp;"*",'Ref-List'!$A:$C,3,0)</f>
        <v>#N/A</v>
      </c>
      <c r="I204" s="2">
        <v>3705</v>
      </c>
      <c r="J204" s="2">
        <v>1</v>
      </c>
      <c r="K204" s="2">
        <v>248</v>
      </c>
      <c r="L204" s="2">
        <f>sales[[#This Row],[quantity]]*sales[[#This Row],[price]]</f>
        <v>248</v>
      </c>
      <c r="M204" s="9">
        <f>sales[[#This Row],[Total Price]]*3%</f>
        <v>7.4399999999999995</v>
      </c>
      <c r="N204" s="171">
        <f>sales[[#This Row],[Total Price]]*2.5%</f>
        <v>6.2</v>
      </c>
      <c r="O204" s="9">
        <f>sales[[#This Row],[Total Price]]*1.5%</f>
        <v>3.7199999999999998</v>
      </c>
      <c r="Q204" s="5" t="s">
        <v>991</v>
      </c>
      <c r="R204" s="5" t="str">
        <f>_xlfn.CONCAT(sales[[#This Row],[Shop]]," ",sales[[#This Row],[Location]])</f>
        <v xml:space="preserve">YL </v>
      </c>
    </row>
    <row r="205" spans="1:18" ht="16.5" customHeight="1">
      <c r="A205" s="7">
        <v>203</v>
      </c>
      <c r="B205" s="2" t="s">
        <v>983</v>
      </c>
      <c r="C205" s="5"/>
      <c r="D205" s="2" t="e">
        <f ca="1">OFFSET(Roster!$B$7, MATCH(B205&amp;" "&amp;C205&amp;"*",Roster!$B$8:$B$20,0),DAY(sales[[#This Row],[date]]),1, 1)</f>
        <v>#N/A</v>
      </c>
      <c r="E205" s="2">
        <f>MONTH(sales[[#This Row],[date]])</f>
        <v>6</v>
      </c>
      <c r="F205" s="233">
        <v>46194</v>
      </c>
      <c r="G205" s="3" t="e">
        <f>VLOOKUP("*"&amp;sales[[#This Row],[Input]]&amp;"*",'Ref-List'!$A:$C,1,0)</f>
        <v>#N/A</v>
      </c>
      <c r="H205" s="2" t="e">
        <f>VLOOKUP("*"&amp;G205&amp;"*",'Ref-List'!$A:$C,3,0)</f>
        <v>#N/A</v>
      </c>
      <c r="I205" s="2">
        <v>9350</v>
      </c>
      <c r="J205" s="2">
        <v>1</v>
      </c>
      <c r="K205" s="2">
        <v>998</v>
      </c>
      <c r="L205" s="2">
        <f>sales[[#This Row],[quantity]]*sales[[#This Row],[price]]</f>
        <v>998</v>
      </c>
      <c r="M205" s="9">
        <f>sales[[#This Row],[Total Price]]*3%</f>
        <v>29.939999999999998</v>
      </c>
      <c r="N205" s="171">
        <f>sales[[#This Row],[Total Price]]*2.5%</f>
        <v>24.950000000000003</v>
      </c>
      <c r="O205" s="9">
        <f>sales[[#This Row],[Total Price]]*1.5%</f>
        <v>14.969999999999999</v>
      </c>
      <c r="Q205" s="5" t="s">
        <v>991</v>
      </c>
      <c r="R205" s="5" t="str">
        <f>_xlfn.CONCAT(sales[[#This Row],[Shop]]," ",sales[[#This Row],[Location]])</f>
        <v xml:space="preserve">YL </v>
      </c>
    </row>
    <row r="206" spans="1:18" ht="16.5" customHeight="1">
      <c r="A206" s="7">
        <v>204</v>
      </c>
      <c r="B206" s="2" t="s">
        <v>983</v>
      </c>
      <c r="C206" s="5"/>
      <c r="D206" s="2" t="e">
        <f ca="1">OFFSET(Roster!$B$7, MATCH(B206&amp;" "&amp;C206&amp;"*",Roster!$B$8:$B$20,0),DAY(sales[[#This Row],[date]]),1, 1)</f>
        <v>#N/A</v>
      </c>
      <c r="E206" s="2">
        <f>MONTH(sales[[#This Row],[date]])</f>
        <v>6</v>
      </c>
      <c r="F206" s="233">
        <v>46200</v>
      </c>
      <c r="G206" s="3" t="e">
        <f>VLOOKUP("*"&amp;sales[[#This Row],[Input]]&amp;"*",'Ref-List'!$A:$C,1,0)</f>
        <v>#N/A</v>
      </c>
      <c r="H206" s="2" t="e">
        <f>VLOOKUP("*"&amp;G206&amp;"*",'Ref-List'!$A:$C,3,0)</f>
        <v>#N/A</v>
      </c>
      <c r="I206" s="2">
        <v>9399</v>
      </c>
      <c r="J206" s="2">
        <v>1</v>
      </c>
      <c r="K206" s="2">
        <v>398</v>
      </c>
      <c r="L206" s="2">
        <f>sales[[#This Row],[quantity]]*sales[[#This Row],[price]]</f>
        <v>398</v>
      </c>
      <c r="M206" s="9">
        <f>sales[[#This Row],[Total Price]]*3%</f>
        <v>11.94</v>
      </c>
      <c r="N206" s="171">
        <f>sales[[#This Row],[Total Price]]*2.5%</f>
        <v>9.9500000000000011</v>
      </c>
      <c r="O206" s="9">
        <f>sales[[#This Row],[Total Price]]*1.5%</f>
        <v>5.97</v>
      </c>
      <c r="Q206" s="5" t="s">
        <v>991</v>
      </c>
      <c r="R206" s="5" t="str">
        <f>_xlfn.CONCAT(sales[[#This Row],[Shop]]," ",sales[[#This Row],[Location]])</f>
        <v xml:space="preserve">YL </v>
      </c>
    </row>
    <row r="207" spans="1:18" ht="16.5" customHeight="1">
      <c r="A207" s="7">
        <v>205</v>
      </c>
      <c r="B207" s="2" t="s">
        <v>983</v>
      </c>
      <c r="C207" s="5"/>
      <c r="D207" s="2" t="e">
        <f ca="1">OFFSET(Roster!$B$7, MATCH(B207&amp;" "&amp;C207&amp;"*",Roster!$B$8:$B$20,0),DAY(sales[[#This Row],[date]]),1, 1)</f>
        <v>#N/A</v>
      </c>
      <c r="E207" s="2">
        <f>MONTH(sales[[#This Row],[date]])</f>
        <v>6</v>
      </c>
      <c r="F207" s="233">
        <v>46200</v>
      </c>
      <c r="G207" s="3" t="e">
        <f>VLOOKUP("*"&amp;sales[[#This Row],[Input]]&amp;"*",'Ref-List'!$A:$C,1,0)</f>
        <v>#N/A</v>
      </c>
      <c r="H207" s="2" t="e">
        <f>VLOOKUP("*"&amp;G207&amp;"*",'Ref-List'!$A:$C,3,0)</f>
        <v>#N/A</v>
      </c>
      <c r="I207" s="2">
        <v>9351</v>
      </c>
      <c r="J207" s="2">
        <v>1</v>
      </c>
      <c r="K207" s="2">
        <v>348</v>
      </c>
      <c r="L207" s="2">
        <f>sales[[#This Row],[quantity]]*sales[[#This Row],[price]]</f>
        <v>348</v>
      </c>
      <c r="M207" s="9">
        <f>sales[[#This Row],[Total Price]]*3%</f>
        <v>10.44</v>
      </c>
      <c r="N207" s="171">
        <f>sales[[#This Row],[Total Price]]*2.5%</f>
        <v>8.7000000000000011</v>
      </c>
      <c r="O207" s="9">
        <f>sales[[#This Row],[Total Price]]*1.5%</f>
        <v>5.22</v>
      </c>
      <c r="Q207" s="5" t="s">
        <v>991</v>
      </c>
      <c r="R207" s="5" t="str">
        <f>_xlfn.CONCAT(sales[[#This Row],[Shop]]," ",sales[[#This Row],[Location]])</f>
        <v xml:space="preserve">YL </v>
      </c>
    </row>
    <row r="208" spans="1:18" ht="16.5" customHeight="1">
      <c r="A208" s="7">
        <v>206</v>
      </c>
      <c r="B208" s="2" t="s">
        <v>983</v>
      </c>
      <c r="C208" s="5"/>
      <c r="D208" s="2" t="e">
        <f ca="1">OFFSET(Roster!$B$7, MATCH(B208&amp;" "&amp;C208&amp;"*",Roster!$B$8:$B$20,0),DAY(sales[[#This Row],[date]]),1, 1)</f>
        <v>#N/A</v>
      </c>
      <c r="E208" s="2">
        <f>MONTH(sales[[#This Row],[date]])</f>
        <v>6</v>
      </c>
      <c r="F208" s="233">
        <v>46201</v>
      </c>
      <c r="G208" s="3" t="e">
        <f>VLOOKUP("*"&amp;sales[[#This Row],[Input]]&amp;"*",'Ref-List'!$A:$C,1,0)</f>
        <v>#N/A</v>
      </c>
      <c r="H208" s="2" t="e">
        <f>VLOOKUP("*"&amp;G208&amp;"*",'Ref-List'!$A:$C,3,0)</f>
        <v>#N/A</v>
      </c>
      <c r="I208" s="2">
        <v>2020</v>
      </c>
      <c r="J208" s="2">
        <v>1</v>
      </c>
      <c r="K208" s="2">
        <v>238</v>
      </c>
      <c r="L208" s="2">
        <f>sales[[#This Row],[quantity]]*sales[[#This Row],[price]]</f>
        <v>238</v>
      </c>
      <c r="M208" s="9">
        <f>sales[[#This Row],[Total Price]]*3%</f>
        <v>7.14</v>
      </c>
      <c r="N208" s="171">
        <f>sales[[#This Row],[Total Price]]*2.5%</f>
        <v>5.95</v>
      </c>
      <c r="O208" s="9">
        <f>sales[[#This Row],[Total Price]]*1.5%</f>
        <v>3.57</v>
      </c>
      <c r="Q208" s="5" t="s">
        <v>991</v>
      </c>
      <c r="R208" s="5" t="str">
        <f>_xlfn.CONCAT(sales[[#This Row],[Shop]]," ",sales[[#This Row],[Location]])</f>
        <v xml:space="preserve">YL </v>
      </c>
    </row>
    <row r="209" spans="1:18" ht="16.5" customHeight="1">
      <c r="A209" s="7">
        <v>207</v>
      </c>
      <c r="B209" s="2" t="s">
        <v>983</v>
      </c>
      <c r="C209" s="5"/>
      <c r="D209" s="2" t="e">
        <f ca="1">OFFSET(Roster!$B$7, MATCH(B209&amp;" "&amp;C209&amp;"*",Roster!$B$8:$B$20,0),DAY(sales[[#This Row],[date]]),1, 1)</f>
        <v>#N/A</v>
      </c>
      <c r="E209" s="2">
        <f>MONTH(sales[[#This Row],[date]])</f>
        <v>6</v>
      </c>
      <c r="F209" s="233">
        <v>46201</v>
      </c>
      <c r="G209" s="3" t="str">
        <f>VLOOKUP("*"&amp;sales[[#This Row],[Input]]&amp;"*",'Ref-List'!$A:$C,1,0)</f>
        <v>4911/80</v>
      </c>
      <c r="H209" s="2" t="str">
        <f>VLOOKUP("*"&amp;G209&amp;"*",'Ref-List'!$A:$C,3,0)</f>
        <v>電磁爐</v>
      </c>
      <c r="I209" s="2">
        <v>4911</v>
      </c>
      <c r="J209" s="2">
        <v>1</v>
      </c>
      <c r="K209" s="2">
        <v>438</v>
      </c>
      <c r="L209" s="2">
        <f>sales[[#This Row],[quantity]]*sales[[#This Row],[price]]</f>
        <v>438</v>
      </c>
      <c r="M209" s="9">
        <f>sales[[#This Row],[Total Price]]*3%</f>
        <v>13.139999999999999</v>
      </c>
      <c r="N209" s="171">
        <f>sales[[#This Row],[Total Price]]*2.5%</f>
        <v>10.950000000000001</v>
      </c>
      <c r="O209" s="9">
        <f>sales[[#This Row],[Total Price]]*1.5%</f>
        <v>6.5699999999999994</v>
      </c>
      <c r="Q209" s="5" t="s">
        <v>991</v>
      </c>
      <c r="R209" s="5" t="str">
        <f>_xlfn.CONCAT(sales[[#This Row],[Shop]]," ",sales[[#This Row],[Location]])</f>
        <v xml:space="preserve">YL </v>
      </c>
    </row>
    <row r="210" spans="1:18" ht="16.5" customHeight="1">
      <c r="A210" s="7">
        <v>208</v>
      </c>
      <c r="B210" s="2" t="s">
        <v>983</v>
      </c>
      <c r="C210" s="5"/>
      <c r="D210" s="2" t="e">
        <f ca="1">OFFSET(Roster!$B$7, MATCH(B210&amp;" "&amp;C210&amp;"*",Roster!$B$8:$B$20,0),DAY(sales[[#This Row],[date]]),1, 1)</f>
        <v>#N/A</v>
      </c>
      <c r="E210" s="2">
        <f>MONTH(sales[[#This Row],[date]])</f>
        <v>6</v>
      </c>
      <c r="F210" s="233">
        <v>46201</v>
      </c>
      <c r="G210" s="3" t="e">
        <f>VLOOKUP("*"&amp;sales[[#This Row],[Input]]&amp;"*",'Ref-List'!$A:$C,1,0)</f>
        <v>#N/A</v>
      </c>
      <c r="H210" s="2" t="e">
        <f>VLOOKUP("*"&amp;G210&amp;"*",'Ref-List'!$A:$C,3,0)</f>
        <v>#N/A</v>
      </c>
      <c r="I210" s="2">
        <v>9318</v>
      </c>
      <c r="J210" s="2">
        <v>1</v>
      </c>
      <c r="K210" s="2">
        <v>258</v>
      </c>
      <c r="L210" s="2">
        <f>sales[[#This Row],[quantity]]*sales[[#This Row],[price]]</f>
        <v>258</v>
      </c>
      <c r="M210" s="9">
        <f>sales[[#This Row],[Total Price]]*3%</f>
        <v>7.7399999999999993</v>
      </c>
      <c r="N210" s="171">
        <f>sales[[#This Row],[Total Price]]*2.5%</f>
        <v>6.45</v>
      </c>
      <c r="O210" s="9">
        <f>sales[[#This Row],[Total Price]]*1.5%</f>
        <v>3.8699999999999997</v>
      </c>
      <c r="Q210" s="5" t="s">
        <v>991</v>
      </c>
      <c r="R210" s="5" t="str">
        <f>_xlfn.CONCAT(sales[[#This Row],[Shop]]," ",sales[[#This Row],[Location]])</f>
        <v xml:space="preserve">YL </v>
      </c>
    </row>
    <row r="211" spans="1:18" ht="16.5" customHeight="1">
      <c r="A211" s="7">
        <v>209</v>
      </c>
      <c r="B211" s="2" t="s">
        <v>994</v>
      </c>
      <c r="C211" s="5" t="s">
        <v>975</v>
      </c>
      <c r="D211" s="2" t="str">
        <f ca="1">OFFSET(Roster!$B$7, MATCH(B211&amp;" "&amp;C211&amp;"*",Roster!$B$8:$B$20,0),DAY(sales[[#This Row],[date]]),1, 1)</f>
        <v>Rebacca</v>
      </c>
      <c r="E211" s="2">
        <f>MONTH(sales[[#This Row],[date]])</f>
        <v>6</v>
      </c>
      <c r="F211" s="233">
        <v>46178</v>
      </c>
      <c r="G211" s="3" t="str">
        <f>VLOOKUP("*"&amp;sales[[#This Row],[Input]]&amp;"*",'Ref-List'!$A:$C,1,0)</f>
        <v>6910+550</v>
      </c>
      <c r="H211" s="2" t="str">
        <f>VLOOKUP("*"&amp;G211&amp;"*",'Ref-List'!$A:$C,3,0)</f>
        <v>冷熱飲水機 + 濾心</v>
      </c>
      <c r="I211" s="2">
        <v>550</v>
      </c>
      <c r="J211" s="2">
        <v>1</v>
      </c>
      <c r="K211" s="2">
        <v>598</v>
      </c>
      <c r="L211" s="2">
        <f>sales[[#This Row],[quantity]]*sales[[#This Row],[price]]</f>
        <v>598</v>
      </c>
      <c r="M211" s="9">
        <f>sales[[#This Row],[Total Price]]*3%</f>
        <v>17.939999999999998</v>
      </c>
      <c r="N211" s="171">
        <f>sales[[#This Row],[Total Price]]*2.5%</f>
        <v>14.950000000000001</v>
      </c>
      <c r="O211" s="9">
        <f>sales[[#This Row],[Total Price]]*1.5%</f>
        <v>8.9699999999999989</v>
      </c>
      <c r="Q211" s="2">
        <v>1</v>
      </c>
      <c r="R211" s="5" t="str">
        <f>_xlfn.CONCAT(sales[[#This Row],[Shop]]," ",sales[[#This Row],[Location]])</f>
        <v>Tai Wan Fortress</v>
      </c>
    </row>
    <row r="212" spans="1:18" ht="16.5" customHeight="1">
      <c r="A212" s="7">
        <v>210</v>
      </c>
      <c r="B212" s="2" t="s">
        <v>994</v>
      </c>
      <c r="C212" s="5" t="s">
        <v>975</v>
      </c>
      <c r="D212" s="2" t="str">
        <f ca="1">OFFSET(Roster!$B$7, MATCH(B212&amp;" "&amp;C212&amp;"*",Roster!$B$8:$B$20,0),DAY(sales[[#This Row],[date]]),1, 1)</f>
        <v>Rebacca</v>
      </c>
      <c r="E212" s="2">
        <f>MONTH(sales[[#This Row],[date]])</f>
        <v>6</v>
      </c>
      <c r="F212" s="233">
        <v>46178</v>
      </c>
      <c r="G212" s="3" t="e">
        <f>VLOOKUP("*"&amp;sales[[#This Row],[Input]]&amp;"*",'Ref-List'!$A:$C,1,0)</f>
        <v>#N/A</v>
      </c>
      <c r="H212" s="2" t="e">
        <f>VLOOKUP("*"&amp;G212&amp;"*",'Ref-List'!$A:$C,3,0)</f>
        <v>#N/A</v>
      </c>
      <c r="I212" s="2">
        <v>1509</v>
      </c>
      <c r="J212" s="2">
        <v>1</v>
      </c>
      <c r="K212" s="2">
        <v>4380</v>
      </c>
      <c r="L212" s="2">
        <f>sales[[#This Row],[quantity]]*sales[[#This Row],[price]]</f>
        <v>4380</v>
      </c>
      <c r="M212" s="9">
        <f>sales[[#This Row],[Total Price]]*3%</f>
        <v>131.4</v>
      </c>
      <c r="N212" s="171">
        <f>sales[[#This Row],[Total Price]]*2.5%</f>
        <v>109.5</v>
      </c>
      <c r="O212" s="9">
        <f>sales[[#This Row],[Total Price]]*1.5%</f>
        <v>65.7</v>
      </c>
      <c r="Q212" s="2">
        <v>1</v>
      </c>
      <c r="R212" s="5" t="str">
        <f>_xlfn.CONCAT(sales[[#This Row],[Shop]]," ",sales[[#This Row],[Location]])</f>
        <v>Tai Wan Fortress</v>
      </c>
    </row>
    <row r="213" spans="1:18" ht="16.5" customHeight="1">
      <c r="A213" s="7">
        <v>211</v>
      </c>
      <c r="B213" s="2" t="s">
        <v>994</v>
      </c>
      <c r="C213" s="5" t="s">
        <v>975</v>
      </c>
      <c r="D213" s="2" t="str">
        <f ca="1">OFFSET(Roster!$B$7, MATCH(B213&amp;" "&amp;C213&amp;"*",Roster!$B$8:$B$20,0),DAY(sales[[#This Row],[date]]),1, 1)</f>
        <v>Rebacca</v>
      </c>
      <c r="E213" s="2">
        <f>MONTH(sales[[#This Row],[date]])</f>
        <v>6</v>
      </c>
      <c r="F213" s="233">
        <v>46178</v>
      </c>
      <c r="G213" s="3" t="e">
        <f>VLOOKUP("*"&amp;sales[[#This Row],[Input]]&amp;"*",'Ref-List'!$A:$C,1,0)</f>
        <v>#N/A</v>
      </c>
      <c r="H213" s="2" t="e">
        <f>VLOOKUP("*"&amp;G213&amp;"*",'Ref-List'!$A:$C,3,0)</f>
        <v>#N/A</v>
      </c>
      <c r="I213" s="2">
        <v>583</v>
      </c>
      <c r="J213" s="2">
        <v>1</v>
      </c>
      <c r="K213" s="2">
        <v>848</v>
      </c>
      <c r="L213" s="2">
        <f>sales[[#This Row],[quantity]]*sales[[#This Row],[price]]</f>
        <v>848</v>
      </c>
      <c r="M213" s="9">
        <f>sales[[#This Row],[Total Price]]*3%</f>
        <v>25.439999999999998</v>
      </c>
      <c r="N213" s="171">
        <f>sales[[#This Row],[Total Price]]*2.5%</f>
        <v>21.200000000000003</v>
      </c>
      <c r="O213" s="9">
        <f>sales[[#This Row],[Total Price]]*1.5%</f>
        <v>12.719999999999999</v>
      </c>
      <c r="Q213" s="2">
        <v>1</v>
      </c>
      <c r="R213" s="5" t="str">
        <f>_xlfn.CONCAT(sales[[#This Row],[Shop]]," ",sales[[#This Row],[Location]])</f>
        <v>Tai Wan Fortress</v>
      </c>
    </row>
    <row r="214" spans="1:18" ht="16.5" customHeight="1">
      <c r="A214" s="7">
        <v>212</v>
      </c>
      <c r="B214" s="2" t="s">
        <v>994</v>
      </c>
      <c r="C214" s="5" t="s">
        <v>975</v>
      </c>
      <c r="D214" s="2" t="str">
        <f ca="1">OFFSET(Roster!$B$7, MATCH(B214&amp;" "&amp;C214&amp;"*",Roster!$B$8:$B$20,0),DAY(sales[[#This Row],[date]]),1, 1)</f>
        <v>Rebacca</v>
      </c>
      <c r="E214" s="2">
        <f>MONTH(sales[[#This Row],[date]])</f>
        <v>6</v>
      </c>
      <c r="F214" s="233">
        <v>46179</v>
      </c>
      <c r="G214" s="3" t="e">
        <f>VLOOKUP("*"&amp;sales[[#This Row],[Input]]&amp;"*",'Ref-List'!$A:$C,1,0)</f>
        <v>#N/A</v>
      </c>
      <c r="H214" s="2" t="e">
        <f>VLOOKUP("*"&amp;G214&amp;"*",'Ref-List'!$A:$C,3,0)</f>
        <v>#N/A</v>
      </c>
      <c r="I214" s="2">
        <v>2719</v>
      </c>
      <c r="J214" s="2">
        <v>1</v>
      </c>
      <c r="K214" s="2">
        <v>338</v>
      </c>
      <c r="L214" s="2">
        <f>sales[[#This Row],[quantity]]*sales[[#This Row],[price]]</f>
        <v>338</v>
      </c>
      <c r="M214" s="9">
        <f>sales[[#This Row],[Total Price]]*3%</f>
        <v>10.139999999999999</v>
      </c>
      <c r="N214" s="171">
        <f>sales[[#This Row],[Total Price]]*2.5%</f>
        <v>8.4500000000000011</v>
      </c>
      <c r="O214" s="9">
        <f>sales[[#This Row],[Total Price]]*1.5%</f>
        <v>5.0699999999999994</v>
      </c>
      <c r="Q214" s="2">
        <v>1</v>
      </c>
      <c r="R214" s="5" t="str">
        <f>_xlfn.CONCAT(sales[[#This Row],[Shop]]," ",sales[[#This Row],[Location]])</f>
        <v>Tai Wan Fortress</v>
      </c>
    </row>
    <row r="215" spans="1:18" ht="16.5" customHeight="1">
      <c r="A215" s="7">
        <v>213</v>
      </c>
      <c r="B215" s="2" t="s">
        <v>994</v>
      </c>
      <c r="C215" s="5" t="s">
        <v>975</v>
      </c>
      <c r="D215" s="2" t="str">
        <f ca="1">OFFSET(Roster!$B$7, MATCH(B215&amp;" "&amp;C215&amp;"*",Roster!$B$8:$B$20,0),DAY(sales[[#This Row],[date]]),1, 1)</f>
        <v>Rebacca</v>
      </c>
      <c r="E215" s="2">
        <f>MONTH(sales[[#This Row],[date]])</f>
        <v>6</v>
      </c>
      <c r="F215" s="233">
        <v>46179</v>
      </c>
      <c r="G215" s="3" t="str">
        <f>VLOOKUP("*"&amp;sales[[#This Row],[Input]]&amp;"*",'Ref-List'!$A:$C,1,0)</f>
        <v>3733+3922</v>
      </c>
      <c r="H215" s="2" t="str">
        <f>VLOOKUP("*"&amp;G215&amp;"*",'Ref-List'!$A:$C,3,0)</f>
        <v>超濾龍頭式淨水器組合</v>
      </c>
      <c r="I215" s="2">
        <v>3922</v>
      </c>
      <c r="J215" s="2">
        <v>1</v>
      </c>
      <c r="K215" s="2">
        <v>598</v>
      </c>
      <c r="L215" s="2">
        <f>sales[[#This Row],[quantity]]*sales[[#This Row],[price]]</f>
        <v>598</v>
      </c>
      <c r="M215" s="9">
        <f>sales[[#This Row],[Total Price]]*3%</f>
        <v>17.939999999999998</v>
      </c>
      <c r="N215" s="171">
        <f>sales[[#This Row],[Total Price]]*2.5%</f>
        <v>14.950000000000001</v>
      </c>
      <c r="O215" s="9">
        <f>sales[[#This Row],[Total Price]]*1.5%</f>
        <v>8.9699999999999989</v>
      </c>
      <c r="Q215" s="2">
        <v>1</v>
      </c>
      <c r="R215" s="5" t="str">
        <f>_xlfn.CONCAT(sales[[#This Row],[Shop]]," ",sales[[#This Row],[Location]])</f>
        <v>Tai Wan Fortress</v>
      </c>
    </row>
    <row r="216" spans="1:18" ht="16.5" customHeight="1">
      <c r="A216" s="7">
        <v>214</v>
      </c>
      <c r="B216" s="2" t="s">
        <v>994</v>
      </c>
      <c r="C216" s="5" t="s">
        <v>975</v>
      </c>
      <c r="D216" s="2" t="str">
        <f ca="1">OFFSET(Roster!$B$7, MATCH(B216&amp;" "&amp;C216&amp;"*",Roster!$B$8:$B$20,0),DAY(sales[[#This Row],[date]]),1, 1)</f>
        <v>Rebacca</v>
      </c>
      <c r="E216" s="2">
        <f>MONTH(sales[[#This Row],[date]])</f>
        <v>6</v>
      </c>
      <c r="F216" s="233">
        <v>46179</v>
      </c>
      <c r="G216" s="3" t="str">
        <f>VLOOKUP("*"&amp;sales[[#This Row],[Input]]&amp;"*",'Ref-List'!$A:$C,1,0)</f>
        <v>3733+3922</v>
      </c>
      <c r="H216" s="2" t="str">
        <f>VLOOKUP("*"&amp;G216&amp;"*",'Ref-List'!$A:$C,3,0)</f>
        <v>超濾龍頭式淨水器組合</v>
      </c>
      <c r="I216" s="2">
        <v>3922</v>
      </c>
      <c r="J216" s="2">
        <v>1</v>
      </c>
      <c r="K216" s="2">
        <v>598</v>
      </c>
      <c r="L216" s="2">
        <f>sales[[#This Row],[quantity]]*sales[[#This Row],[price]]</f>
        <v>598</v>
      </c>
      <c r="M216" s="9">
        <f>sales[[#This Row],[Total Price]]*3%</f>
        <v>17.939999999999998</v>
      </c>
      <c r="N216" s="171">
        <f>sales[[#This Row],[Total Price]]*2.5%</f>
        <v>14.950000000000001</v>
      </c>
      <c r="O216" s="9">
        <f>sales[[#This Row],[Total Price]]*1.5%</f>
        <v>8.9699999999999989</v>
      </c>
      <c r="Q216" s="2">
        <v>1</v>
      </c>
      <c r="R216" s="5" t="str">
        <f>_xlfn.CONCAT(sales[[#This Row],[Shop]]," ",sales[[#This Row],[Location]])</f>
        <v>Tai Wan Fortress</v>
      </c>
    </row>
    <row r="217" spans="1:18" ht="16.5" customHeight="1">
      <c r="A217" s="7">
        <v>215</v>
      </c>
      <c r="B217" s="2" t="s">
        <v>994</v>
      </c>
      <c r="C217" s="5" t="s">
        <v>975</v>
      </c>
      <c r="D217" s="2" t="str">
        <f ca="1">OFFSET(Roster!$B$7, MATCH(B217&amp;" "&amp;C217&amp;"*",Roster!$B$8:$B$20,0),DAY(sales[[#This Row],[date]]),1, 1)</f>
        <v>Rebacca</v>
      </c>
      <c r="E217" s="2">
        <f>MONTH(sales[[#This Row],[date]])</f>
        <v>6</v>
      </c>
      <c r="F217" s="233">
        <v>46179</v>
      </c>
      <c r="G217" s="3" t="str">
        <f>VLOOKUP("*"&amp;sales[[#This Row],[Input]]&amp;"*",'Ref-List'!$A:$C,1,0)</f>
        <v>3733+3922</v>
      </c>
      <c r="H217" s="2" t="str">
        <f>VLOOKUP("*"&amp;G217&amp;"*",'Ref-List'!$A:$C,3,0)</f>
        <v>超濾龍頭式淨水器組合</v>
      </c>
      <c r="I217" s="2">
        <v>3922</v>
      </c>
      <c r="J217" s="2">
        <v>1</v>
      </c>
      <c r="K217" s="2">
        <v>598</v>
      </c>
      <c r="L217" s="2">
        <f>sales[[#This Row],[quantity]]*sales[[#This Row],[price]]</f>
        <v>598</v>
      </c>
      <c r="M217" s="9">
        <f>sales[[#This Row],[Total Price]]*3%</f>
        <v>17.939999999999998</v>
      </c>
      <c r="N217" s="171">
        <f>sales[[#This Row],[Total Price]]*2.5%</f>
        <v>14.950000000000001</v>
      </c>
      <c r="O217" s="9">
        <f>sales[[#This Row],[Total Price]]*1.5%</f>
        <v>8.9699999999999989</v>
      </c>
      <c r="Q217" s="2">
        <v>1</v>
      </c>
      <c r="R217" s="5" t="str">
        <f>_xlfn.CONCAT(sales[[#This Row],[Shop]]," ",sales[[#This Row],[Location]])</f>
        <v>Tai Wan Fortress</v>
      </c>
    </row>
    <row r="218" spans="1:18" ht="16.5" customHeight="1">
      <c r="A218" s="7">
        <v>216</v>
      </c>
      <c r="B218" s="2" t="s">
        <v>994</v>
      </c>
      <c r="C218" s="5" t="s">
        <v>975</v>
      </c>
      <c r="D218" s="2" t="str">
        <f ca="1">OFFSET(Roster!$B$7, MATCH(B218&amp;" "&amp;C218&amp;"*",Roster!$B$8:$B$20,0),DAY(sales[[#This Row],[date]]),1, 1)</f>
        <v>Rebacca</v>
      </c>
      <c r="E218" s="2">
        <f>MONTH(sales[[#This Row],[date]])</f>
        <v>6</v>
      </c>
      <c r="F218" s="233">
        <v>46180</v>
      </c>
      <c r="G218" s="3" t="e">
        <f>VLOOKUP("*"&amp;sales[[#This Row],[Input]]&amp;"*",'Ref-List'!$A:$C,1,0)</f>
        <v>#N/A</v>
      </c>
      <c r="H218" s="2" t="e">
        <f>VLOOKUP("*"&amp;G218&amp;"*",'Ref-List'!$A:$C,3,0)</f>
        <v>#N/A</v>
      </c>
      <c r="I218" s="2">
        <v>583</v>
      </c>
      <c r="J218" s="2">
        <v>1</v>
      </c>
      <c r="K218" s="2">
        <v>848</v>
      </c>
      <c r="L218" s="2">
        <f>sales[[#This Row],[quantity]]*sales[[#This Row],[price]]</f>
        <v>848</v>
      </c>
      <c r="M218" s="9">
        <f>sales[[#This Row],[Total Price]]*3%</f>
        <v>25.439999999999998</v>
      </c>
      <c r="N218" s="171">
        <f>sales[[#This Row],[Total Price]]*2.5%</f>
        <v>21.200000000000003</v>
      </c>
      <c r="O218" s="9">
        <f>sales[[#This Row],[Total Price]]*1.5%</f>
        <v>12.719999999999999</v>
      </c>
      <c r="Q218" s="2">
        <v>1</v>
      </c>
      <c r="R218" s="5" t="str">
        <f>_xlfn.CONCAT(sales[[#This Row],[Shop]]," ",sales[[#This Row],[Location]])</f>
        <v>Tai Wan Fortress</v>
      </c>
    </row>
    <row r="219" spans="1:18" ht="16.5" customHeight="1">
      <c r="A219" s="7">
        <v>217</v>
      </c>
      <c r="B219" s="2" t="s">
        <v>994</v>
      </c>
      <c r="C219" s="5" t="s">
        <v>975</v>
      </c>
      <c r="D219" s="2" t="str">
        <f ca="1">OFFSET(Roster!$B$7, MATCH(B219&amp;" "&amp;C219&amp;"*",Roster!$B$8:$B$20,0),DAY(sales[[#This Row],[date]]),1, 1)</f>
        <v>Rebacca</v>
      </c>
      <c r="E219" s="2">
        <f>MONTH(sales[[#This Row],[date]])</f>
        <v>6</v>
      </c>
      <c r="F219" s="233">
        <v>46180</v>
      </c>
      <c r="G219" s="3" t="str">
        <f>VLOOKUP("*"&amp;sales[[#This Row],[Input]]&amp;"*",'Ref-List'!$A:$C,1,0)</f>
        <v>3812/00</v>
      </c>
      <c r="H219" s="2" t="str">
        <f>VLOOKUP("*"&amp;G219&amp;"*",'Ref-List'!$A:$C,3,0)</f>
        <v>水龍頭濾水器</v>
      </c>
      <c r="I219" s="2">
        <v>3812</v>
      </c>
      <c r="J219" s="2">
        <v>1</v>
      </c>
      <c r="K219" s="2">
        <v>798</v>
      </c>
      <c r="L219" s="2">
        <f>sales[[#This Row],[quantity]]*sales[[#This Row],[price]]</f>
        <v>798</v>
      </c>
      <c r="M219" s="9">
        <f>sales[[#This Row],[Total Price]]*3%</f>
        <v>23.939999999999998</v>
      </c>
      <c r="N219" s="171">
        <f>sales[[#This Row],[Total Price]]*2.5%</f>
        <v>19.950000000000003</v>
      </c>
      <c r="O219" s="9">
        <f>sales[[#This Row],[Total Price]]*1.5%</f>
        <v>11.969999999999999</v>
      </c>
      <c r="Q219" s="2">
        <v>1</v>
      </c>
      <c r="R219" s="5" t="str">
        <f>_xlfn.CONCAT(sales[[#This Row],[Shop]]," ",sales[[#This Row],[Location]])</f>
        <v>Tai Wan Fortress</v>
      </c>
    </row>
    <row r="220" spans="1:18" ht="16.5" customHeight="1">
      <c r="A220" s="7">
        <v>218</v>
      </c>
      <c r="B220" s="2" t="s">
        <v>994</v>
      </c>
      <c r="C220" s="5" t="s">
        <v>975</v>
      </c>
      <c r="D220" s="2" t="str">
        <f ca="1">OFFSET(Roster!$B$7, MATCH(B220&amp;" "&amp;C220&amp;"*",Roster!$B$8:$B$20,0),DAY(sales[[#This Row],[date]]),1, 1)</f>
        <v>Rebacca</v>
      </c>
      <c r="E220" s="2">
        <f>MONTH(sales[[#This Row],[date]])</f>
        <v>6</v>
      </c>
      <c r="F220" s="233">
        <v>46180</v>
      </c>
      <c r="G220" s="3" t="str">
        <f>VLOOKUP("*"&amp;sales[[#This Row],[Input]]&amp;"*",'Ref-List'!$A:$C,1,0)</f>
        <v>3733+3922</v>
      </c>
      <c r="H220" s="2" t="str">
        <f>VLOOKUP("*"&amp;G220&amp;"*",'Ref-List'!$A:$C,3,0)</f>
        <v>超濾龍頭式淨水器組合</v>
      </c>
      <c r="I220" s="2">
        <v>3922</v>
      </c>
      <c r="J220" s="2">
        <v>1</v>
      </c>
      <c r="K220" s="2">
        <v>598</v>
      </c>
      <c r="L220" s="2">
        <f>sales[[#This Row],[quantity]]*sales[[#This Row],[price]]</f>
        <v>598</v>
      </c>
      <c r="M220" s="9">
        <f>sales[[#This Row],[Total Price]]*3%</f>
        <v>17.939999999999998</v>
      </c>
      <c r="N220" s="171">
        <f>sales[[#This Row],[Total Price]]*2.5%</f>
        <v>14.950000000000001</v>
      </c>
      <c r="O220" s="9">
        <f>sales[[#This Row],[Total Price]]*1.5%</f>
        <v>8.9699999999999989</v>
      </c>
      <c r="Q220" s="2">
        <v>1</v>
      </c>
      <c r="R220" s="5" t="str">
        <f>_xlfn.CONCAT(sales[[#This Row],[Shop]]," ",sales[[#This Row],[Location]])</f>
        <v>Tai Wan Fortress</v>
      </c>
    </row>
    <row r="221" spans="1:18" ht="16.5" customHeight="1">
      <c r="A221" s="7">
        <v>219</v>
      </c>
      <c r="B221" s="2" t="s">
        <v>994</v>
      </c>
      <c r="C221" s="5" t="s">
        <v>975</v>
      </c>
      <c r="D221" s="2" t="str">
        <f ca="1">OFFSET(Roster!$B$7, MATCH(B221&amp;" "&amp;C221&amp;"*",Roster!$B$8:$B$20,0),DAY(sales[[#This Row],[date]]),1, 1)</f>
        <v>Rebacca</v>
      </c>
      <c r="E221" s="2">
        <f>MONTH(sales[[#This Row],[date]])</f>
        <v>6</v>
      </c>
      <c r="F221" s="233">
        <v>46180</v>
      </c>
      <c r="G221" s="3" t="str">
        <f>VLOOKUP("*"&amp;sales[[#This Row],[Input]]&amp;"*",'Ref-List'!$A:$C,1,0)</f>
        <v>3812/00</v>
      </c>
      <c r="H221" s="2" t="str">
        <f>VLOOKUP("*"&amp;G221&amp;"*",'Ref-List'!$A:$C,3,0)</f>
        <v>水龍頭濾水器</v>
      </c>
      <c r="I221" s="2">
        <v>3812</v>
      </c>
      <c r="J221" s="2">
        <v>1</v>
      </c>
      <c r="K221" s="2">
        <v>798</v>
      </c>
      <c r="L221" s="2">
        <f>sales[[#This Row],[quantity]]*sales[[#This Row],[price]]</f>
        <v>798</v>
      </c>
      <c r="M221" s="9">
        <f>sales[[#This Row],[Total Price]]*3%</f>
        <v>23.939999999999998</v>
      </c>
      <c r="N221" s="171">
        <f>sales[[#This Row],[Total Price]]*2.5%</f>
        <v>19.950000000000003</v>
      </c>
      <c r="O221" s="9">
        <f>sales[[#This Row],[Total Price]]*1.5%</f>
        <v>11.969999999999999</v>
      </c>
      <c r="Q221" s="2">
        <v>1</v>
      </c>
      <c r="R221" s="5" t="str">
        <f>_xlfn.CONCAT(sales[[#This Row],[Shop]]," ",sales[[#This Row],[Location]])</f>
        <v>Tai Wan Fortress</v>
      </c>
    </row>
    <row r="222" spans="1:18" ht="16.5" customHeight="1">
      <c r="A222" s="7">
        <v>220</v>
      </c>
      <c r="B222" s="2" t="s">
        <v>994</v>
      </c>
      <c r="C222" s="5" t="s">
        <v>975</v>
      </c>
      <c r="D222" s="2" t="str">
        <f ca="1">OFFSET(Roster!$B$7, MATCH(B222&amp;" "&amp;C222&amp;"*",Roster!$B$8:$B$20,0),DAY(sales[[#This Row],[date]]),1, 1)</f>
        <v>Rebacca</v>
      </c>
      <c r="E222" s="2">
        <f>MONTH(sales[[#This Row],[date]])</f>
        <v>6</v>
      </c>
      <c r="F222" s="233">
        <v>46180</v>
      </c>
      <c r="G222" s="3" t="str">
        <f>VLOOKUP("*"&amp;sales[[#This Row],[Input]]&amp;"*",'Ref-List'!$A:$C,1,0)</f>
        <v>3733+3922</v>
      </c>
      <c r="H222" s="2" t="str">
        <f>VLOOKUP("*"&amp;G222&amp;"*",'Ref-List'!$A:$C,3,0)</f>
        <v>超濾龍頭式淨水器組合</v>
      </c>
      <c r="I222" s="2">
        <v>3922</v>
      </c>
      <c r="J222" s="2">
        <v>1</v>
      </c>
      <c r="K222" s="2">
        <v>598</v>
      </c>
      <c r="L222" s="2">
        <f>sales[[#This Row],[quantity]]*sales[[#This Row],[price]]</f>
        <v>598</v>
      </c>
      <c r="M222" s="9">
        <f>sales[[#This Row],[Total Price]]*3%</f>
        <v>17.939999999999998</v>
      </c>
      <c r="N222" s="171">
        <f>sales[[#This Row],[Total Price]]*2.5%</f>
        <v>14.950000000000001</v>
      </c>
      <c r="O222" s="9">
        <f>sales[[#This Row],[Total Price]]*1.5%</f>
        <v>8.9699999999999989</v>
      </c>
      <c r="Q222" s="2">
        <v>1</v>
      </c>
      <c r="R222" s="5" t="str">
        <f>_xlfn.CONCAT(sales[[#This Row],[Shop]]," ",sales[[#This Row],[Location]])</f>
        <v>Tai Wan Fortress</v>
      </c>
    </row>
    <row r="223" spans="1:18" ht="15.75" customHeight="1">
      <c r="A223" s="7">
        <v>221</v>
      </c>
      <c r="B223" s="2" t="s">
        <v>994</v>
      </c>
      <c r="C223" s="5" t="s">
        <v>975</v>
      </c>
      <c r="D223" s="2" t="str">
        <f ca="1">OFFSET(Roster!$B$7, MATCH(B223&amp;" "&amp;C223&amp;"*",Roster!$B$8:$B$20,0),DAY(sales[[#This Row],[date]]),1, 1)</f>
        <v>Rebacca</v>
      </c>
      <c r="E223" s="2">
        <f>MONTH(sales[[#This Row],[date]])</f>
        <v>6</v>
      </c>
      <c r="F223" s="233">
        <v>46180</v>
      </c>
      <c r="G223" s="3" t="str">
        <f>VLOOKUP("*"&amp;sales[[#This Row],[Input]]&amp;"*",'Ref-List'!$A:$C,1,0)</f>
        <v>6901+541</v>
      </c>
      <c r="H223" s="2" t="str">
        <f>VLOOKUP("*"&amp;G223&amp;"*",'Ref-List'!$A:$C,3,0)</f>
        <v>RO純淨飲水機 + 濾芯</v>
      </c>
      <c r="I223" s="2">
        <v>541</v>
      </c>
      <c r="J223" s="2">
        <v>1</v>
      </c>
      <c r="K223" s="2">
        <v>628</v>
      </c>
      <c r="L223" s="2">
        <f>sales[[#This Row],[quantity]]*sales[[#This Row],[price]]</f>
        <v>628</v>
      </c>
      <c r="M223" s="9">
        <f>sales[[#This Row],[Total Price]]*3%</f>
        <v>18.84</v>
      </c>
      <c r="N223" s="171">
        <f>sales[[#This Row],[Total Price]]*2.5%</f>
        <v>15.700000000000001</v>
      </c>
      <c r="O223" s="9">
        <f>sales[[#This Row],[Total Price]]*1.5%</f>
        <v>9.42</v>
      </c>
      <c r="Q223" s="2">
        <v>1</v>
      </c>
      <c r="R223" s="5" t="str">
        <f>_xlfn.CONCAT(sales[[#This Row],[Shop]]," ",sales[[#This Row],[Location]])</f>
        <v>Tai Wan Fortress</v>
      </c>
    </row>
    <row r="224" spans="1:18" ht="17.25" customHeight="1">
      <c r="A224" s="7">
        <v>222</v>
      </c>
      <c r="B224" s="2" t="s">
        <v>994</v>
      </c>
      <c r="C224" s="5" t="s">
        <v>975</v>
      </c>
      <c r="D224" s="2" t="str">
        <f ca="1">OFFSET(Roster!$B$7, MATCH(B224&amp;" "&amp;C224&amp;"*",Roster!$B$8:$B$20,0),DAY(sales[[#This Row],[date]]),1, 1)</f>
        <v>Rebacca</v>
      </c>
      <c r="E224" s="2">
        <f>MONTH(sales[[#This Row],[date]])</f>
        <v>6</v>
      </c>
      <c r="F224" s="233">
        <v>46180</v>
      </c>
      <c r="G224" s="3" t="e">
        <f>VLOOKUP("*"&amp;sales[[#This Row],[Input]]&amp;"*",'Ref-List'!$A:$C,1,0)</f>
        <v>#N/A</v>
      </c>
      <c r="H224" s="2" t="e">
        <f>VLOOKUP("*"&amp;G224&amp;"*",'Ref-List'!$A:$C,3,0)</f>
        <v>#N/A</v>
      </c>
      <c r="I224" s="2">
        <v>1921</v>
      </c>
      <c r="J224" s="2">
        <v>1</v>
      </c>
      <c r="K224" s="2">
        <v>3988</v>
      </c>
      <c r="L224" s="2">
        <f>sales[[#This Row],[quantity]]*sales[[#This Row],[price]]</f>
        <v>3988</v>
      </c>
      <c r="M224" s="9">
        <f>sales[[#This Row],[Total Price]]*3%</f>
        <v>119.64</v>
      </c>
      <c r="N224" s="171">
        <f>sales[[#This Row],[Total Price]]*2.5%</f>
        <v>99.7</v>
      </c>
      <c r="O224" s="9">
        <f>sales[[#This Row],[Total Price]]*1.5%</f>
        <v>59.82</v>
      </c>
      <c r="Q224" s="2">
        <v>1</v>
      </c>
      <c r="R224" s="5" t="str">
        <f>_xlfn.CONCAT(sales[[#This Row],[Shop]]," ",sales[[#This Row],[Location]])</f>
        <v>Tai Wan Fortress</v>
      </c>
    </row>
    <row r="225" spans="1:18" ht="16.5" customHeight="1">
      <c r="A225" s="7">
        <v>223</v>
      </c>
      <c r="B225" s="2" t="s">
        <v>994</v>
      </c>
      <c r="C225" s="5" t="s">
        <v>975</v>
      </c>
      <c r="D225" s="2" t="str">
        <f ca="1">OFFSET(Roster!$B$7, MATCH(B225&amp;" "&amp;C225&amp;"*",Roster!$B$8:$B$20,0),DAY(sales[[#This Row],[date]]),1, 1)</f>
        <v>Rebacca</v>
      </c>
      <c r="E225" s="2">
        <f>MONTH(sales[[#This Row],[date]])</f>
        <v>6</v>
      </c>
      <c r="F225" s="233">
        <v>46180</v>
      </c>
      <c r="G225" s="3" t="e">
        <f>VLOOKUP("*"&amp;sales[[#This Row],[Input]]&amp;"*",'Ref-List'!$A:$C,1,0)</f>
        <v>#N/A</v>
      </c>
      <c r="H225" s="2" t="e">
        <f>VLOOKUP("*"&amp;G225&amp;"*",'Ref-List'!$A:$C,3,0)</f>
        <v>#N/A</v>
      </c>
      <c r="I225" s="2">
        <v>583</v>
      </c>
      <c r="J225" s="2">
        <v>1</v>
      </c>
      <c r="K225" s="2">
        <v>848</v>
      </c>
      <c r="L225" s="2">
        <f>sales[[#This Row],[quantity]]*sales[[#This Row],[price]]</f>
        <v>848</v>
      </c>
      <c r="M225" s="9">
        <f>sales[[#This Row],[Total Price]]*3%</f>
        <v>25.439999999999998</v>
      </c>
      <c r="N225" s="171">
        <f>sales[[#This Row],[Total Price]]*2.5%</f>
        <v>21.200000000000003</v>
      </c>
      <c r="O225" s="9">
        <f>sales[[#This Row],[Total Price]]*1.5%</f>
        <v>12.719999999999999</v>
      </c>
      <c r="Q225" s="2">
        <v>1</v>
      </c>
      <c r="R225" s="5" t="str">
        <f>_xlfn.CONCAT(sales[[#This Row],[Shop]]," ",sales[[#This Row],[Location]])</f>
        <v>Tai Wan Fortress</v>
      </c>
    </row>
    <row r="226" spans="1:18" ht="16.5" customHeight="1">
      <c r="A226" s="7">
        <v>224</v>
      </c>
      <c r="B226" s="2" t="s">
        <v>994</v>
      </c>
      <c r="C226" s="5" t="s">
        <v>975</v>
      </c>
      <c r="D226" s="2" t="str">
        <f ca="1">OFFSET(Roster!$B$7, MATCH(B226&amp;" "&amp;C226&amp;"*",Roster!$B$8:$B$20,0),DAY(sales[[#This Row],[date]]),1, 1)</f>
        <v>Rebacca</v>
      </c>
      <c r="E226" s="2">
        <f>MONTH(sales[[#This Row],[date]])</f>
        <v>6</v>
      </c>
      <c r="F226" s="233">
        <v>46185</v>
      </c>
      <c r="G226" s="3" t="str">
        <f>VLOOKUP("*"&amp;sales[[#This Row],[Input]]&amp;"*",'Ref-List'!$A:$C,1,0)</f>
        <v>6910+550</v>
      </c>
      <c r="H226" s="2" t="str">
        <f>VLOOKUP("*"&amp;G226&amp;"*",'Ref-List'!$A:$C,3,0)</f>
        <v>冷熱飲水機 + 濾心</v>
      </c>
      <c r="I226" s="2">
        <v>550</v>
      </c>
      <c r="J226" s="2">
        <v>2</v>
      </c>
      <c r="K226" s="2">
        <f>1196/2</f>
        <v>598</v>
      </c>
      <c r="L226" s="2">
        <f>sales[[#This Row],[quantity]]*sales[[#This Row],[price]]</f>
        <v>1196</v>
      </c>
      <c r="M226" s="9">
        <f>sales[[#This Row],[Total Price]]*3%</f>
        <v>35.879999999999995</v>
      </c>
      <c r="N226" s="171">
        <f>sales[[#This Row],[Total Price]]*2.5%</f>
        <v>29.900000000000002</v>
      </c>
      <c r="O226" s="9">
        <f>sales[[#This Row],[Total Price]]*1.5%</f>
        <v>17.939999999999998</v>
      </c>
      <c r="Q226" s="2">
        <v>1</v>
      </c>
      <c r="R226" s="5" t="str">
        <f>_xlfn.CONCAT(sales[[#This Row],[Shop]]," ",sales[[#This Row],[Location]])</f>
        <v>Tai Wan Fortress</v>
      </c>
    </row>
    <row r="227" spans="1:18" ht="16.5" customHeight="1">
      <c r="A227" s="7">
        <v>225</v>
      </c>
      <c r="B227" s="2" t="s">
        <v>994</v>
      </c>
      <c r="C227" s="5" t="s">
        <v>975</v>
      </c>
      <c r="D227" s="2" t="str">
        <f ca="1">OFFSET(Roster!$B$7, MATCH(B227&amp;" "&amp;C227&amp;"*",Roster!$B$8:$B$20,0),DAY(sales[[#This Row],[date]]),1, 1)</f>
        <v>Rebacca</v>
      </c>
      <c r="E227" s="2">
        <f>MONTH(sales[[#This Row],[date]])</f>
        <v>6</v>
      </c>
      <c r="F227" s="233">
        <v>46186</v>
      </c>
      <c r="G227" s="3" t="e">
        <f>VLOOKUP("*"&amp;sales[[#This Row],[Input]]&amp;"*",'Ref-List'!$A:$C,1,0)</f>
        <v>#N/A</v>
      </c>
      <c r="H227" s="2" t="e">
        <f>VLOOKUP("*"&amp;G227&amp;"*",'Ref-List'!$A:$C,3,0)</f>
        <v>#N/A</v>
      </c>
      <c r="I227" s="2">
        <v>583</v>
      </c>
      <c r="J227" s="2">
        <v>1</v>
      </c>
      <c r="K227" s="2">
        <v>848</v>
      </c>
      <c r="L227" s="2">
        <f>sales[[#This Row],[quantity]]*sales[[#This Row],[price]]</f>
        <v>848</v>
      </c>
      <c r="M227" s="9">
        <f>sales[[#This Row],[Total Price]]*3%</f>
        <v>25.439999999999998</v>
      </c>
      <c r="N227" s="171">
        <f>sales[[#This Row],[Total Price]]*2.5%</f>
        <v>21.200000000000003</v>
      </c>
      <c r="O227" s="9">
        <f>sales[[#This Row],[Total Price]]*1.5%</f>
        <v>12.719999999999999</v>
      </c>
      <c r="Q227" s="2">
        <v>1</v>
      </c>
      <c r="R227" s="5" t="str">
        <f>_xlfn.CONCAT(sales[[#This Row],[Shop]]," ",sales[[#This Row],[Location]])</f>
        <v>Tai Wan Fortress</v>
      </c>
    </row>
    <row r="228" spans="1:18" ht="16.5" customHeight="1">
      <c r="A228" s="7">
        <v>226</v>
      </c>
      <c r="B228" s="2" t="s">
        <v>994</v>
      </c>
      <c r="C228" s="5" t="s">
        <v>975</v>
      </c>
      <c r="D228" s="2" t="str">
        <f ca="1">OFFSET(Roster!$B$7, MATCH(B228&amp;" "&amp;C228&amp;"*",Roster!$B$8:$B$20,0),DAY(sales[[#This Row],[date]]),1, 1)</f>
        <v>Rebacca</v>
      </c>
      <c r="E228" s="2">
        <f>MONTH(sales[[#This Row],[date]])</f>
        <v>6</v>
      </c>
      <c r="F228" s="233">
        <v>46186</v>
      </c>
      <c r="G228" s="3" t="str">
        <f>VLOOKUP("*"&amp;sales[[#This Row],[Input]]&amp;"*",'Ref-List'!$A:$C,1,0)</f>
        <v>3733+3922</v>
      </c>
      <c r="H228" s="2" t="str">
        <f>VLOOKUP("*"&amp;G228&amp;"*",'Ref-List'!$A:$C,3,0)</f>
        <v>超濾龍頭式淨水器組合</v>
      </c>
      <c r="I228" s="2">
        <v>3922</v>
      </c>
      <c r="J228" s="2">
        <v>1</v>
      </c>
      <c r="K228" s="2">
        <v>898</v>
      </c>
      <c r="L228" s="2">
        <f>sales[[#This Row],[quantity]]*sales[[#This Row],[price]]</f>
        <v>898</v>
      </c>
      <c r="M228" s="9">
        <f>sales[[#This Row],[Total Price]]*3%</f>
        <v>26.939999999999998</v>
      </c>
      <c r="N228" s="171">
        <f>sales[[#This Row],[Total Price]]*2.5%</f>
        <v>22.450000000000003</v>
      </c>
      <c r="O228" s="9">
        <f>sales[[#This Row],[Total Price]]*1.5%</f>
        <v>13.469999999999999</v>
      </c>
      <c r="Q228" s="2">
        <v>1</v>
      </c>
      <c r="R228" s="5" t="str">
        <f>_xlfn.CONCAT(sales[[#This Row],[Shop]]," ",sales[[#This Row],[Location]])</f>
        <v>Tai Wan Fortress</v>
      </c>
    </row>
    <row r="229" spans="1:18" ht="16.5" customHeight="1">
      <c r="A229" s="7">
        <v>227</v>
      </c>
      <c r="B229" s="2" t="s">
        <v>994</v>
      </c>
      <c r="C229" s="5" t="s">
        <v>975</v>
      </c>
      <c r="D229" s="2" t="str">
        <f ca="1">OFFSET(Roster!$B$7, MATCH(B229&amp;" "&amp;C229&amp;"*",Roster!$B$8:$B$20,0),DAY(sales[[#This Row],[date]]),1, 1)</f>
        <v>Rebacca</v>
      </c>
      <c r="E229" s="2">
        <f>MONTH(sales[[#This Row],[date]])</f>
        <v>6</v>
      </c>
      <c r="F229" s="233">
        <v>46186</v>
      </c>
      <c r="G229" s="3" t="str">
        <f>VLOOKUP("*"&amp;sales[[#This Row],[Input]]&amp;"*",'Ref-List'!$A:$C,1,0)</f>
        <v>A3983</v>
      </c>
      <c r="H229" s="2" t="str">
        <f>VLOOKUP("*"&amp;G229&amp;"*",'Ref-List'!$A:$C,3,0)</f>
        <v>超濾複合濾水芯</v>
      </c>
      <c r="I229" s="2">
        <v>3983</v>
      </c>
      <c r="J229" s="2">
        <v>1</v>
      </c>
      <c r="K229" s="2">
        <v>593</v>
      </c>
      <c r="L229" s="2">
        <f>sales[[#This Row],[quantity]]*sales[[#This Row],[price]]</f>
        <v>593</v>
      </c>
      <c r="M229" s="9">
        <f>sales[[#This Row],[Total Price]]*3%</f>
        <v>17.79</v>
      </c>
      <c r="N229" s="171">
        <f>sales[[#This Row],[Total Price]]*2.5%</f>
        <v>14.825000000000001</v>
      </c>
      <c r="O229" s="9">
        <f>sales[[#This Row],[Total Price]]*1.5%</f>
        <v>8.8949999999999996</v>
      </c>
      <c r="Q229" s="2">
        <v>1</v>
      </c>
      <c r="R229" s="5" t="str">
        <f>_xlfn.CONCAT(sales[[#This Row],[Shop]]," ",sales[[#This Row],[Location]])</f>
        <v>Tai Wan Fortress</v>
      </c>
    </row>
    <row r="230" spans="1:18" ht="16.5" customHeight="1">
      <c r="A230" s="7">
        <v>228</v>
      </c>
      <c r="B230" s="2" t="s">
        <v>994</v>
      </c>
      <c r="C230" s="5" t="s">
        <v>975</v>
      </c>
      <c r="D230" s="2" t="str">
        <f ca="1">OFFSET(Roster!$B$7, MATCH(B230&amp;" "&amp;C230&amp;"*",Roster!$B$8:$B$20,0),DAY(sales[[#This Row],[date]]),1, 1)</f>
        <v>Rebacca</v>
      </c>
      <c r="E230" s="2">
        <f>MONTH(sales[[#This Row],[date]])</f>
        <v>6</v>
      </c>
      <c r="F230" s="233">
        <v>46186</v>
      </c>
      <c r="G230" s="3" t="str">
        <f>VLOOKUP("*"&amp;sales[[#This Row],[Input]]&amp;"*",'Ref-List'!$A:$C,1,0)</f>
        <v>3902/00</v>
      </c>
      <c r="H230" s="2" t="str">
        <f>VLOOKUP("*"&amp;G230&amp;"*",'Ref-List'!$A:$C,3,0)</f>
        <v>濾水器專用替換濾芯</v>
      </c>
      <c r="I230" s="2">
        <v>3902</v>
      </c>
      <c r="J230" s="2">
        <v>1</v>
      </c>
      <c r="K230" s="2">
        <v>558</v>
      </c>
      <c r="L230" s="2">
        <f>sales[[#This Row],[quantity]]*sales[[#This Row],[price]]</f>
        <v>558</v>
      </c>
      <c r="M230" s="9">
        <f>sales[[#This Row],[Total Price]]*3%</f>
        <v>16.739999999999998</v>
      </c>
      <c r="N230" s="171">
        <f>sales[[#This Row],[Total Price]]*2.5%</f>
        <v>13.950000000000001</v>
      </c>
      <c r="O230" s="9">
        <f>sales[[#This Row],[Total Price]]*1.5%</f>
        <v>8.3699999999999992</v>
      </c>
      <c r="Q230" s="2">
        <v>1</v>
      </c>
      <c r="R230" s="5" t="str">
        <f>_xlfn.CONCAT(sales[[#This Row],[Shop]]," ",sales[[#This Row],[Location]])</f>
        <v>Tai Wan Fortress</v>
      </c>
    </row>
    <row r="231" spans="1:18" ht="16.5" customHeight="1">
      <c r="A231" s="7">
        <v>229</v>
      </c>
      <c r="B231" s="2" t="s">
        <v>994</v>
      </c>
      <c r="C231" s="5" t="s">
        <v>975</v>
      </c>
      <c r="D231" s="2" t="str">
        <f ca="1">OFFSET(Roster!$B$7, MATCH(B231&amp;" "&amp;C231&amp;"*",Roster!$B$8:$B$20,0),DAY(sales[[#This Row],[date]]),1, 1)</f>
        <v>Rebacca</v>
      </c>
      <c r="E231" s="2">
        <f>MONTH(sales[[#This Row],[date]])</f>
        <v>6</v>
      </c>
      <c r="F231" s="233">
        <v>46187</v>
      </c>
      <c r="G231" s="3" t="e">
        <f>VLOOKUP("*"&amp;sales[[#This Row],[Input]]&amp;"*",'Ref-List'!$A:$C,1,0)</f>
        <v>#N/A</v>
      </c>
      <c r="H231" s="2" t="e">
        <f>VLOOKUP("*"&amp;G231&amp;"*",'Ref-List'!$A:$C,3,0)</f>
        <v>#N/A</v>
      </c>
      <c r="I231" s="2">
        <v>2784</v>
      </c>
      <c r="J231" s="2">
        <v>1</v>
      </c>
      <c r="K231" s="2">
        <v>348</v>
      </c>
      <c r="L231" s="2">
        <f>sales[[#This Row],[quantity]]*sales[[#This Row],[price]]</f>
        <v>348</v>
      </c>
      <c r="M231" s="9">
        <f>sales[[#This Row],[Total Price]]*3%</f>
        <v>10.44</v>
      </c>
      <c r="N231" s="171">
        <f>sales[[#This Row],[Total Price]]*2.5%</f>
        <v>8.7000000000000011</v>
      </c>
      <c r="O231" s="9">
        <f>sales[[#This Row],[Total Price]]*1.5%</f>
        <v>5.22</v>
      </c>
      <c r="Q231" s="2">
        <v>1</v>
      </c>
      <c r="R231" s="5" t="str">
        <f>_xlfn.CONCAT(sales[[#This Row],[Shop]]," ",sales[[#This Row],[Location]])</f>
        <v>Tai Wan Fortress</v>
      </c>
    </row>
    <row r="232" spans="1:18" ht="16.5" customHeight="1">
      <c r="A232" s="7">
        <v>230</v>
      </c>
      <c r="B232" s="2" t="s">
        <v>994</v>
      </c>
      <c r="C232" s="5" t="s">
        <v>975</v>
      </c>
      <c r="D232" s="2" t="str">
        <f ca="1">OFFSET(Roster!$B$7, MATCH(B232&amp;" "&amp;C232&amp;"*",Roster!$B$8:$B$20,0),DAY(sales[[#This Row],[date]]),1, 1)</f>
        <v>Rebacca</v>
      </c>
      <c r="E232" s="2">
        <f>MONTH(sales[[#This Row],[date]])</f>
        <v>6</v>
      </c>
      <c r="F232" s="233">
        <v>46187</v>
      </c>
      <c r="G232" s="3" t="e">
        <f>VLOOKUP("*"&amp;sales[[#This Row],[Input]]&amp;"*",'Ref-List'!$A:$C,1,0)</f>
        <v>#N/A</v>
      </c>
      <c r="H232" s="2" t="e">
        <f>VLOOKUP("*"&amp;G232&amp;"*",'Ref-List'!$A:$C,3,0)</f>
        <v>#N/A</v>
      </c>
      <c r="I232" s="2">
        <v>2784</v>
      </c>
      <c r="J232" s="2">
        <v>1</v>
      </c>
      <c r="K232" s="2">
        <v>348</v>
      </c>
      <c r="L232" s="2">
        <f>sales[[#This Row],[quantity]]*sales[[#This Row],[price]]</f>
        <v>348</v>
      </c>
      <c r="M232" s="9">
        <f>sales[[#This Row],[Total Price]]*3%</f>
        <v>10.44</v>
      </c>
      <c r="N232" s="171">
        <f>sales[[#This Row],[Total Price]]*2.5%</f>
        <v>8.7000000000000011</v>
      </c>
      <c r="O232" s="9">
        <f>sales[[#This Row],[Total Price]]*1.5%</f>
        <v>5.22</v>
      </c>
      <c r="Q232" s="2">
        <v>1</v>
      </c>
      <c r="R232" s="5" t="str">
        <f>_xlfn.CONCAT(sales[[#This Row],[Shop]]," ",sales[[#This Row],[Location]])</f>
        <v>Tai Wan Fortress</v>
      </c>
    </row>
    <row r="233" spans="1:18" ht="16.5" customHeight="1">
      <c r="A233" s="7">
        <v>231</v>
      </c>
      <c r="B233" s="2" t="s">
        <v>994</v>
      </c>
      <c r="C233" s="5" t="s">
        <v>975</v>
      </c>
      <c r="D233" s="2" t="str">
        <f ca="1">OFFSET(Roster!$B$7, MATCH(B233&amp;" "&amp;C233&amp;"*",Roster!$B$8:$B$20,0),DAY(sales[[#This Row],[date]]),1, 1)</f>
        <v>Rebacca</v>
      </c>
      <c r="E233" s="2">
        <f>MONTH(sales[[#This Row],[date]])</f>
        <v>6</v>
      </c>
      <c r="F233" s="233">
        <v>46187</v>
      </c>
      <c r="G233" s="3" t="str">
        <f>VLOOKUP("*"&amp;sales[[#This Row],[Input]]&amp;"*",'Ref-List'!$A:$C,1,0)</f>
        <v>6910+550</v>
      </c>
      <c r="H233" s="2" t="str">
        <f>VLOOKUP("*"&amp;G233&amp;"*",'Ref-List'!$A:$C,3,0)</f>
        <v>冷熱飲水機 + 濾心</v>
      </c>
      <c r="I233" s="2">
        <v>550</v>
      </c>
      <c r="J233" s="2">
        <v>1</v>
      </c>
      <c r="K233" s="2">
        <v>598</v>
      </c>
      <c r="L233" s="2">
        <f>sales[[#This Row],[quantity]]*sales[[#This Row],[price]]</f>
        <v>598</v>
      </c>
      <c r="M233" s="9">
        <f>sales[[#This Row],[Total Price]]*3%</f>
        <v>17.939999999999998</v>
      </c>
      <c r="N233" s="171">
        <f>sales[[#This Row],[Total Price]]*2.5%</f>
        <v>14.950000000000001</v>
      </c>
      <c r="O233" s="9">
        <f>sales[[#This Row],[Total Price]]*1.5%</f>
        <v>8.9699999999999989</v>
      </c>
      <c r="Q233" s="2">
        <v>1</v>
      </c>
      <c r="R233" s="5" t="str">
        <f>_xlfn.CONCAT(sales[[#This Row],[Shop]]," ",sales[[#This Row],[Location]])</f>
        <v>Tai Wan Fortress</v>
      </c>
    </row>
    <row r="234" spans="1:18" ht="16.5" customHeight="1">
      <c r="A234" s="7">
        <v>232</v>
      </c>
      <c r="B234" s="2" t="s">
        <v>994</v>
      </c>
      <c r="C234" s="5" t="s">
        <v>975</v>
      </c>
      <c r="D234" s="2" t="str">
        <f ca="1">OFFSET(Roster!$B$7, MATCH(B234&amp;" "&amp;C234&amp;"*",Roster!$B$8:$B$20,0),DAY(sales[[#This Row],[date]]),1, 1)</f>
        <v>Rebacca</v>
      </c>
      <c r="E234" s="2">
        <f>MONTH(sales[[#This Row],[date]])</f>
        <v>6</v>
      </c>
      <c r="F234" s="233">
        <v>46187</v>
      </c>
      <c r="G234" s="3" t="str">
        <f>VLOOKUP("*"&amp;sales[[#This Row],[Input]]&amp;"*",'Ref-List'!$A:$C,1,0)</f>
        <v>6910+550</v>
      </c>
      <c r="H234" s="2" t="str">
        <f>VLOOKUP("*"&amp;G234&amp;"*",'Ref-List'!$A:$C,3,0)</f>
        <v>冷熱飲水機 + 濾心</v>
      </c>
      <c r="I234" s="2">
        <v>550</v>
      </c>
      <c r="J234" s="2">
        <v>1</v>
      </c>
      <c r="K234" s="2">
        <v>598</v>
      </c>
      <c r="L234" s="2">
        <f>sales[[#This Row],[quantity]]*sales[[#This Row],[price]]</f>
        <v>598</v>
      </c>
      <c r="M234" s="9">
        <f>sales[[#This Row],[Total Price]]*3%</f>
        <v>17.939999999999998</v>
      </c>
      <c r="N234" s="171">
        <f>sales[[#This Row],[Total Price]]*2.5%</f>
        <v>14.950000000000001</v>
      </c>
      <c r="O234" s="9">
        <f>sales[[#This Row],[Total Price]]*1.5%</f>
        <v>8.9699999999999989</v>
      </c>
      <c r="Q234" s="2">
        <v>1</v>
      </c>
      <c r="R234" s="5" t="str">
        <f>_xlfn.CONCAT(sales[[#This Row],[Shop]]," ",sales[[#This Row],[Location]])</f>
        <v>Tai Wan Fortress</v>
      </c>
    </row>
    <row r="235" spans="1:18" ht="16.5" customHeight="1">
      <c r="A235" s="7">
        <v>233</v>
      </c>
      <c r="B235" s="2" t="s">
        <v>994</v>
      </c>
      <c r="C235" s="5" t="s">
        <v>975</v>
      </c>
      <c r="D235" s="2" t="str">
        <f ca="1">OFFSET(Roster!$B$7, MATCH(B235&amp;" "&amp;C235&amp;"*",Roster!$B$8:$B$20,0),DAY(sales[[#This Row],[date]]),1, 1)</f>
        <v>Rebacca</v>
      </c>
      <c r="E235" s="2">
        <f>MONTH(sales[[#This Row],[date]])</f>
        <v>6</v>
      </c>
      <c r="F235" s="233">
        <v>46187</v>
      </c>
      <c r="G235" s="3" t="str">
        <f>VLOOKUP("*"&amp;sales[[#This Row],[Input]]&amp;"*",'Ref-List'!$A:$C,1,0)</f>
        <v>6910+550</v>
      </c>
      <c r="H235" s="2" t="str">
        <f>VLOOKUP("*"&amp;G235&amp;"*",'Ref-List'!$A:$C,3,0)</f>
        <v>冷熱飲水機 + 濾心</v>
      </c>
      <c r="I235" s="2">
        <v>550</v>
      </c>
      <c r="J235" s="2">
        <v>1</v>
      </c>
      <c r="K235" s="2">
        <v>598</v>
      </c>
      <c r="L235" s="2">
        <f>sales[[#This Row],[quantity]]*sales[[#This Row],[price]]</f>
        <v>598</v>
      </c>
      <c r="M235" s="9">
        <f>sales[[#This Row],[Total Price]]*3%</f>
        <v>17.939999999999998</v>
      </c>
      <c r="N235" s="171">
        <f>sales[[#This Row],[Total Price]]*2.5%</f>
        <v>14.950000000000001</v>
      </c>
      <c r="O235" s="9">
        <f>sales[[#This Row],[Total Price]]*1.5%</f>
        <v>8.9699999999999989</v>
      </c>
      <c r="Q235" s="2">
        <v>1</v>
      </c>
      <c r="R235" s="5" t="str">
        <f>_xlfn.CONCAT(sales[[#This Row],[Shop]]," ",sales[[#This Row],[Location]])</f>
        <v>Tai Wan Fortress</v>
      </c>
    </row>
    <row r="236" spans="1:18" ht="16.5" customHeight="1">
      <c r="A236" s="7">
        <v>234</v>
      </c>
      <c r="B236" s="2" t="s">
        <v>994</v>
      </c>
      <c r="C236" s="5" t="s">
        <v>975</v>
      </c>
      <c r="D236" s="2" t="str">
        <f ca="1">OFFSET(Roster!$B$7, MATCH(B236&amp;" "&amp;C236&amp;"*",Roster!$B$8:$B$20,0),DAY(sales[[#This Row],[date]]),1, 1)</f>
        <v>Rebacca</v>
      </c>
      <c r="E236" s="2">
        <f>MONTH(sales[[#This Row],[date]])</f>
        <v>6</v>
      </c>
      <c r="F236" s="233">
        <v>46187</v>
      </c>
      <c r="G236" s="3" t="e">
        <f>VLOOKUP("*"&amp;sales[[#This Row],[Input]]&amp;"*",'Ref-List'!$A:$C,1,0)</f>
        <v>#N/A</v>
      </c>
      <c r="H236" s="2" t="e">
        <f>VLOOKUP("*"&amp;G236&amp;"*",'Ref-List'!$A:$C,3,0)</f>
        <v>#N/A</v>
      </c>
      <c r="I236" s="2">
        <v>853</v>
      </c>
      <c r="J236" s="2">
        <v>1</v>
      </c>
      <c r="K236" s="2">
        <v>824</v>
      </c>
      <c r="L236" s="2">
        <f>sales[[#This Row],[quantity]]*sales[[#This Row],[price]]</f>
        <v>824</v>
      </c>
      <c r="M236" s="9">
        <f>sales[[#This Row],[Total Price]]*3%</f>
        <v>24.72</v>
      </c>
      <c r="N236" s="171">
        <f>sales[[#This Row],[Total Price]]*2.5%</f>
        <v>20.6</v>
      </c>
      <c r="O236" s="9">
        <f>sales[[#This Row],[Total Price]]*1.5%</f>
        <v>12.36</v>
      </c>
      <c r="Q236" s="2">
        <v>1</v>
      </c>
      <c r="R236" s="5" t="str">
        <f>_xlfn.CONCAT(sales[[#This Row],[Shop]]," ",sales[[#This Row],[Location]])</f>
        <v>Tai Wan Fortress</v>
      </c>
    </row>
    <row r="237" spans="1:18" ht="16.5" customHeight="1">
      <c r="A237" s="7">
        <v>235</v>
      </c>
      <c r="B237" s="2" t="s">
        <v>994</v>
      </c>
      <c r="C237" s="5" t="s">
        <v>975</v>
      </c>
      <c r="D237" s="2" t="str">
        <f ca="1">OFFSET(Roster!$B$7, MATCH(B237&amp;" "&amp;C237&amp;"*",Roster!$B$8:$B$20,0),DAY(sales[[#This Row],[date]]),1, 1)</f>
        <v>Rebacca</v>
      </c>
      <c r="E237" s="2">
        <f>MONTH(sales[[#This Row],[date]])</f>
        <v>6</v>
      </c>
      <c r="F237" s="233">
        <v>46192</v>
      </c>
      <c r="G237" s="3" t="e">
        <f>VLOOKUP("*"&amp;sales[[#This Row],[Input]]&amp;"*",'Ref-List'!$A:$C,1,0)</f>
        <v>#N/A</v>
      </c>
      <c r="H237" s="2" t="e">
        <f>VLOOKUP("*"&amp;G237&amp;"*",'Ref-List'!$A:$C,3,0)</f>
        <v>#N/A</v>
      </c>
      <c r="I237" s="5" t="s">
        <v>995</v>
      </c>
      <c r="J237" s="2">
        <v>1</v>
      </c>
      <c r="K237" s="2">
        <v>796</v>
      </c>
      <c r="L237" s="2">
        <f>sales[[#This Row],[quantity]]*sales[[#This Row],[price]]</f>
        <v>796</v>
      </c>
      <c r="M237" s="9">
        <f>sales[[#This Row],[Total Price]]*3%</f>
        <v>23.88</v>
      </c>
      <c r="N237" s="171">
        <f>sales[[#This Row],[Total Price]]*2.5%</f>
        <v>19.900000000000002</v>
      </c>
      <c r="O237" s="9">
        <f>sales[[#This Row],[Total Price]]*1.5%</f>
        <v>11.94</v>
      </c>
      <c r="Q237" s="2">
        <v>2</v>
      </c>
      <c r="R237" s="5" t="str">
        <f>_xlfn.CONCAT(sales[[#This Row],[Shop]]," ",sales[[#This Row],[Location]])</f>
        <v>Tai Wan Fortress</v>
      </c>
    </row>
    <row r="238" spans="1:18" ht="16.5" customHeight="1">
      <c r="A238" s="7">
        <v>236</v>
      </c>
      <c r="B238" s="2" t="s">
        <v>994</v>
      </c>
      <c r="C238" s="5" t="s">
        <v>975</v>
      </c>
      <c r="D238" s="2" t="str">
        <f ca="1">OFFSET(Roster!$B$7, MATCH(B238&amp;" "&amp;C238&amp;"*",Roster!$B$8:$B$20,0),DAY(sales[[#This Row],[date]]),1, 1)</f>
        <v>Rebacca</v>
      </c>
      <c r="E238" s="2">
        <f>MONTH(sales[[#This Row],[date]])</f>
        <v>6</v>
      </c>
      <c r="F238" s="233">
        <v>46192</v>
      </c>
      <c r="G238" s="3" t="str">
        <f>VLOOKUP("*"&amp;sales[[#This Row],[Input]]&amp;"*",'Ref-List'!$A:$C,1,0)</f>
        <v>6901+541</v>
      </c>
      <c r="H238" s="2" t="str">
        <f>VLOOKUP("*"&amp;G238&amp;"*",'Ref-List'!$A:$C,3,0)</f>
        <v>RO純淨飲水機 + 濾芯</v>
      </c>
      <c r="I238" s="2">
        <v>541</v>
      </c>
      <c r="J238" s="2">
        <v>1</v>
      </c>
      <c r="K238" s="2">
        <v>628</v>
      </c>
      <c r="L238" s="2">
        <f>sales[[#This Row],[quantity]]*sales[[#This Row],[price]]</f>
        <v>628</v>
      </c>
      <c r="M238" s="9">
        <f>sales[[#This Row],[Total Price]]*3%</f>
        <v>18.84</v>
      </c>
      <c r="N238" s="171">
        <f>sales[[#This Row],[Total Price]]*2.5%</f>
        <v>15.700000000000001</v>
      </c>
      <c r="O238" s="9">
        <f>sales[[#This Row],[Total Price]]*1.5%</f>
        <v>9.42</v>
      </c>
      <c r="Q238" s="2">
        <v>2</v>
      </c>
      <c r="R238" s="5" t="str">
        <f>_xlfn.CONCAT(sales[[#This Row],[Shop]]," ",sales[[#This Row],[Location]])</f>
        <v>Tai Wan Fortress</v>
      </c>
    </row>
    <row r="239" spans="1:18" ht="16.5" customHeight="1">
      <c r="A239" s="7">
        <v>237</v>
      </c>
      <c r="B239" s="2" t="s">
        <v>994</v>
      </c>
      <c r="C239" s="5" t="s">
        <v>975</v>
      </c>
      <c r="D239" s="2" t="str">
        <f ca="1">OFFSET(Roster!$B$7, MATCH(B239&amp;" "&amp;C239&amp;"*",Roster!$B$8:$B$20,0),DAY(sales[[#This Row],[date]]),1, 1)</f>
        <v>Rebacca</v>
      </c>
      <c r="E239" s="2">
        <f>MONTH(sales[[#This Row],[date]])</f>
        <v>6</v>
      </c>
      <c r="F239" s="233">
        <v>46192</v>
      </c>
      <c r="G239" s="3" t="e">
        <f>VLOOKUP("*"&amp;sales[[#This Row],[Input]]&amp;"*",'Ref-List'!$A:$C,1,0)</f>
        <v>#N/A</v>
      </c>
      <c r="H239" s="2" t="e">
        <f>VLOOKUP("*"&amp;G239&amp;"*",'Ref-List'!$A:$C,3,0)</f>
        <v>#N/A</v>
      </c>
      <c r="I239" s="2">
        <v>6922</v>
      </c>
      <c r="J239" s="2">
        <v>1</v>
      </c>
      <c r="K239" s="2">
        <v>5888</v>
      </c>
      <c r="L239" s="2">
        <f>sales[[#This Row],[quantity]]*sales[[#This Row],[price]]</f>
        <v>5888</v>
      </c>
      <c r="M239" s="9">
        <f>sales[[#This Row],[Total Price]]*3%</f>
        <v>176.64</v>
      </c>
      <c r="N239" s="171">
        <f>sales[[#This Row],[Total Price]]*2.5%</f>
        <v>147.20000000000002</v>
      </c>
      <c r="O239" s="9">
        <f>sales[[#This Row],[Total Price]]*1.5%</f>
        <v>88.32</v>
      </c>
      <c r="Q239" s="2">
        <v>2</v>
      </c>
      <c r="R239" s="5" t="str">
        <f>_xlfn.CONCAT(sales[[#This Row],[Shop]]," ",sales[[#This Row],[Location]])</f>
        <v>Tai Wan Fortress</v>
      </c>
    </row>
    <row r="240" spans="1:18" ht="16.5" customHeight="1">
      <c r="A240" s="7">
        <v>238</v>
      </c>
      <c r="B240" s="2" t="s">
        <v>994</v>
      </c>
      <c r="C240" s="5" t="s">
        <v>975</v>
      </c>
      <c r="D240" s="2" t="str">
        <f ca="1">OFFSET(Roster!$B$7, MATCH(B240&amp;" "&amp;C240&amp;"*",Roster!$B$8:$B$20,0),DAY(sales[[#This Row],[date]]),1, 1)</f>
        <v>Rebacca</v>
      </c>
      <c r="E240" s="2">
        <f>MONTH(sales[[#This Row],[date]])</f>
        <v>6</v>
      </c>
      <c r="F240" s="233">
        <v>46192</v>
      </c>
      <c r="G240" s="3" t="str">
        <f>VLOOKUP("*"&amp;sales[[#This Row],[Input]]&amp;"*",'Ref-List'!$A:$C,1,0)</f>
        <v>3780/97</v>
      </c>
      <c r="H240" s="2" t="str">
        <f>VLOOKUP("*"&amp;G240&amp;"*",'Ref-List'!$A:$C,3,0)</f>
        <v>座檯濾水器</v>
      </c>
      <c r="I240" s="2">
        <v>3780</v>
      </c>
      <c r="J240" s="2">
        <v>1</v>
      </c>
      <c r="K240" s="2">
        <v>1188</v>
      </c>
      <c r="L240" s="2">
        <f>sales[[#This Row],[quantity]]*sales[[#This Row],[price]]</f>
        <v>1188</v>
      </c>
      <c r="M240" s="9">
        <f>sales[[#This Row],[Total Price]]*3%</f>
        <v>35.64</v>
      </c>
      <c r="N240" s="171">
        <f>sales[[#This Row],[Total Price]]*2.5%</f>
        <v>29.700000000000003</v>
      </c>
      <c r="O240" s="9">
        <f>sales[[#This Row],[Total Price]]*1.5%</f>
        <v>17.82</v>
      </c>
      <c r="Q240" s="2">
        <v>2</v>
      </c>
      <c r="R240" s="5" t="str">
        <f>_xlfn.CONCAT(sales[[#This Row],[Shop]]," ",sales[[#This Row],[Location]])</f>
        <v>Tai Wan Fortress</v>
      </c>
    </row>
    <row r="241" spans="1:18" ht="16.5" customHeight="1">
      <c r="A241" s="7">
        <v>239</v>
      </c>
      <c r="B241" s="2" t="s">
        <v>994</v>
      </c>
      <c r="C241" s="5" t="s">
        <v>975</v>
      </c>
      <c r="D241" s="2" t="str">
        <f ca="1">OFFSET(Roster!$B$7, MATCH(B241&amp;" "&amp;C241&amp;"*",Roster!$B$8:$B$20,0),DAY(sales[[#This Row],[date]]),1, 1)</f>
        <v>Rebacca</v>
      </c>
      <c r="E241" s="2">
        <f>MONTH(sales[[#This Row],[date]])</f>
        <v>6</v>
      </c>
      <c r="F241" s="233">
        <v>46192</v>
      </c>
      <c r="G241" s="3" t="str">
        <f>VLOOKUP("*"&amp;sales[[#This Row],[Input]]&amp;"*",'Ref-List'!$A:$C,1,0)</f>
        <v>2769/97</v>
      </c>
      <c r="H241" s="2" t="str">
        <f>VLOOKUP("*"&amp;G241&amp;"*",'Ref-List'!$A:$C,3,0)</f>
        <v>電熱水樽</v>
      </c>
      <c r="I241" s="2">
        <v>2769</v>
      </c>
      <c r="J241" s="2">
        <v>1</v>
      </c>
      <c r="K241" s="2">
        <v>328</v>
      </c>
      <c r="L241" s="2">
        <f>sales[[#This Row],[quantity]]*sales[[#This Row],[price]]</f>
        <v>328</v>
      </c>
      <c r="M241" s="9">
        <f>sales[[#This Row],[Total Price]]*3%</f>
        <v>9.84</v>
      </c>
      <c r="N241" s="171">
        <f>sales[[#This Row],[Total Price]]*2.5%</f>
        <v>8.2000000000000011</v>
      </c>
      <c r="O241" s="9">
        <f>sales[[#This Row],[Total Price]]*1.5%</f>
        <v>4.92</v>
      </c>
      <c r="Q241" s="2">
        <v>2</v>
      </c>
      <c r="R241" s="5" t="str">
        <f>_xlfn.CONCAT(sales[[#This Row],[Shop]]," ",sales[[#This Row],[Location]])</f>
        <v>Tai Wan Fortress</v>
      </c>
    </row>
    <row r="242" spans="1:18" ht="16.5" customHeight="1">
      <c r="A242" s="7">
        <v>240</v>
      </c>
      <c r="B242" s="2" t="s">
        <v>994</v>
      </c>
      <c r="C242" s="5" t="s">
        <v>975</v>
      </c>
      <c r="D242" s="2" t="str">
        <f ca="1">OFFSET(Roster!$B$7, MATCH(B242&amp;" "&amp;C242&amp;"*",Roster!$B$8:$B$20,0),DAY(sales[[#This Row],[date]]),1, 1)</f>
        <v>Rebacca</v>
      </c>
      <c r="E242" s="2">
        <f>MONTH(sales[[#This Row],[date]])</f>
        <v>6</v>
      </c>
      <c r="F242" s="233">
        <v>46192</v>
      </c>
      <c r="G242" s="3" t="str">
        <f>VLOOKUP("*"&amp;sales[[#This Row],[Input]]&amp;"*",'Ref-List'!$A:$C,1,0)</f>
        <v>2769/97</v>
      </c>
      <c r="H242" s="2" t="str">
        <f>VLOOKUP("*"&amp;G242&amp;"*",'Ref-List'!$A:$C,3,0)</f>
        <v>電熱水樽</v>
      </c>
      <c r="I242" s="2">
        <v>2769</v>
      </c>
      <c r="J242" s="2">
        <v>1</v>
      </c>
      <c r="K242" s="2">
        <v>328</v>
      </c>
      <c r="L242" s="2">
        <f>sales[[#This Row],[quantity]]*sales[[#This Row],[price]]</f>
        <v>328</v>
      </c>
      <c r="M242" s="9">
        <f>sales[[#This Row],[Total Price]]*3%</f>
        <v>9.84</v>
      </c>
      <c r="N242" s="171">
        <f>sales[[#This Row],[Total Price]]*2.5%</f>
        <v>8.2000000000000011</v>
      </c>
      <c r="O242" s="9">
        <f>sales[[#This Row],[Total Price]]*1.5%</f>
        <v>4.92</v>
      </c>
      <c r="Q242" s="2">
        <v>2</v>
      </c>
      <c r="R242" s="5" t="str">
        <f>_xlfn.CONCAT(sales[[#This Row],[Shop]]," ",sales[[#This Row],[Location]])</f>
        <v>Tai Wan Fortress</v>
      </c>
    </row>
    <row r="243" spans="1:18" ht="16.5" customHeight="1">
      <c r="A243" s="7">
        <v>241</v>
      </c>
      <c r="B243" s="2" t="s">
        <v>994</v>
      </c>
      <c r="C243" s="5" t="s">
        <v>975</v>
      </c>
      <c r="D243" s="2" t="str">
        <f ca="1">OFFSET(Roster!$B$7, MATCH(B243&amp;" "&amp;C243&amp;"*",Roster!$B$8:$B$20,0),DAY(sales[[#This Row],[date]]),1, 1)</f>
        <v>Rebacca</v>
      </c>
      <c r="E243" s="2">
        <f>MONTH(sales[[#This Row],[date]])</f>
        <v>6</v>
      </c>
      <c r="F243" s="233">
        <v>46193</v>
      </c>
      <c r="G243" s="3" t="e">
        <f>VLOOKUP("*"&amp;sales[[#This Row],[Input]]&amp;"*",'Ref-List'!$A:$C,1,0)</f>
        <v>#N/A</v>
      </c>
      <c r="H243" s="2" t="e">
        <f>VLOOKUP("*"&amp;G243&amp;"*",'Ref-List'!$A:$C,3,0)</f>
        <v>#N/A</v>
      </c>
      <c r="I243" s="2">
        <v>3781</v>
      </c>
      <c r="J243" s="2">
        <v>1</v>
      </c>
      <c r="K243" s="2">
        <v>1188</v>
      </c>
      <c r="L243" s="2">
        <f>sales[[#This Row],[quantity]]*sales[[#This Row],[price]]</f>
        <v>1188</v>
      </c>
      <c r="M243" s="9">
        <f>sales[[#This Row],[Total Price]]*3%</f>
        <v>35.64</v>
      </c>
      <c r="N243" s="171">
        <f>sales[[#This Row],[Total Price]]*2.5%</f>
        <v>29.700000000000003</v>
      </c>
      <c r="O243" s="9">
        <f>sales[[#This Row],[Total Price]]*1.5%</f>
        <v>17.82</v>
      </c>
      <c r="Q243" s="2">
        <v>2</v>
      </c>
      <c r="R243" s="5" t="str">
        <f>_xlfn.CONCAT(sales[[#This Row],[Shop]]," ",sales[[#This Row],[Location]])</f>
        <v>Tai Wan Fortress</v>
      </c>
    </row>
    <row r="244" spans="1:18" ht="16.5" customHeight="1">
      <c r="A244" s="7">
        <v>242</v>
      </c>
      <c r="B244" s="2" t="s">
        <v>994</v>
      </c>
      <c r="C244" s="5" t="s">
        <v>975</v>
      </c>
      <c r="D244" s="2" t="str">
        <f ca="1">OFFSET(Roster!$B$7, MATCH(B244&amp;" "&amp;C244&amp;"*",Roster!$B$8:$B$20,0),DAY(sales[[#This Row],[date]]),1, 1)</f>
        <v>Rebacca</v>
      </c>
      <c r="E244" s="2">
        <f>MONTH(sales[[#This Row],[date]])</f>
        <v>6</v>
      </c>
      <c r="F244" s="233">
        <v>46193</v>
      </c>
      <c r="G244" s="3" t="str">
        <f>VLOOKUP("*"&amp;sales[[#This Row],[Input]]&amp;"*",'Ref-List'!$A:$C,1,0)</f>
        <v>6901+541</v>
      </c>
      <c r="H244" s="2" t="str">
        <f>VLOOKUP("*"&amp;G244&amp;"*",'Ref-List'!$A:$C,3,0)</f>
        <v>RO純淨飲水機 + 濾芯</v>
      </c>
      <c r="I244" s="2">
        <v>6901</v>
      </c>
      <c r="J244" s="2">
        <v>1</v>
      </c>
      <c r="K244" s="2">
        <v>1899</v>
      </c>
      <c r="L244" s="2">
        <f>sales[[#This Row],[quantity]]*sales[[#This Row],[price]]</f>
        <v>1899</v>
      </c>
      <c r="M244" s="9">
        <f>sales[[#This Row],[Total Price]]*3%</f>
        <v>56.97</v>
      </c>
      <c r="N244" s="171">
        <f>sales[[#This Row],[Total Price]]*2.5%</f>
        <v>47.475000000000001</v>
      </c>
      <c r="O244" s="9">
        <f>sales[[#This Row],[Total Price]]*1.5%</f>
        <v>28.484999999999999</v>
      </c>
      <c r="Q244" s="2">
        <v>2</v>
      </c>
      <c r="R244" s="5" t="str">
        <f>_xlfn.CONCAT(sales[[#This Row],[Shop]]," ",sales[[#This Row],[Location]])</f>
        <v>Tai Wan Fortress</v>
      </c>
    </row>
    <row r="245" spans="1:18" ht="16.5" customHeight="1">
      <c r="A245" s="7">
        <v>243</v>
      </c>
      <c r="B245" s="2" t="s">
        <v>994</v>
      </c>
      <c r="C245" s="5" t="s">
        <v>975</v>
      </c>
      <c r="D245" s="2" t="str">
        <f ca="1">OFFSET(Roster!$B$7, MATCH(B245&amp;" "&amp;C245&amp;"*",Roster!$B$8:$B$20,0),DAY(sales[[#This Row],[date]]),1, 1)</f>
        <v>Rebacca</v>
      </c>
      <c r="E245" s="2">
        <f>MONTH(sales[[#This Row],[date]])</f>
        <v>6</v>
      </c>
      <c r="F245" s="233">
        <v>46193</v>
      </c>
      <c r="G245" s="3" t="str">
        <f>VLOOKUP("*"&amp;sales[[#This Row],[Input]]&amp;"*",'Ref-List'!$A:$C,1,0)</f>
        <v>3733+3922</v>
      </c>
      <c r="H245" s="2" t="str">
        <f>VLOOKUP("*"&amp;G245&amp;"*",'Ref-List'!$A:$C,3,0)</f>
        <v>超濾龍頭式淨水器組合</v>
      </c>
      <c r="I245" s="2">
        <v>3922</v>
      </c>
      <c r="J245" s="2">
        <v>1</v>
      </c>
      <c r="K245" s="2">
        <v>598</v>
      </c>
      <c r="L245" s="2">
        <f>sales[[#This Row],[quantity]]*sales[[#This Row],[price]]</f>
        <v>598</v>
      </c>
      <c r="M245" s="9">
        <f>sales[[#This Row],[Total Price]]*3%</f>
        <v>17.939999999999998</v>
      </c>
      <c r="N245" s="171">
        <f>sales[[#This Row],[Total Price]]*2.5%</f>
        <v>14.950000000000001</v>
      </c>
      <c r="O245" s="9">
        <f>sales[[#This Row],[Total Price]]*1.5%</f>
        <v>8.9699999999999989</v>
      </c>
      <c r="Q245" s="2">
        <v>2</v>
      </c>
      <c r="R245" s="5" t="str">
        <f>_xlfn.CONCAT(sales[[#This Row],[Shop]]," ",sales[[#This Row],[Location]])</f>
        <v>Tai Wan Fortress</v>
      </c>
    </row>
    <row r="246" spans="1:18" ht="16.5" customHeight="1">
      <c r="A246" s="7">
        <v>244</v>
      </c>
      <c r="B246" s="2" t="s">
        <v>994</v>
      </c>
      <c r="C246" s="5" t="s">
        <v>975</v>
      </c>
      <c r="D246" s="2" t="str">
        <f ca="1">OFFSET(Roster!$B$7, MATCH(B246&amp;" "&amp;C246&amp;"*",Roster!$B$8:$B$20,0),DAY(sales[[#This Row],[date]]),1, 1)</f>
        <v>Rebacca</v>
      </c>
      <c r="E246" s="2">
        <f>MONTH(sales[[#This Row],[date]])</f>
        <v>6</v>
      </c>
      <c r="F246" s="233">
        <v>46194</v>
      </c>
      <c r="G246" s="3" t="str">
        <f>VLOOKUP("*"&amp;sales[[#This Row],[Input]]&amp;"*",'Ref-List'!$A:$C,1,0)</f>
        <v>6910/90</v>
      </c>
      <c r="H246" s="2" t="str">
        <f>VLOOKUP("*"&amp;G246&amp;"*",'Ref-List'!$A:$C,3,0)</f>
        <v>飲水機</v>
      </c>
      <c r="I246" s="2">
        <v>6910</v>
      </c>
      <c r="J246" s="2">
        <v>1</v>
      </c>
      <c r="K246" s="2">
        <v>2388</v>
      </c>
      <c r="L246" s="2">
        <f>sales[[#This Row],[quantity]]*sales[[#This Row],[price]]</f>
        <v>2388</v>
      </c>
      <c r="M246" s="9">
        <f>sales[[#This Row],[Total Price]]*3%</f>
        <v>71.64</v>
      </c>
      <c r="N246" s="171">
        <f>sales[[#This Row],[Total Price]]*2.5%</f>
        <v>59.7</v>
      </c>
      <c r="O246" s="9">
        <f>sales[[#This Row],[Total Price]]*1.5%</f>
        <v>35.82</v>
      </c>
      <c r="Q246" s="2">
        <v>2</v>
      </c>
      <c r="R246" s="5" t="str">
        <f>_xlfn.CONCAT(sales[[#This Row],[Shop]]," ",sales[[#This Row],[Location]])</f>
        <v>Tai Wan Fortress</v>
      </c>
    </row>
    <row r="247" spans="1:18" ht="16.5" customHeight="1">
      <c r="A247" s="7">
        <v>245</v>
      </c>
      <c r="B247" s="2" t="s">
        <v>994</v>
      </c>
      <c r="C247" s="5" t="s">
        <v>975</v>
      </c>
      <c r="D247" s="2" t="str">
        <f ca="1">OFFSET(Roster!$B$7, MATCH(B247&amp;" "&amp;C247&amp;"*",Roster!$B$8:$B$20,0),DAY(sales[[#This Row],[date]]),1, 1)</f>
        <v>Rebacca</v>
      </c>
      <c r="E247" s="2">
        <f>MONTH(sales[[#This Row],[date]])</f>
        <v>6</v>
      </c>
      <c r="F247" s="233">
        <v>46194</v>
      </c>
      <c r="G247" s="3" t="str">
        <f>VLOOKUP("*"&amp;sales[[#This Row],[Input]]&amp;"*",'Ref-List'!$A:$C,1,0)</f>
        <v>6920WH</v>
      </c>
      <c r="H247" s="2" t="str">
        <f>VLOOKUP("*"&amp;G247&amp;"*",'Ref-List'!$A:$C,3,0)</f>
        <v>升級製冰版</v>
      </c>
      <c r="I247" s="2">
        <v>6920</v>
      </c>
      <c r="J247" s="2">
        <v>1</v>
      </c>
      <c r="K247" s="2">
        <v>3588</v>
      </c>
      <c r="L247" s="2">
        <f>sales[[#This Row],[quantity]]*sales[[#This Row],[price]]</f>
        <v>3588</v>
      </c>
      <c r="M247" s="9">
        <f>sales[[#This Row],[Total Price]]*3%</f>
        <v>107.64</v>
      </c>
      <c r="N247" s="171">
        <f>sales[[#This Row],[Total Price]]*2.5%</f>
        <v>89.7</v>
      </c>
      <c r="O247" s="9">
        <f>sales[[#This Row],[Total Price]]*1.5%</f>
        <v>53.82</v>
      </c>
      <c r="R247" s="5" t="str">
        <f>_xlfn.CONCAT(sales[[#This Row],[Shop]]," ",sales[[#This Row],[Location]])</f>
        <v>Tai Wan Fortress</v>
      </c>
    </row>
    <row r="248" spans="1:18" ht="16.5" customHeight="1">
      <c r="A248" s="7">
        <v>246</v>
      </c>
      <c r="B248" s="2" t="s">
        <v>994</v>
      </c>
      <c r="C248" s="5" t="s">
        <v>975</v>
      </c>
      <c r="D248" s="2" t="str">
        <f ca="1">OFFSET(Roster!$B$7, MATCH(B248&amp;" "&amp;C248&amp;"*",Roster!$B$8:$B$20,0),DAY(sales[[#This Row],[date]]),1, 1)</f>
        <v>Rebacca</v>
      </c>
      <c r="E248" s="2">
        <f>MONTH(sales[[#This Row],[date]])</f>
        <v>6</v>
      </c>
      <c r="F248" s="233">
        <v>46194</v>
      </c>
      <c r="G248" s="3" t="e">
        <f>VLOOKUP("*"&amp;sales[[#This Row],[Input]]&amp;"*",'Ref-List'!$A:$C,1,0)</f>
        <v>#N/A</v>
      </c>
      <c r="H248" s="2" t="e">
        <f>VLOOKUP("*"&amp;G248&amp;"*",'Ref-List'!$A:$C,3,0)</f>
        <v>#N/A</v>
      </c>
      <c r="I248" s="2">
        <v>2754</v>
      </c>
      <c r="J248" s="2">
        <v>1</v>
      </c>
      <c r="K248" s="2">
        <v>348</v>
      </c>
      <c r="L248" s="2">
        <f>sales[[#This Row],[quantity]]*sales[[#This Row],[price]]</f>
        <v>348</v>
      </c>
      <c r="M248" s="9">
        <f>sales[[#This Row],[Total Price]]*3%</f>
        <v>10.44</v>
      </c>
      <c r="N248" s="171">
        <f>sales[[#This Row],[Total Price]]*2.5%</f>
        <v>8.7000000000000011</v>
      </c>
      <c r="O248" s="9">
        <f>sales[[#This Row],[Total Price]]*1.5%</f>
        <v>5.22</v>
      </c>
      <c r="R248" s="5" t="str">
        <f>_xlfn.CONCAT(sales[[#This Row],[Shop]]," ",sales[[#This Row],[Location]])</f>
        <v>Tai Wan Fortress</v>
      </c>
    </row>
    <row r="249" spans="1:18" ht="16.5" customHeight="1">
      <c r="A249" s="7">
        <v>247</v>
      </c>
      <c r="B249" s="2" t="s">
        <v>994</v>
      </c>
      <c r="C249" s="5" t="s">
        <v>975</v>
      </c>
      <c r="D249" s="2" t="str">
        <f ca="1">OFFSET(Roster!$B$7, MATCH(B249&amp;" "&amp;C249&amp;"*",Roster!$B$8:$B$20,0),DAY(sales[[#This Row],[date]]),1, 1)</f>
        <v>Rebacca</v>
      </c>
      <c r="E249" s="2">
        <f>MONTH(sales[[#This Row],[date]])</f>
        <v>6</v>
      </c>
      <c r="F249" s="233">
        <v>46194</v>
      </c>
      <c r="G249" s="3" t="str">
        <f>VLOOKUP("*"&amp;sales[[#This Row],[Input]]&amp;"*",'Ref-List'!$A:$C,1,0)</f>
        <v>6901+541</v>
      </c>
      <c r="H249" s="2" t="str">
        <f>VLOOKUP("*"&amp;G249&amp;"*",'Ref-List'!$A:$C,3,0)</f>
        <v>RO純淨飲水機 + 濾芯</v>
      </c>
      <c r="I249" s="2">
        <v>541</v>
      </c>
      <c r="J249" s="2">
        <v>1</v>
      </c>
      <c r="K249" s="2">
        <v>628</v>
      </c>
      <c r="L249" s="2">
        <f>sales[[#This Row],[quantity]]*sales[[#This Row],[price]]</f>
        <v>628</v>
      </c>
      <c r="M249" s="9">
        <f>sales[[#This Row],[Total Price]]*3%</f>
        <v>18.84</v>
      </c>
      <c r="N249" s="171">
        <f>sales[[#This Row],[Total Price]]*2.5%</f>
        <v>15.700000000000001</v>
      </c>
      <c r="O249" s="9">
        <f>sales[[#This Row],[Total Price]]*1.5%</f>
        <v>9.42</v>
      </c>
      <c r="R249" s="5" t="str">
        <f>_xlfn.CONCAT(sales[[#This Row],[Shop]]," ",sales[[#This Row],[Location]])</f>
        <v>Tai Wan Fortress</v>
      </c>
    </row>
    <row r="250" spans="1:18" ht="16.5" customHeight="1">
      <c r="A250" s="7">
        <v>248</v>
      </c>
      <c r="B250" s="2" t="s">
        <v>994</v>
      </c>
      <c r="C250" s="5" t="s">
        <v>975</v>
      </c>
      <c r="D250" s="2" t="str">
        <f ca="1">OFFSET(Roster!$B$7, MATCH(B250&amp;" "&amp;C250&amp;"*",Roster!$B$8:$B$20,0),DAY(sales[[#This Row],[date]]),1, 1)</f>
        <v>Rebacca</v>
      </c>
      <c r="E250" s="2">
        <f>MONTH(sales[[#This Row],[date]])</f>
        <v>6</v>
      </c>
      <c r="F250" s="234">
        <v>46199</v>
      </c>
      <c r="G250" s="3" t="str">
        <f>VLOOKUP("*"&amp;sales[[#This Row],[Input]]&amp;"*",'Ref-List'!$A:$C,1,0)</f>
        <v>6901+541</v>
      </c>
      <c r="H250" s="2" t="str">
        <f>VLOOKUP("*"&amp;G250&amp;"*",'Ref-List'!$A:$C,3,0)</f>
        <v>RO純淨飲水機 + 濾芯</v>
      </c>
      <c r="I250" s="2">
        <v>6901</v>
      </c>
      <c r="J250" s="2">
        <v>1</v>
      </c>
      <c r="K250" s="2">
        <v>1898</v>
      </c>
      <c r="L250" s="2">
        <f>sales[[#This Row],[quantity]]*sales[[#This Row],[price]]</f>
        <v>1898</v>
      </c>
      <c r="M250" s="9">
        <f>sales[[#This Row],[Total Price]]*3%</f>
        <v>56.94</v>
      </c>
      <c r="N250" s="171">
        <f>sales[[#This Row],[Total Price]]*2.5%</f>
        <v>47.45</v>
      </c>
      <c r="O250" s="9">
        <f>sales[[#This Row],[Total Price]]*1.5%</f>
        <v>28.47</v>
      </c>
      <c r="R250" s="5" t="str">
        <f>_xlfn.CONCAT(sales[[#This Row],[Shop]]," ",sales[[#This Row],[Location]])</f>
        <v>Tai Wan Fortress</v>
      </c>
    </row>
    <row r="251" spans="1:18" ht="16.5" customHeight="1">
      <c r="A251" s="7">
        <v>249</v>
      </c>
      <c r="B251" s="2" t="s">
        <v>994</v>
      </c>
      <c r="C251" s="5" t="s">
        <v>975</v>
      </c>
      <c r="D251" s="2" t="str">
        <f ca="1">OFFSET(Roster!$B$7, MATCH(B251&amp;" "&amp;C251&amp;"*",Roster!$B$8:$B$20,0),DAY(sales[[#This Row],[date]]),1, 1)</f>
        <v>Rebacca</v>
      </c>
      <c r="E251" s="2">
        <f>MONTH(sales[[#This Row],[date]])</f>
        <v>6</v>
      </c>
      <c r="F251" s="233">
        <v>46199</v>
      </c>
      <c r="G251" s="3" t="str">
        <f>VLOOKUP("*"&amp;sales[[#This Row],[Input]]&amp;"*",'Ref-List'!$A:$C,1,0)</f>
        <v>6901+541</v>
      </c>
      <c r="H251" s="2" t="str">
        <f>VLOOKUP("*"&amp;G251&amp;"*",'Ref-List'!$A:$C,3,0)</f>
        <v>RO純淨飲水機 + 濾芯</v>
      </c>
      <c r="I251" s="2">
        <v>541</v>
      </c>
      <c r="J251" s="2">
        <v>1</v>
      </c>
      <c r="K251" s="2">
        <v>628</v>
      </c>
      <c r="L251" s="2">
        <f>sales[[#This Row],[quantity]]*sales[[#This Row],[price]]</f>
        <v>628</v>
      </c>
      <c r="M251" s="9">
        <f>sales[[#This Row],[Total Price]]*3%</f>
        <v>18.84</v>
      </c>
      <c r="N251" s="171">
        <f>sales[[#This Row],[Total Price]]*2.5%</f>
        <v>15.700000000000001</v>
      </c>
      <c r="O251" s="9">
        <f>sales[[#This Row],[Total Price]]*1.5%</f>
        <v>9.42</v>
      </c>
      <c r="R251" s="5" t="str">
        <f>_xlfn.CONCAT(sales[[#This Row],[Shop]]," ",sales[[#This Row],[Location]])</f>
        <v>Tai Wan Fortress</v>
      </c>
    </row>
    <row r="252" spans="1:18" ht="16.5" customHeight="1">
      <c r="A252" s="7">
        <v>250</v>
      </c>
      <c r="B252" s="2" t="s">
        <v>994</v>
      </c>
      <c r="C252" s="5" t="s">
        <v>975</v>
      </c>
      <c r="D252" s="2" t="str">
        <f ca="1">OFFSET(Roster!$B$7, MATCH(B252&amp;" "&amp;C252&amp;"*",Roster!$B$8:$B$20,0),DAY(sales[[#This Row],[date]]),1, 1)</f>
        <v>Rebacca</v>
      </c>
      <c r="E252" s="2">
        <f>MONTH(sales[[#This Row],[date]])</f>
        <v>6</v>
      </c>
      <c r="F252" s="233">
        <v>46199</v>
      </c>
      <c r="G252" s="3" t="str">
        <f>VLOOKUP("*"&amp;sales[[#This Row],[Input]]&amp;"*",'Ref-List'!$A:$C,1,0)</f>
        <v>6920WH</v>
      </c>
      <c r="H252" s="2" t="str">
        <f>VLOOKUP("*"&amp;G252&amp;"*",'Ref-List'!$A:$C,3,0)</f>
        <v>升級製冰版</v>
      </c>
      <c r="I252" s="2">
        <v>6920</v>
      </c>
      <c r="J252" s="2">
        <v>1</v>
      </c>
      <c r="K252" s="2">
        <v>3688</v>
      </c>
      <c r="L252" s="2">
        <f>sales[[#This Row],[quantity]]*sales[[#This Row],[price]]</f>
        <v>3688</v>
      </c>
      <c r="M252" s="9">
        <f>sales[[#This Row],[Total Price]]*3%</f>
        <v>110.64</v>
      </c>
      <c r="N252" s="171">
        <f>sales[[#This Row],[Total Price]]*2.5%</f>
        <v>92.2</v>
      </c>
      <c r="O252" s="9">
        <f>sales[[#This Row],[Total Price]]*1.5%</f>
        <v>55.32</v>
      </c>
      <c r="R252" s="5" t="str">
        <f>_xlfn.CONCAT(sales[[#This Row],[Shop]]," ",sales[[#This Row],[Location]])</f>
        <v>Tai Wan Fortress</v>
      </c>
    </row>
    <row r="253" spans="1:18" ht="16.5" customHeight="1">
      <c r="A253" s="7">
        <v>251</v>
      </c>
      <c r="B253" s="2" t="s">
        <v>994</v>
      </c>
      <c r="C253" s="5" t="s">
        <v>975</v>
      </c>
      <c r="D253" s="2" t="str">
        <f ca="1">OFFSET(Roster!$B$7, MATCH(B253&amp;" "&amp;C253&amp;"*",Roster!$B$8:$B$20,0),DAY(sales[[#This Row],[date]]),1, 1)</f>
        <v>Rebacca</v>
      </c>
      <c r="E253" s="2">
        <f>MONTH(sales[[#This Row],[date]])</f>
        <v>6</v>
      </c>
      <c r="F253" s="234">
        <v>46200</v>
      </c>
      <c r="G253" s="3" t="e">
        <f>VLOOKUP("*"&amp;sales[[#This Row],[Input]]&amp;"*",'Ref-List'!$A:$C,1,0)</f>
        <v>#N/A</v>
      </c>
      <c r="H253" s="2" t="e">
        <f>VLOOKUP("*"&amp;G253&amp;"*",'Ref-List'!$A:$C,3,0)</f>
        <v>#N/A</v>
      </c>
      <c r="I253" s="2">
        <v>583</v>
      </c>
      <c r="J253" s="2">
        <v>1</v>
      </c>
      <c r="K253" s="2">
        <v>848</v>
      </c>
      <c r="L253" s="2">
        <f>sales[[#This Row],[quantity]]*sales[[#This Row],[price]]</f>
        <v>848</v>
      </c>
      <c r="M253" s="9">
        <f>sales[[#This Row],[Total Price]]*3%</f>
        <v>25.439999999999998</v>
      </c>
      <c r="N253" s="171">
        <f>sales[[#This Row],[Total Price]]*2.5%</f>
        <v>21.200000000000003</v>
      </c>
      <c r="O253" s="9">
        <f>sales[[#This Row],[Total Price]]*1.5%</f>
        <v>12.719999999999999</v>
      </c>
      <c r="R253" s="5" t="str">
        <f>_xlfn.CONCAT(sales[[#This Row],[Shop]]," ",sales[[#This Row],[Location]])</f>
        <v>Tai Wan Fortress</v>
      </c>
    </row>
    <row r="254" spans="1:18" ht="16.5" customHeight="1">
      <c r="A254" s="7">
        <v>252</v>
      </c>
      <c r="B254" s="2" t="s">
        <v>994</v>
      </c>
      <c r="C254" s="5" t="s">
        <v>975</v>
      </c>
      <c r="D254" s="2" t="str">
        <f ca="1">OFFSET(Roster!$B$7, MATCH(B254&amp;" "&amp;C254&amp;"*",Roster!$B$8:$B$20,0),DAY(sales[[#This Row],[date]]),1, 1)</f>
        <v>Rebacca</v>
      </c>
      <c r="E254" s="2">
        <f>MONTH(sales[[#This Row],[date]])</f>
        <v>6</v>
      </c>
      <c r="F254" s="233">
        <v>46200</v>
      </c>
      <c r="G254" s="3" t="str">
        <f>VLOOKUP("*"&amp;sales[[#This Row],[Input]]&amp;"*",'Ref-List'!$A:$C,1,0)</f>
        <v>6901+541</v>
      </c>
      <c r="H254" s="2" t="str">
        <f>VLOOKUP("*"&amp;G254&amp;"*",'Ref-List'!$A:$C,3,0)</f>
        <v>RO純淨飲水機 + 濾芯</v>
      </c>
      <c r="I254" s="2">
        <v>6901</v>
      </c>
      <c r="J254" s="2">
        <v>1</v>
      </c>
      <c r="K254" s="2">
        <v>1899</v>
      </c>
      <c r="L254" s="2">
        <f>sales[[#This Row],[quantity]]*sales[[#This Row],[price]]</f>
        <v>1899</v>
      </c>
      <c r="M254" s="9">
        <f>sales[[#This Row],[Total Price]]*3%</f>
        <v>56.97</v>
      </c>
      <c r="N254" s="171">
        <f>sales[[#This Row],[Total Price]]*2.5%</f>
        <v>47.475000000000001</v>
      </c>
      <c r="O254" s="9">
        <f>sales[[#This Row],[Total Price]]*1.5%</f>
        <v>28.484999999999999</v>
      </c>
      <c r="R254" s="5" t="str">
        <f>_xlfn.CONCAT(sales[[#This Row],[Shop]]," ",sales[[#This Row],[Location]])</f>
        <v>Tai Wan Fortress</v>
      </c>
    </row>
    <row r="255" spans="1:18" ht="16.5" customHeight="1">
      <c r="A255" s="7">
        <v>253</v>
      </c>
      <c r="B255" s="2" t="s">
        <v>994</v>
      </c>
      <c r="C255" s="5" t="s">
        <v>975</v>
      </c>
      <c r="D255" s="2" t="str">
        <f ca="1">OFFSET(Roster!$B$7, MATCH(B255&amp;" "&amp;C255&amp;"*",Roster!$B$8:$B$20,0),DAY(sales[[#This Row],[date]]),1, 1)</f>
        <v>Rebacca</v>
      </c>
      <c r="E255" s="2">
        <f>MONTH(sales[[#This Row],[date]])</f>
        <v>6</v>
      </c>
      <c r="F255" s="234">
        <v>46200</v>
      </c>
      <c r="G255" s="3" t="str">
        <f>VLOOKUP("*"&amp;sales[[#This Row],[Input]]&amp;"*",'Ref-List'!$A:$C,1,0)</f>
        <v>6920WH</v>
      </c>
      <c r="H255" s="2" t="str">
        <f>VLOOKUP("*"&amp;G255&amp;"*",'Ref-List'!$A:$C,3,0)</f>
        <v>升級製冰版</v>
      </c>
      <c r="I255" s="2">
        <v>6920</v>
      </c>
      <c r="J255" s="2">
        <v>1</v>
      </c>
      <c r="K255" s="2">
        <v>3668</v>
      </c>
      <c r="L255" s="2">
        <f>sales[[#This Row],[quantity]]*sales[[#This Row],[price]]</f>
        <v>3668</v>
      </c>
      <c r="M255" s="9">
        <f>sales[[#This Row],[Total Price]]*3%</f>
        <v>110.03999999999999</v>
      </c>
      <c r="N255" s="171">
        <f>sales[[#This Row],[Total Price]]*2.5%</f>
        <v>91.7</v>
      </c>
      <c r="O255" s="9">
        <f>sales[[#This Row],[Total Price]]*1.5%</f>
        <v>55.019999999999996</v>
      </c>
      <c r="R255" s="5" t="str">
        <f>_xlfn.CONCAT(sales[[#This Row],[Shop]]," ",sales[[#This Row],[Location]])</f>
        <v>Tai Wan Fortress</v>
      </c>
    </row>
    <row r="256" spans="1:18" ht="16.5" customHeight="1">
      <c r="A256" s="7">
        <v>254</v>
      </c>
      <c r="B256" s="2" t="s">
        <v>994</v>
      </c>
      <c r="C256" s="5" t="s">
        <v>975</v>
      </c>
      <c r="D256" s="2" t="str">
        <f ca="1">OFFSET(Roster!$B$7, MATCH(B256&amp;" "&amp;C256&amp;"*",Roster!$B$8:$B$20,0),DAY(sales[[#This Row],[date]]),1, 1)</f>
        <v>Rebacca</v>
      </c>
      <c r="E256" s="2">
        <f>MONTH(sales[[#This Row],[date]])</f>
        <v>6</v>
      </c>
      <c r="F256" s="233">
        <v>46200</v>
      </c>
      <c r="G256" s="3" t="e">
        <f>VLOOKUP("*"&amp;sales[[#This Row],[Input]]&amp;"*",'Ref-List'!$A:$C,1,0)</f>
        <v>#N/A</v>
      </c>
      <c r="H256" s="2" t="e">
        <f>VLOOKUP("*"&amp;G256&amp;"*",'Ref-List'!$A:$C,3,0)</f>
        <v>#N/A</v>
      </c>
      <c r="I256" s="2">
        <v>583</v>
      </c>
      <c r="J256" s="2">
        <v>1</v>
      </c>
      <c r="K256" s="2">
        <v>548</v>
      </c>
      <c r="L256" s="2">
        <f>sales[[#This Row],[quantity]]*sales[[#This Row],[price]]</f>
        <v>548</v>
      </c>
      <c r="M256" s="9">
        <f>sales[[#This Row],[Total Price]]*3%</f>
        <v>16.439999999999998</v>
      </c>
      <c r="N256" s="171">
        <f>sales[[#This Row],[Total Price]]*2.5%</f>
        <v>13.700000000000001</v>
      </c>
      <c r="O256" s="9">
        <f>sales[[#This Row],[Total Price]]*1.5%</f>
        <v>8.2199999999999989</v>
      </c>
      <c r="R256" s="5" t="str">
        <f>_xlfn.CONCAT(sales[[#This Row],[Shop]]," ",sales[[#This Row],[Location]])</f>
        <v>Tai Wan Fortress</v>
      </c>
    </row>
    <row r="257" spans="1:18" ht="16.5" customHeight="1">
      <c r="A257" s="7">
        <v>255</v>
      </c>
      <c r="B257" s="2" t="s">
        <v>994</v>
      </c>
      <c r="C257" s="5" t="s">
        <v>975</v>
      </c>
      <c r="D257" s="2" t="str">
        <f ca="1">OFFSET(Roster!$B$7, MATCH(B257&amp;" "&amp;C257&amp;"*",Roster!$B$8:$B$20,0),DAY(sales[[#This Row],[date]]),1, 1)</f>
        <v>Rebacca</v>
      </c>
      <c r="E257" s="2">
        <f>MONTH(sales[[#This Row],[date]])</f>
        <v>6</v>
      </c>
      <c r="F257" s="233">
        <v>46201</v>
      </c>
      <c r="G257" s="3" t="str">
        <f>VLOOKUP("*"&amp;sales[[#This Row],[Input]]&amp;"*",'Ref-List'!$A:$C,1,0)</f>
        <v>9028/90</v>
      </c>
      <c r="H257" s="2" t="str">
        <f>VLOOKUP("*"&amp;G257&amp;"*",'Ref-List'!$A:$C,3,0)</f>
        <v>RO櫥下式冷熱淨水器</v>
      </c>
      <c r="I257" s="2">
        <v>9028</v>
      </c>
      <c r="J257" s="2">
        <v>1</v>
      </c>
      <c r="K257" s="2">
        <v>8888</v>
      </c>
      <c r="L257" s="2">
        <f>sales[[#This Row],[quantity]]*sales[[#This Row],[price]]</f>
        <v>8888</v>
      </c>
      <c r="M257" s="9">
        <f>sales[[#This Row],[Total Price]]*3%</f>
        <v>266.64</v>
      </c>
      <c r="N257" s="171">
        <f>sales[[#This Row],[Total Price]]*2.5%</f>
        <v>222.20000000000002</v>
      </c>
      <c r="O257" s="9">
        <f>sales[[#This Row],[Total Price]]*1.5%</f>
        <v>133.32</v>
      </c>
      <c r="R257" s="5" t="str">
        <f>_xlfn.CONCAT(sales[[#This Row],[Shop]]," ",sales[[#This Row],[Location]])</f>
        <v>Tai Wan Fortress</v>
      </c>
    </row>
    <row r="258" spans="1:18" ht="16.5" customHeight="1">
      <c r="A258" s="7">
        <v>256</v>
      </c>
      <c r="B258" s="2" t="s">
        <v>994</v>
      </c>
      <c r="C258" s="5" t="s">
        <v>975</v>
      </c>
      <c r="D258" s="2" t="str">
        <f ca="1">OFFSET(Roster!$B$7, MATCH(B258&amp;" "&amp;C258&amp;"*",Roster!$B$8:$B$20,0),DAY(sales[[#This Row],[date]]),1, 1)</f>
        <v>Rebacca</v>
      </c>
      <c r="E258" s="2">
        <f>MONTH(sales[[#This Row],[date]])</f>
        <v>6</v>
      </c>
      <c r="F258" s="233">
        <v>46201</v>
      </c>
      <c r="G258" s="3" t="str">
        <f>VLOOKUP("*"&amp;sales[[#This Row],[Input]]&amp;"*",'Ref-List'!$A:$C,1,0)</f>
        <v>6920WH</v>
      </c>
      <c r="H258" s="2" t="str">
        <f>VLOOKUP("*"&amp;G258&amp;"*",'Ref-List'!$A:$C,3,0)</f>
        <v>升級製冰版</v>
      </c>
      <c r="I258" s="2">
        <v>6920</v>
      </c>
      <c r="J258" s="2">
        <v>1</v>
      </c>
      <c r="K258" s="2">
        <v>3688</v>
      </c>
      <c r="L258" s="2">
        <f>sales[[#This Row],[quantity]]*sales[[#This Row],[price]]</f>
        <v>3688</v>
      </c>
      <c r="M258" s="9">
        <f>sales[[#This Row],[Total Price]]*3%</f>
        <v>110.64</v>
      </c>
      <c r="N258" s="171">
        <f>sales[[#This Row],[Total Price]]*2.5%</f>
        <v>92.2</v>
      </c>
      <c r="O258" s="9">
        <f>sales[[#This Row],[Total Price]]*1.5%</f>
        <v>55.32</v>
      </c>
      <c r="R258" s="5" t="str">
        <f>_xlfn.CONCAT(sales[[#This Row],[Shop]]," ",sales[[#This Row],[Location]])</f>
        <v>Tai Wan Fortress</v>
      </c>
    </row>
    <row r="259" spans="1:18" ht="16.5" customHeight="1">
      <c r="A259" s="7">
        <v>257</v>
      </c>
      <c r="B259" s="2" t="s">
        <v>994</v>
      </c>
      <c r="C259" s="5" t="s">
        <v>975</v>
      </c>
      <c r="D259" s="2" t="str">
        <f ca="1">OFFSET(Roster!$B$7, MATCH(B259&amp;" "&amp;C259&amp;"*",Roster!$B$8:$B$20,0),DAY(sales[[#This Row],[date]]),1, 1)</f>
        <v>Rebacca</v>
      </c>
      <c r="E259" s="2">
        <f>MONTH(sales[[#This Row],[date]])</f>
        <v>6</v>
      </c>
      <c r="F259" s="233">
        <v>46201</v>
      </c>
      <c r="G259" s="3" t="str">
        <f>VLOOKUP("*"&amp;sales[[#This Row],[Input]]&amp;"*",'Ref-List'!$A:$C,1,0)</f>
        <v>3733+3922</v>
      </c>
      <c r="H259" s="2" t="str">
        <f>VLOOKUP("*"&amp;G259&amp;"*",'Ref-List'!$A:$C,3,0)</f>
        <v>超濾龍頭式淨水器組合</v>
      </c>
      <c r="I259" s="2">
        <v>3922</v>
      </c>
      <c r="J259" s="2">
        <v>1</v>
      </c>
      <c r="K259" s="2">
        <v>598</v>
      </c>
      <c r="L259" s="2">
        <f>sales[[#This Row],[quantity]]*sales[[#This Row],[price]]</f>
        <v>598</v>
      </c>
      <c r="M259" s="9">
        <f>sales[[#This Row],[Total Price]]*3%</f>
        <v>17.939999999999998</v>
      </c>
      <c r="N259" s="171">
        <f>sales[[#This Row],[Total Price]]*2.5%</f>
        <v>14.950000000000001</v>
      </c>
      <c r="O259" s="9">
        <f>sales[[#This Row],[Total Price]]*1.5%</f>
        <v>8.9699999999999989</v>
      </c>
      <c r="R259" s="5" t="str">
        <f>_xlfn.CONCAT(sales[[#This Row],[Shop]]," ",sales[[#This Row],[Location]])</f>
        <v>Tai Wan Fortress</v>
      </c>
    </row>
    <row r="260" spans="1:18" ht="16.5" customHeight="1">
      <c r="A260" s="7">
        <v>258</v>
      </c>
      <c r="B260" s="2" t="s">
        <v>994</v>
      </c>
      <c r="C260" s="5" t="s">
        <v>975</v>
      </c>
      <c r="D260" s="2" t="str">
        <f ca="1">OFFSET(Roster!$B$7, MATCH(B260&amp;" "&amp;C260&amp;"*",Roster!$B$8:$B$20,0),DAY(sales[[#This Row],[date]]),1, 1)</f>
        <v>Rebacca</v>
      </c>
      <c r="E260" s="2">
        <f>MONTH(sales[[#This Row],[date]])</f>
        <v>6</v>
      </c>
      <c r="F260" s="233">
        <v>46201</v>
      </c>
      <c r="G260" s="3" t="str">
        <f>VLOOKUP("*"&amp;sales[[#This Row],[Input]]&amp;"*",'Ref-List'!$A:$C,1,0)</f>
        <v>3733+3922</v>
      </c>
      <c r="H260" s="2" t="str">
        <f>VLOOKUP("*"&amp;G260&amp;"*",'Ref-List'!$A:$C,3,0)</f>
        <v>超濾龍頭式淨水器組合</v>
      </c>
      <c r="I260" s="2">
        <v>3922</v>
      </c>
      <c r="J260" s="2">
        <v>1</v>
      </c>
      <c r="K260" s="2">
        <v>1196</v>
      </c>
      <c r="L260" s="2">
        <f>sales[[#This Row],[quantity]]*sales[[#This Row],[price]]</f>
        <v>1196</v>
      </c>
      <c r="M260" s="9">
        <f>sales[[#This Row],[Total Price]]*3%</f>
        <v>35.879999999999995</v>
      </c>
      <c r="N260" s="171">
        <f>sales[[#This Row],[Total Price]]*2.5%</f>
        <v>29.900000000000002</v>
      </c>
      <c r="O260" s="9">
        <f>sales[[#This Row],[Total Price]]*1.5%</f>
        <v>17.939999999999998</v>
      </c>
      <c r="R260" s="5" t="str">
        <f>_xlfn.CONCAT(sales[[#This Row],[Shop]]," ",sales[[#This Row],[Location]])</f>
        <v>Tai Wan Fortress</v>
      </c>
    </row>
    <row r="261" spans="1:18" ht="16.5" customHeight="1">
      <c r="A261" s="7">
        <v>259</v>
      </c>
      <c r="B261" s="2" t="s">
        <v>994</v>
      </c>
      <c r="C261" s="5" t="s">
        <v>975</v>
      </c>
      <c r="D261" s="2" t="str">
        <f ca="1">OFFSET(Roster!$B$7, MATCH(B261&amp;" "&amp;C261&amp;"*",Roster!$B$8:$B$20,0),DAY(sales[[#This Row],[date]]),1, 1)</f>
        <v>Rebacca</v>
      </c>
      <c r="E261" s="2">
        <f>MONTH(sales[[#This Row],[date]])</f>
        <v>6</v>
      </c>
      <c r="F261" s="233">
        <v>46201</v>
      </c>
      <c r="G261" s="3" t="e">
        <f>VLOOKUP("*"&amp;sales[[#This Row],[Input]]&amp;"*",'Ref-List'!$A:$C,1,0)</f>
        <v>#N/A</v>
      </c>
      <c r="H261" s="2" t="e">
        <f>VLOOKUP("*"&amp;G261&amp;"*",'Ref-List'!$A:$C,3,0)</f>
        <v>#N/A</v>
      </c>
      <c r="I261" s="2">
        <v>6921</v>
      </c>
      <c r="J261" s="2">
        <v>1</v>
      </c>
      <c r="K261" s="2">
        <v>3988</v>
      </c>
      <c r="L261" s="2">
        <f>sales[[#This Row],[quantity]]*sales[[#This Row],[price]]</f>
        <v>3988</v>
      </c>
      <c r="M261" s="9">
        <f>sales[[#This Row],[Total Price]]*3%</f>
        <v>119.64</v>
      </c>
      <c r="N261" s="171">
        <f>sales[[#This Row],[Total Price]]*2.5%</f>
        <v>99.7</v>
      </c>
      <c r="O261" s="9">
        <f>sales[[#This Row],[Total Price]]*1.5%</f>
        <v>59.82</v>
      </c>
      <c r="R261" s="5" t="str">
        <f>_xlfn.CONCAT(sales[[#This Row],[Shop]]," ",sales[[#This Row],[Location]])</f>
        <v>Tai Wan Fortress</v>
      </c>
    </row>
    <row r="262" spans="1:18" ht="16.5" customHeight="1">
      <c r="A262" s="7">
        <v>260</v>
      </c>
      <c r="B262" s="2" t="s">
        <v>994</v>
      </c>
      <c r="C262" s="5" t="s">
        <v>975</v>
      </c>
      <c r="D262" s="2" t="str">
        <f ca="1">OFFSET(Roster!$B$7, MATCH(B262&amp;" "&amp;C262&amp;"*",Roster!$B$8:$B$20,0),DAY(sales[[#This Row],[date]]),1, 1)</f>
        <v>Rebacca</v>
      </c>
      <c r="E262" s="2">
        <f>MONTH(sales[[#This Row],[date]])</f>
        <v>6</v>
      </c>
      <c r="F262" s="233">
        <v>46201</v>
      </c>
      <c r="G262" s="3" t="e">
        <f>VLOOKUP("*"&amp;sales[[#This Row],[Input]]&amp;"*",'Ref-List'!$A:$C,1,0)</f>
        <v>#N/A</v>
      </c>
      <c r="H262" s="2" t="e">
        <f>VLOOKUP("*"&amp;G262&amp;"*",'Ref-List'!$A:$C,3,0)</f>
        <v>#N/A</v>
      </c>
      <c r="I262" s="2">
        <v>580</v>
      </c>
      <c r="J262" s="2">
        <v>1</v>
      </c>
      <c r="K262" s="2">
        <v>598</v>
      </c>
      <c r="L262" s="2">
        <f>sales[[#This Row],[quantity]]*sales[[#This Row],[price]]</f>
        <v>598</v>
      </c>
      <c r="M262" s="9">
        <f>sales[[#This Row],[Total Price]]*3%</f>
        <v>17.939999999999998</v>
      </c>
      <c r="N262" s="171">
        <f>sales[[#This Row],[Total Price]]*2.5%</f>
        <v>14.950000000000001</v>
      </c>
      <c r="O262" s="9">
        <f>sales[[#This Row],[Total Price]]*1.5%</f>
        <v>8.9699999999999989</v>
      </c>
      <c r="R262" s="5" t="str">
        <f>_xlfn.CONCAT(sales[[#This Row],[Shop]]," ",sales[[#This Row],[Location]])</f>
        <v>Tai Wan Fortress</v>
      </c>
    </row>
    <row r="263" spans="1:18" ht="16.5" customHeight="1">
      <c r="A263" s="7">
        <v>261</v>
      </c>
      <c r="B263" s="2" t="s">
        <v>996</v>
      </c>
      <c r="C263" s="5" t="s">
        <v>1015</v>
      </c>
      <c r="D263" s="2" t="e">
        <f ca="1">OFFSET(Roster!$B$7, MATCH(B263&amp;" "&amp;C263&amp;"*",Roster!$B$8:$B$20,0),DAY(sales[[#This Row],[date]]),1, 1)</f>
        <v>#N/A</v>
      </c>
      <c r="E263" s="2">
        <f>MONTH(sales[[#This Row],[date]])</f>
        <v>6</v>
      </c>
      <c r="F263" s="233">
        <v>46180</v>
      </c>
      <c r="G263" s="3" t="str">
        <f>VLOOKUP("*"&amp;sales[[#This Row],[Input]]&amp;"*",'Ref-List'!$A:$C,1,0)</f>
        <v>3733+3922</v>
      </c>
      <c r="H263" s="2" t="str">
        <f>VLOOKUP("*"&amp;G263&amp;"*",'Ref-List'!$A:$C,3,0)</f>
        <v>超濾龍頭式淨水器組合</v>
      </c>
      <c r="I263" s="2">
        <v>3922</v>
      </c>
      <c r="J263" s="2">
        <v>1</v>
      </c>
      <c r="K263" s="2">
        <v>1296</v>
      </c>
      <c r="L263" s="2">
        <f>sales[[#This Row],[quantity]]*sales[[#This Row],[price]]</f>
        <v>1296</v>
      </c>
      <c r="M263" s="9">
        <f>sales[[#This Row],[Total Price]]*3%</f>
        <v>38.879999999999995</v>
      </c>
      <c r="N263" s="171">
        <f>sales[[#This Row],[Total Price]]*2.5%</f>
        <v>32.4</v>
      </c>
      <c r="O263" s="9">
        <f>sales[[#This Row],[Total Price]]*1.5%</f>
        <v>19.439999999999998</v>
      </c>
      <c r="R263" s="5" t="str">
        <f>_xlfn.CONCAT(sales[[#This Row],[Shop]]," ",sales[[#This Row],[Location]])</f>
        <v xml:space="preserve">TW YATA </v>
      </c>
    </row>
    <row r="264" spans="1:18" ht="16.5" customHeight="1">
      <c r="A264" s="7">
        <v>262</v>
      </c>
      <c r="B264" s="2" t="s">
        <v>996</v>
      </c>
      <c r="C264" s="5" t="s">
        <v>1015</v>
      </c>
      <c r="D264" s="2" t="e">
        <f ca="1">OFFSET(Roster!$B$7, MATCH(B264&amp;" "&amp;C264&amp;"*",Roster!$B$8:$B$20,0),DAY(sales[[#This Row],[date]]),1, 1)</f>
        <v>#N/A</v>
      </c>
      <c r="E264" s="2">
        <f>MONTH(sales[[#This Row],[date]])</f>
        <v>6</v>
      </c>
      <c r="F264" s="233">
        <v>46180</v>
      </c>
      <c r="G264" s="3" t="str">
        <f>VLOOKUP("*"&amp;sales[[#This Row],[Input]]&amp;"*",'Ref-List'!$A:$C,1,0)</f>
        <v>3812+3922</v>
      </c>
      <c r="H264" s="2" t="str">
        <f>VLOOKUP("*"&amp;G264&amp;"*",'Ref-List'!$A:$C,3,0)</f>
        <v>超濾龍頭式淨水器組合</v>
      </c>
      <c r="I264" s="5" t="s">
        <v>980</v>
      </c>
      <c r="J264" s="2">
        <v>1</v>
      </c>
      <c r="K264" s="2">
        <v>798</v>
      </c>
      <c r="L264" s="2">
        <f>sales[[#This Row],[quantity]]*sales[[#This Row],[price]]</f>
        <v>798</v>
      </c>
      <c r="M264" s="9">
        <f>sales[[#This Row],[Total Price]]*3%</f>
        <v>23.939999999999998</v>
      </c>
      <c r="N264" s="171">
        <f>sales[[#This Row],[Total Price]]*2.5%</f>
        <v>19.950000000000003</v>
      </c>
      <c r="O264" s="9">
        <f>sales[[#This Row],[Total Price]]*1.5%</f>
        <v>11.969999999999999</v>
      </c>
      <c r="R264" s="5" t="str">
        <f>_xlfn.CONCAT(sales[[#This Row],[Shop]]," ",sales[[#This Row],[Location]])</f>
        <v xml:space="preserve">TW YATA </v>
      </c>
    </row>
    <row r="265" spans="1:18" ht="16.5" customHeight="1">
      <c r="A265" s="7">
        <v>263</v>
      </c>
      <c r="B265" s="2" t="s">
        <v>996</v>
      </c>
      <c r="C265" s="5" t="s">
        <v>1015</v>
      </c>
      <c r="D265" s="2" t="e">
        <f ca="1">OFFSET(Roster!$B$7, MATCH(B265&amp;" "&amp;C265&amp;"*",Roster!$B$8:$B$20,0),DAY(sales[[#This Row],[date]]),1, 1)</f>
        <v>#N/A</v>
      </c>
      <c r="E265" s="2">
        <f>MONTH(sales[[#This Row],[date]])</f>
        <v>6</v>
      </c>
      <c r="F265" s="233">
        <v>46180</v>
      </c>
      <c r="G265" s="3" t="str">
        <f>VLOOKUP("*"&amp;sales[[#This Row],[Input]]&amp;"*",'Ref-List'!$A:$C,1,0)</f>
        <v>9028/90</v>
      </c>
      <c r="H265" s="2" t="str">
        <f>VLOOKUP("*"&amp;G265&amp;"*",'Ref-List'!$A:$C,3,0)</f>
        <v>RO櫥下式冷熱淨水器</v>
      </c>
      <c r="I265" s="2">
        <v>9028</v>
      </c>
      <c r="J265" s="2">
        <v>1</v>
      </c>
      <c r="K265" s="2">
        <v>8988</v>
      </c>
      <c r="L265" s="2">
        <f>sales[[#This Row],[quantity]]*sales[[#This Row],[price]]</f>
        <v>8988</v>
      </c>
      <c r="M265" s="9">
        <f>sales[[#This Row],[Total Price]]*3%</f>
        <v>269.64</v>
      </c>
      <c r="N265" s="171">
        <f>sales[[#This Row],[Total Price]]*2.5%</f>
        <v>224.70000000000002</v>
      </c>
      <c r="O265" s="9">
        <f>sales[[#This Row],[Total Price]]*1.5%</f>
        <v>134.82</v>
      </c>
      <c r="R265" s="5" t="str">
        <f>_xlfn.CONCAT(sales[[#This Row],[Shop]]," ",sales[[#This Row],[Location]])</f>
        <v xml:space="preserve">TW YATA </v>
      </c>
    </row>
    <row r="266" spans="1:18" ht="16.5" customHeight="1">
      <c r="A266" s="7">
        <v>264</v>
      </c>
      <c r="B266" s="2" t="s">
        <v>996</v>
      </c>
      <c r="C266" s="5" t="s">
        <v>1015</v>
      </c>
      <c r="D266" s="2" t="e">
        <f ca="1">OFFSET(Roster!$B$7, MATCH(B266&amp;" "&amp;C266&amp;"*",Roster!$B$8:$B$20,0),DAY(sales[[#This Row],[date]]),1, 1)</f>
        <v>#N/A</v>
      </c>
      <c r="E266" s="2">
        <f>MONTH(sales[[#This Row],[date]])</f>
        <v>6</v>
      </c>
      <c r="F266" s="233">
        <v>46180</v>
      </c>
      <c r="G266" s="3" t="str">
        <f>VLOOKUP("*"&amp;sales[[#This Row],[Input]]&amp;"*",'Ref-List'!$A:$C,1,0)</f>
        <v>3811+3911</v>
      </c>
      <c r="H266" s="2" t="str">
        <f>VLOOKUP("*"&amp;G266&amp;"*",'Ref-List'!$A:$C,3,0)</f>
        <v>超濾淨水器 + 濾芯套裝</v>
      </c>
      <c r="I266" s="2">
        <v>3911</v>
      </c>
      <c r="J266" s="2">
        <v>1</v>
      </c>
      <c r="K266" s="2">
        <v>812.8</v>
      </c>
      <c r="L266" s="2">
        <f>sales[[#This Row],[quantity]]*sales[[#This Row],[price]]</f>
        <v>812.8</v>
      </c>
      <c r="M266" s="9">
        <f>sales[[#This Row],[Total Price]]*3%</f>
        <v>24.383999999999997</v>
      </c>
      <c r="N266" s="171">
        <f>sales[[#This Row],[Total Price]]*2.5%</f>
        <v>20.32</v>
      </c>
      <c r="O266" s="9">
        <f>sales[[#This Row],[Total Price]]*1.5%</f>
        <v>12.191999999999998</v>
      </c>
      <c r="R266" s="5" t="str">
        <f>_xlfn.CONCAT(sales[[#This Row],[Shop]]," ",sales[[#This Row],[Location]])</f>
        <v xml:space="preserve">TW YATA </v>
      </c>
    </row>
    <row r="267" spans="1:18" ht="16.5" customHeight="1">
      <c r="A267" s="7">
        <v>265</v>
      </c>
      <c r="B267" s="2" t="s">
        <v>996</v>
      </c>
      <c r="C267" s="5" t="s">
        <v>1015</v>
      </c>
      <c r="D267" s="2" t="e">
        <f ca="1">OFFSET(Roster!$B$7, MATCH(B267&amp;" "&amp;C267&amp;"*",Roster!$B$8:$B$20,0),DAY(sales[[#This Row],[date]]),1, 1)</f>
        <v>#N/A</v>
      </c>
      <c r="E267" s="2">
        <f>MONTH(sales[[#This Row],[date]])</f>
        <v>6</v>
      </c>
      <c r="F267" s="233">
        <v>46186</v>
      </c>
      <c r="G267" s="3" t="e">
        <f>VLOOKUP("*"&amp;sales[[#This Row],[Input]]&amp;"*",'Ref-List'!$A:$C,1,0)</f>
        <v>#N/A</v>
      </c>
      <c r="H267" s="2" t="e">
        <f>VLOOKUP("*"&amp;G267&amp;"*",'Ref-List'!$A:$C,3,0)</f>
        <v>#N/A</v>
      </c>
      <c r="I267" s="2">
        <v>6912</v>
      </c>
      <c r="J267" s="2">
        <v>1</v>
      </c>
      <c r="K267" s="2">
        <v>2988</v>
      </c>
      <c r="L267" s="2">
        <f>sales[[#This Row],[quantity]]*sales[[#This Row],[price]]</f>
        <v>2988</v>
      </c>
      <c r="M267" s="9">
        <f>sales[[#This Row],[Total Price]]*3%</f>
        <v>89.64</v>
      </c>
      <c r="N267" s="171">
        <f>sales[[#This Row],[Total Price]]*2.5%</f>
        <v>74.7</v>
      </c>
      <c r="O267" s="9">
        <f>sales[[#This Row],[Total Price]]*1.5%</f>
        <v>44.82</v>
      </c>
      <c r="R267" s="5" t="str">
        <f>_xlfn.CONCAT(sales[[#This Row],[Shop]]," ",sales[[#This Row],[Location]])</f>
        <v xml:space="preserve">TW YATA </v>
      </c>
    </row>
    <row r="268" spans="1:18" ht="16.5" customHeight="1">
      <c r="A268" s="7">
        <v>266</v>
      </c>
      <c r="B268" s="2" t="s">
        <v>996</v>
      </c>
      <c r="C268" s="5" t="s">
        <v>1015</v>
      </c>
      <c r="D268" s="2" t="e">
        <f ca="1">OFFSET(Roster!$B$7, MATCH(B268&amp;" "&amp;C268&amp;"*",Roster!$B$8:$B$20,0),DAY(sales[[#This Row],[date]]),1, 1)</f>
        <v>#N/A</v>
      </c>
      <c r="E268" s="2">
        <f>MONTH(sales[[#This Row],[date]])</f>
        <v>6</v>
      </c>
      <c r="F268" s="234">
        <v>46186</v>
      </c>
      <c r="G268" s="3" t="str">
        <f>VLOOKUP("*"&amp;sales[[#This Row],[Input]]&amp;"*",'Ref-List'!$A:$C,1,0)</f>
        <v>2937+211</v>
      </c>
      <c r="H268" s="2" t="str">
        <f>VLOOKUP("*"&amp;G268&amp;"*",'Ref-List'!$A:$C,3,0)</f>
        <v>濾水壺濾芯套裝</v>
      </c>
      <c r="I268" s="2">
        <v>211</v>
      </c>
      <c r="J268" s="2">
        <v>1</v>
      </c>
      <c r="K268" s="2">
        <v>158</v>
      </c>
      <c r="L268" s="2">
        <f>sales[[#This Row],[quantity]]*sales[[#This Row],[price]]</f>
        <v>158</v>
      </c>
      <c r="M268" s="9">
        <f>sales[[#This Row],[Total Price]]*3%</f>
        <v>4.74</v>
      </c>
      <c r="N268" s="171">
        <f>sales[[#This Row],[Total Price]]*2.5%</f>
        <v>3.95</v>
      </c>
      <c r="O268" s="9">
        <f>sales[[#This Row],[Total Price]]*1.5%</f>
        <v>2.37</v>
      </c>
      <c r="R268" s="5" t="str">
        <f>_xlfn.CONCAT(sales[[#This Row],[Shop]]," ",sales[[#This Row],[Location]])</f>
        <v xml:space="preserve">TW YATA </v>
      </c>
    </row>
    <row r="269" spans="1:18" ht="16.5" customHeight="1">
      <c r="A269" s="7">
        <v>267</v>
      </c>
      <c r="B269" s="2" t="s">
        <v>996</v>
      </c>
      <c r="C269" s="5" t="s">
        <v>1015</v>
      </c>
      <c r="D269" s="2" t="e">
        <f ca="1">OFFSET(Roster!$B$7, MATCH(B269&amp;" "&amp;C269&amp;"*",Roster!$B$8:$B$20,0),DAY(sales[[#This Row],[date]]),1, 1)</f>
        <v>#N/A</v>
      </c>
      <c r="E269" s="2">
        <f>MONTH(sales[[#This Row],[date]])</f>
        <v>6</v>
      </c>
      <c r="F269" s="233">
        <v>46187</v>
      </c>
      <c r="G269" s="3" t="str">
        <f>VLOOKUP("*"&amp;sales[[#This Row],[Input]]&amp;"*",'Ref-List'!$A:$C,1,0)</f>
        <v>3902/00</v>
      </c>
      <c r="H269" s="2" t="str">
        <f>VLOOKUP("*"&amp;G269&amp;"*",'Ref-List'!$A:$C,3,0)</f>
        <v>濾水器專用替換濾芯</v>
      </c>
      <c r="I269" s="2">
        <v>3902</v>
      </c>
      <c r="J269" s="2">
        <v>1</v>
      </c>
      <c r="K269" s="2">
        <v>558</v>
      </c>
      <c r="L269" s="2">
        <f>sales[[#This Row],[quantity]]*sales[[#This Row],[price]]</f>
        <v>558</v>
      </c>
      <c r="M269" s="9">
        <f>sales[[#This Row],[Total Price]]*3%</f>
        <v>16.739999999999998</v>
      </c>
      <c r="N269" s="171">
        <f>sales[[#This Row],[Total Price]]*2.5%</f>
        <v>13.950000000000001</v>
      </c>
      <c r="O269" s="9">
        <f>sales[[#This Row],[Total Price]]*1.5%</f>
        <v>8.3699999999999992</v>
      </c>
      <c r="R269" s="5" t="str">
        <f>_xlfn.CONCAT(sales[[#This Row],[Shop]]," ",sales[[#This Row],[Location]])</f>
        <v xml:space="preserve">TW YATA </v>
      </c>
    </row>
    <row r="270" spans="1:18" ht="16.5" customHeight="1">
      <c r="A270" s="7">
        <v>268</v>
      </c>
      <c r="B270" s="2" t="s">
        <v>996</v>
      </c>
      <c r="C270" s="5" t="s">
        <v>1015</v>
      </c>
      <c r="D270" s="2" t="e">
        <f ca="1">OFFSET(Roster!$B$7, MATCH(B270&amp;" "&amp;C270&amp;"*",Roster!$B$8:$B$20,0),DAY(sales[[#This Row],[date]]),1, 1)</f>
        <v>#N/A</v>
      </c>
      <c r="E270" s="2">
        <f>MONTH(sales[[#This Row],[date]])</f>
        <v>6</v>
      </c>
      <c r="F270" s="233">
        <v>46187</v>
      </c>
      <c r="G270" s="3" t="str">
        <f>VLOOKUP("*"&amp;sales[[#This Row],[Input]]&amp;"*",'Ref-List'!$A:$C,1,0)</f>
        <v>3733+3922</v>
      </c>
      <c r="H270" s="2" t="str">
        <f>VLOOKUP("*"&amp;G270&amp;"*",'Ref-List'!$A:$C,3,0)</f>
        <v>超濾龍頭式淨水器組合</v>
      </c>
      <c r="I270" s="2">
        <v>3922</v>
      </c>
      <c r="J270" s="2">
        <v>1</v>
      </c>
      <c r="K270" s="2">
        <v>648</v>
      </c>
      <c r="L270" s="2">
        <f>sales[[#This Row],[quantity]]*sales[[#This Row],[price]]</f>
        <v>648</v>
      </c>
      <c r="M270" s="9">
        <f>sales[[#This Row],[Total Price]]*3%</f>
        <v>19.439999999999998</v>
      </c>
      <c r="N270" s="171">
        <f>sales[[#This Row],[Total Price]]*2.5%</f>
        <v>16.2</v>
      </c>
      <c r="O270" s="9">
        <f>sales[[#This Row],[Total Price]]*1.5%</f>
        <v>9.7199999999999989</v>
      </c>
      <c r="R270" s="5" t="str">
        <f>_xlfn.CONCAT(sales[[#This Row],[Shop]]," ",sales[[#This Row],[Location]])</f>
        <v xml:space="preserve">TW YATA </v>
      </c>
    </row>
    <row r="271" spans="1:18" ht="16.5" customHeight="1">
      <c r="A271" s="7">
        <v>269</v>
      </c>
      <c r="B271" s="2" t="s">
        <v>996</v>
      </c>
      <c r="C271" s="5" t="s">
        <v>1015</v>
      </c>
      <c r="D271" s="2" t="e">
        <f ca="1">OFFSET(Roster!$B$7, MATCH(B271&amp;" "&amp;C271&amp;"*",Roster!$B$8:$B$20,0),DAY(sales[[#This Row],[date]]),1, 1)</f>
        <v>#N/A</v>
      </c>
      <c r="E271" s="2">
        <f>MONTH(sales[[#This Row],[date]])</f>
        <v>6</v>
      </c>
      <c r="F271" s="233">
        <v>46187</v>
      </c>
      <c r="G271" s="3" t="str">
        <f>VLOOKUP("*"&amp;sales[[#This Row],[Input]]&amp;"*",'Ref-List'!$A:$C,1,0)</f>
        <v>6901+541</v>
      </c>
      <c r="H271" s="2" t="str">
        <f>VLOOKUP("*"&amp;G271&amp;"*",'Ref-List'!$A:$C,3,0)</f>
        <v>RO純淨飲水機 + 濾芯</v>
      </c>
      <c r="I271" s="2">
        <v>541</v>
      </c>
      <c r="J271" s="2">
        <v>1</v>
      </c>
      <c r="K271" s="2">
        <v>598</v>
      </c>
      <c r="L271" s="2">
        <f>sales[[#This Row],[quantity]]*sales[[#This Row],[price]]</f>
        <v>598</v>
      </c>
      <c r="M271" s="9">
        <f>sales[[#This Row],[Total Price]]*3%</f>
        <v>17.939999999999998</v>
      </c>
      <c r="N271" s="171">
        <f>sales[[#This Row],[Total Price]]*2.5%</f>
        <v>14.950000000000001</v>
      </c>
      <c r="O271" s="9">
        <f>sales[[#This Row],[Total Price]]*1.5%</f>
        <v>8.9699999999999989</v>
      </c>
      <c r="R271" s="5" t="str">
        <f>_xlfn.CONCAT(sales[[#This Row],[Shop]]," ",sales[[#This Row],[Location]])</f>
        <v xml:space="preserve">TW YATA </v>
      </c>
    </row>
    <row r="272" spans="1:18" ht="16.5" customHeight="1">
      <c r="A272" s="7">
        <v>270</v>
      </c>
      <c r="B272" s="2" t="s">
        <v>996</v>
      </c>
      <c r="C272" s="5" t="s">
        <v>1015</v>
      </c>
      <c r="D272" s="2" t="e">
        <f ca="1">OFFSET(Roster!$B$7, MATCH(B272&amp;" "&amp;C272&amp;"*",Roster!$B$8:$B$20,0),DAY(sales[[#This Row],[date]]),1, 1)</f>
        <v>#N/A</v>
      </c>
      <c r="E272" s="2">
        <f>MONTH(sales[[#This Row],[date]])</f>
        <v>6</v>
      </c>
      <c r="F272" s="233">
        <v>46187</v>
      </c>
      <c r="G272" s="3" t="e">
        <f>VLOOKUP("*"&amp;sales[[#This Row],[Input]]&amp;"*",'Ref-List'!$A:$C,1,0)</f>
        <v>#N/A</v>
      </c>
      <c r="H272" s="2" t="e">
        <f>VLOOKUP("*"&amp;G272&amp;"*",'Ref-List'!$A:$C,3,0)</f>
        <v>#N/A</v>
      </c>
      <c r="I272" s="2">
        <v>547</v>
      </c>
      <c r="J272" s="2">
        <v>1</v>
      </c>
      <c r="K272" s="2">
        <v>168</v>
      </c>
      <c r="L272" s="2">
        <f>sales[[#This Row],[quantity]]*sales[[#This Row],[price]]</f>
        <v>168</v>
      </c>
      <c r="M272" s="9">
        <f>sales[[#This Row],[Total Price]]*3%</f>
        <v>5.04</v>
      </c>
      <c r="N272" s="171">
        <f>sales[[#This Row],[Total Price]]*2.5%</f>
        <v>4.2</v>
      </c>
      <c r="O272" s="9">
        <f>sales[[#This Row],[Total Price]]*1.5%</f>
        <v>2.52</v>
      </c>
      <c r="R272" s="5" t="str">
        <f>_xlfn.CONCAT(sales[[#This Row],[Shop]]," ",sales[[#This Row],[Location]])</f>
        <v xml:space="preserve">TW YATA </v>
      </c>
    </row>
    <row r="273" spans="1:18" ht="16.5" customHeight="1">
      <c r="A273" s="7">
        <v>271</v>
      </c>
      <c r="B273" s="2" t="s">
        <v>996</v>
      </c>
      <c r="C273" s="5" t="s">
        <v>1015</v>
      </c>
      <c r="D273" s="2" t="e">
        <f ca="1">OFFSET(Roster!$B$7, MATCH(B273&amp;" "&amp;C273&amp;"*",Roster!$B$8:$B$20,0),DAY(sales[[#This Row],[date]]),1, 1)</f>
        <v>#N/A</v>
      </c>
      <c r="E273" s="2">
        <f>MONTH(sales[[#This Row],[date]])</f>
        <v>6</v>
      </c>
      <c r="F273" s="233">
        <v>46193</v>
      </c>
      <c r="G273" s="3" t="str">
        <f>VLOOKUP("*"&amp;sales[[#This Row],[Input]]&amp;"*",'Ref-List'!$A:$C,1,0)</f>
        <v>3811+3911</v>
      </c>
      <c r="H273" s="2" t="str">
        <f>VLOOKUP("*"&amp;G273&amp;"*",'Ref-List'!$A:$C,3,0)</f>
        <v>超濾淨水器 + 濾芯套裝</v>
      </c>
      <c r="I273" s="2">
        <v>3911</v>
      </c>
      <c r="J273" s="2">
        <v>1</v>
      </c>
      <c r="K273" s="2">
        <v>406.4</v>
      </c>
      <c r="L273" s="2">
        <f>sales[[#This Row],[quantity]]*sales[[#This Row],[price]]</f>
        <v>406.4</v>
      </c>
      <c r="M273" s="9">
        <f>sales[[#This Row],[Total Price]]*3%</f>
        <v>12.191999999999998</v>
      </c>
      <c r="N273" s="171">
        <f>sales[[#This Row],[Total Price]]*2.5%</f>
        <v>10.16</v>
      </c>
      <c r="O273" s="9">
        <f>sales[[#This Row],[Total Price]]*1.5%</f>
        <v>6.0959999999999992</v>
      </c>
      <c r="R273" s="5" t="str">
        <f>_xlfn.CONCAT(sales[[#This Row],[Shop]]," ",sales[[#This Row],[Location]])</f>
        <v xml:space="preserve">TW YATA </v>
      </c>
    </row>
    <row r="274" spans="1:18" ht="16.5" customHeight="1">
      <c r="A274" s="7">
        <v>272</v>
      </c>
      <c r="B274" s="2" t="s">
        <v>996</v>
      </c>
      <c r="C274" s="5" t="s">
        <v>1015</v>
      </c>
      <c r="D274" s="2" t="e">
        <f ca="1">OFFSET(Roster!$B$7, MATCH(B274&amp;" "&amp;C274&amp;"*",Roster!$B$8:$B$20,0),DAY(sales[[#This Row],[date]]),1, 1)</f>
        <v>#N/A</v>
      </c>
      <c r="E274" s="2">
        <f>MONTH(sales[[#This Row],[date]])</f>
        <v>6</v>
      </c>
      <c r="F274" s="233">
        <v>46194</v>
      </c>
      <c r="G274" s="3" t="str">
        <f>VLOOKUP("*"&amp;sales[[#This Row],[Input]]&amp;"*",'Ref-List'!$A:$C,1,0)</f>
        <v>2937+211</v>
      </c>
      <c r="H274" s="2" t="str">
        <f>VLOOKUP("*"&amp;G274&amp;"*",'Ref-List'!$A:$C,3,0)</f>
        <v>濾水壺濾芯套裝</v>
      </c>
      <c r="I274" s="2">
        <v>211</v>
      </c>
      <c r="J274" s="2">
        <v>1</v>
      </c>
      <c r="K274" s="2">
        <v>142.19999999999999</v>
      </c>
      <c r="L274" s="2">
        <f>sales[[#This Row],[quantity]]*sales[[#This Row],[price]]</f>
        <v>142.19999999999999</v>
      </c>
      <c r="M274" s="9">
        <f>sales[[#This Row],[Total Price]]*3%</f>
        <v>4.2659999999999991</v>
      </c>
      <c r="N274" s="171">
        <f>sales[[#This Row],[Total Price]]*2.5%</f>
        <v>3.5549999999999997</v>
      </c>
      <c r="O274" s="9">
        <f>sales[[#This Row],[Total Price]]*1.5%</f>
        <v>2.1329999999999996</v>
      </c>
      <c r="R274" s="5" t="str">
        <f>_xlfn.CONCAT(sales[[#This Row],[Shop]]," ",sales[[#This Row],[Location]])</f>
        <v xml:space="preserve">TW YATA </v>
      </c>
    </row>
    <row r="275" spans="1:18" ht="16.5" customHeight="1">
      <c r="A275" s="7">
        <v>273</v>
      </c>
      <c r="B275" s="2" t="s">
        <v>996</v>
      </c>
      <c r="C275" s="5" t="s">
        <v>1015</v>
      </c>
      <c r="D275" s="2" t="e">
        <f ca="1">OFFSET(Roster!$B$7, MATCH(B275&amp;" "&amp;C275&amp;"*",Roster!$B$8:$B$20,0),DAY(sales[[#This Row],[date]]),1, 1)</f>
        <v>#N/A</v>
      </c>
      <c r="E275" s="2">
        <f>MONTH(sales[[#This Row],[date]])</f>
        <v>6</v>
      </c>
      <c r="F275" s="233">
        <v>46194</v>
      </c>
      <c r="G275" s="3" t="str">
        <f>VLOOKUP("*"&amp;sales[[#This Row],[Input]]&amp;"*",'Ref-List'!$A:$C,1,0)</f>
        <v>3733+3922</v>
      </c>
      <c r="H275" s="2" t="str">
        <f>VLOOKUP("*"&amp;G275&amp;"*",'Ref-List'!$A:$C,3,0)</f>
        <v>超濾龍頭式淨水器組合</v>
      </c>
      <c r="I275" s="2">
        <v>3922</v>
      </c>
      <c r="J275" s="2">
        <v>1</v>
      </c>
      <c r="K275" s="2">
        <v>1296</v>
      </c>
      <c r="L275" s="2">
        <f>sales[[#This Row],[quantity]]*sales[[#This Row],[price]]</f>
        <v>1296</v>
      </c>
      <c r="M275" s="9">
        <f>sales[[#This Row],[Total Price]]*3%</f>
        <v>38.879999999999995</v>
      </c>
      <c r="N275" s="171">
        <f>sales[[#This Row],[Total Price]]*2.5%</f>
        <v>32.4</v>
      </c>
      <c r="O275" s="9">
        <f>sales[[#This Row],[Total Price]]*1.5%</f>
        <v>19.439999999999998</v>
      </c>
      <c r="R275" s="5" t="str">
        <f>_xlfn.CONCAT(sales[[#This Row],[Shop]]," ",sales[[#This Row],[Location]])</f>
        <v xml:space="preserve">TW YATA </v>
      </c>
    </row>
    <row r="276" spans="1:18" ht="16.5" customHeight="1">
      <c r="A276" s="7">
        <v>274</v>
      </c>
      <c r="B276" s="2" t="s">
        <v>996</v>
      </c>
      <c r="C276" s="5" t="s">
        <v>1015</v>
      </c>
      <c r="D276" s="2" t="e">
        <f ca="1">OFFSET(Roster!$B$7, MATCH(B276&amp;" "&amp;C276&amp;"*",Roster!$B$8:$B$20,0),DAY(sales[[#This Row],[date]]),1, 1)</f>
        <v>#N/A</v>
      </c>
      <c r="E276" s="2">
        <f>MONTH(sales[[#This Row],[date]])</f>
        <v>6</v>
      </c>
      <c r="F276" s="233">
        <v>46194</v>
      </c>
      <c r="G276" s="3" t="str">
        <f>VLOOKUP("*"&amp;sales[[#This Row],[Input]]&amp;"*",'Ref-List'!$A:$C,1,0)</f>
        <v>3811+3911</v>
      </c>
      <c r="H276" s="2" t="str">
        <f>VLOOKUP("*"&amp;G276&amp;"*",'Ref-List'!$A:$C,3,0)</f>
        <v>超濾淨水器 + 濾芯套裝</v>
      </c>
      <c r="I276" s="2">
        <v>3911</v>
      </c>
      <c r="J276" s="2">
        <v>1</v>
      </c>
      <c r="K276" s="2">
        <v>406.4</v>
      </c>
      <c r="L276" s="2">
        <f>sales[[#This Row],[quantity]]*sales[[#This Row],[price]]</f>
        <v>406.4</v>
      </c>
      <c r="M276" s="9">
        <f>sales[[#This Row],[Total Price]]*3%</f>
        <v>12.191999999999998</v>
      </c>
      <c r="N276" s="171">
        <f>sales[[#This Row],[Total Price]]*2.5%</f>
        <v>10.16</v>
      </c>
      <c r="O276" s="9">
        <f>sales[[#This Row],[Total Price]]*1.5%</f>
        <v>6.0959999999999992</v>
      </c>
      <c r="R276" s="5" t="str">
        <f>_xlfn.CONCAT(sales[[#This Row],[Shop]]," ",sales[[#This Row],[Location]])</f>
        <v xml:space="preserve">TW YATA </v>
      </c>
    </row>
    <row r="277" spans="1:18" ht="16.5" customHeight="1">
      <c r="A277" s="7">
        <v>275</v>
      </c>
      <c r="B277" s="2" t="s">
        <v>996</v>
      </c>
      <c r="C277" s="5" t="s">
        <v>1015</v>
      </c>
      <c r="D277" s="2" t="e">
        <f ca="1">OFFSET(Roster!$B$7, MATCH(B277&amp;" "&amp;C277&amp;"*",Roster!$B$8:$B$20,0),DAY(sales[[#This Row],[date]]),1, 1)</f>
        <v>#N/A</v>
      </c>
      <c r="E277" s="2">
        <f>MONTH(sales[[#This Row],[date]])</f>
        <v>6</v>
      </c>
      <c r="F277" s="233">
        <v>46194</v>
      </c>
      <c r="G277" s="3" t="str">
        <f>VLOOKUP("*"&amp;sales[[#This Row],[Input]]&amp;"*",'Ref-List'!$A:$C,1,0)</f>
        <v>3811+3911</v>
      </c>
      <c r="H277" s="2" t="str">
        <f>VLOOKUP("*"&amp;G277&amp;"*",'Ref-List'!$A:$C,3,0)</f>
        <v>超濾淨水器 + 濾芯套裝</v>
      </c>
      <c r="I277" s="5" t="s">
        <v>981</v>
      </c>
      <c r="J277" s="2">
        <v>1</v>
      </c>
      <c r="K277" s="2">
        <v>598</v>
      </c>
      <c r="L277" s="2">
        <f>sales[[#This Row],[quantity]]*sales[[#This Row],[price]]</f>
        <v>598</v>
      </c>
      <c r="M277" s="9">
        <f>sales[[#This Row],[Total Price]]*3%</f>
        <v>17.939999999999998</v>
      </c>
      <c r="N277" s="171">
        <f>sales[[#This Row],[Total Price]]*2.5%</f>
        <v>14.950000000000001</v>
      </c>
      <c r="O277" s="9">
        <f>sales[[#This Row],[Total Price]]*1.5%</f>
        <v>8.9699999999999989</v>
      </c>
      <c r="R277" s="5" t="str">
        <f>_xlfn.CONCAT(sales[[#This Row],[Shop]]," ",sales[[#This Row],[Location]])</f>
        <v xml:space="preserve">TW YATA </v>
      </c>
    </row>
    <row r="278" spans="1:18" ht="16.5" customHeight="1">
      <c r="A278" s="7">
        <v>276</v>
      </c>
      <c r="B278" s="2" t="s">
        <v>996</v>
      </c>
      <c r="C278" s="5" t="s">
        <v>1015</v>
      </c>
      <c r="D278" s="2" t="e">
        <f ca="1">OFFSET(Roster!$B$7, MATCH(B278&amp;" "&amp;C278&amp;"*",Roster!$B$8:$B$20,0),DAY(sales[[#This Row],[date]]),1, 1)</f>
        <v>#N/A</v>
      </c>
      <c r="E278" s="2">
        <f>MONTH(sales[[#This Row],[date]])</f>
        <v>6</v>
      </c>
      <c r="F278" s="233">
        <v>46200</v>
      </c>
      <c r="G278" s="3" t="str">
        <f>VLOOKUP("*"&amp;sales[[#This Row],[Input]]&amp;"*",'Ref-List'!$A:$C,1,0)</f>
        <v>3733+3922</v>
      </c>
      <c r="H278" s="2" t="str">
        <f>VLOOKUP("*"&amp;G278&amp;"*",'Ref-List'!$A:$C,3,0)</f>
        <v>超濾龍頭式淨水器組合</v>
      </c>
      <c r="I278" s="2">
        <v>3922</v>
      </c>
      <c r="J278" s="2">
        <v>1</v>
      </c>
      <c r="K278" s="2">
        <v>1296</v>
      </c>
      <c r="L278" s="2">
        <f>sales[[#This Row],[quantity]]*sales[[#This Row],[price]]</f>
        <v>1296</v>
      </c>
      <c r="M278" s="9">
        <f>sales[[#This Row],[Total Price]]*3%</f>
        <v>38.879999999999995</v>
      </c>
      <c r="N278" s="171">
        <f>sales[[#This Row],[Total Price]]*2.5%</f>
        <v>32.4</v>
      </c>
      <c r="O278" s="9">
        <f>sales[[#This Row],[Total Price]]*1.5%</f>
        <v>19.439999999999998</v>
      </c>
      <c r="R278" s="5" t="str">
        <f>_xlfn.CONCAT(sales[[#This Row],[Shop]]," ",sales[[#This Row],[Location]])</f>
        <v xml:space="preserve">TW YATA </v>
      </c>
    </row>
    <row r="279" spans="1:18" ht="16.5" customHeight="1">
      <c r="A279" s="7">
        <v>277</v>
      </c>
      <c r="B279" s="2" t="s">
        <v>996</v>
      </c>
      <c r="C279" s="5" t="s">
        <v>1015</v>
      </c>
      <c r="D279" s="2" t="e">
        <f ca="1">OFFSET(Roster!$B$7, MATCH(B279&amp;" "&amp;C279&amp;"*",Roster!$B$8:$B$20,0),DAY(sales[[#This Row],[date]]),1, 1)</f>
        <v>#N/A</v>
      </c>
      <c r="E279" s="2">
        <f>MONTH(sales[[#This Row],[date]])</f>
        <v>6</v>
      </c>
      <c r="F279" s="233">
        <v>46200</v>
      </c>
      <c r="G279" s="3" t="str">
        <f>VLOOKUP("*"&amp;sales[[#This Row],[Input]]&amp;"*",'Ref-List'!$A:$C,1,0)</f>
        <v>3812+3922</v>
      </c>
      <c r="H279" s="2" t="str">
        <f>VLOOKUP("*"&amp;G279&amp;"*",'Ref-List'!$A:$C,3,0)</f>
        <v>超濾龍頭式淨水器組合</v>
      </c>
      <c r="I279" s="5" t="s">
        <v>980</v>
      </c>
      <c r="J279" s="2">
        <v>1</v>
      </c>
      <c r="K279" s="2">
        <v>1596</v>
      </c>
      <c r="L279" s="2">
        <f>sales[[#This Row],[quantity]]*sales[[#This Row],[price]]</f>
        <v>1596</v>
      </c>
      <c r="M279" s="9">
        <f>sales[[#This Row],[Total Price]]*3%</f>
        <v>47.879999999999995</v>
      </c>
      <c r="N279" s="171">
        <f>sales[[#This Row],[Total Price]]*2.5%</f>
        <v>39.900000000000006</v>
      </c>
      <c r="O279" s="9">
        <f>sales[[#This Row],[Total Price]]*1.5%</f>
        <v>23.939999999999998</v>
      </c>
      <c r="R279" s="5" t="str">
        <f>_xlfn.CONCAT(sales[[#This Row],[Shop]]," ",sales[[#This Row],[Location]])</f>
        <v xml:space="preserve">TW YATA </v>
      </c>
    </row>
    <row r="280" spans="1:18" ht="16.5" customHeight="1">
      <c r="A280" s="7">
        <v>278</v>
      </c>
      <c r="B280" s="2" t="s">
        <v>996</v>
      </c>
      <c r="C280" s="5" t="s">
        <v>1015</v>
      </c>
      <c r="D280" s="2" t="e">
        <f ca="1">OFFSET(Roster!$B$7, MATCH(B280&amp;" "&amp;C280&amp;"*",Roster!$B$8:$B$20,0),DAY(sales[[#This Row],[date]]),1, 1)</f>
        <v>#N/A</v>
      </c>
      <c r="E280" s="2">
        <f>MONTH(sales[[#This Row],[date]])</f>
        <v>6</v>
      </c>
      <c r="F280" s="233">
        <v>46200</v>
      </c>
      <c r="G280" s="3" t="str">
        <f>VLOOKUP("*"&amp;sales[[#This Row],[Input]]&amp;"*",'Ref-List'!$A:$C,1,0)</f>
        <v>3811+3911</v>
      </c>
      <c r="H280" s="2" t="str">
        <f>VLOOKUP("*"&amp;G280&amp;"*",'Ref-List'!$A:$C,3,0)</f>
        <v>超濾淨水器 + 濾芯套裝</v>
      </c>
      <c r="I280" s="5" t="s">
        <v>981</v>
      </c>
      <c r="J280" s="2">
        <v>1</v>
      </c>
      <c r="K280" s="2">
        <v>528</v>
      </c>
      <c r="L280" s="2">
        <f>sales[[#This Row],[quantity]]*sales[[#This Row],[price]]</f>
        <v>528</v>
      </c>
      <c r="M280" s="9">
        <f>sales[[#This Row],[Total Price]]*3%</f>
        <v>15.84</v>
      </c>
      <c r="N280" s="171">
        <f>sales[[#This Row],[Total Price]]*2.5%</f>
        <v>13.200000000000001</v>
      </c>
      <c r="O280" s="9">
        <f>sales[[#This Row],[Total Price]]*1.5%</f>
        <v>7.92</v>
      </c>
      <c r="R280" s="5" t="str">
        <f>_xlfn.CONCAT(sales[[#This Row],[Shop]]," ",sales[[#This Row],[Location]])</f>
        <v xml:space="preserve">TW YATA </v>
      </c>
    </row>
    <row r="281" spans="1:18" ht="16.5" customHeight="1">
      <c r="A281" s="7">
        <v>279</v>
      </c>
      <c r="B281" s="2" t="s">
        <v>996</v>
      </c>
      <c r="C281" s="5" t="s">
        <v>1015</v>
      </c>
      <c r="D281" s="2" t="e">
        <f ca="1">OFFSET(Roster!$B$7, MATCH(B281&amp;" "&amp;C281&amp;"*",Roster!$B$8:$B$20,0),DAY(sales[[#This Row],[date]]),1, 1)</f>
        <v>#N/A</v>
      </c>
      <c r="E281" s="2">
        <f>MONTH(sales[[#This Row],[date]])</f>
        <v>6</v>
      </c>
      <c r="F281" s="233">
        <v>46201</v>
      </c>
      <c r="G281" s="3" t="str">
        <f>VLOOKUP("*"&amp;sales[[#This Row],[Input]]&amp;"*",'Ref-List'!$A:$C,1,0)</f>
        <v>3812+3922</v>
      </c>
      <c r="H281" s="2" t="str">
        <f>VLOOKUP("*"&amp;G281&amp;"*",'Ref-List'!$A:$C,3,0)</f>
        <v>超濾龍頭式淨水器組合</v>
      </c>
      <c r="I281" s="5" t="s">
        <v>980</v>
      </c>
      <c r="J281" s="2">
        <v>1</v>
      </c>
      <c r="K281" s="2">
        <v>1586</v>
      </c>
      <c r="L281" s="2">
        <f>sales[[#This Row],[quantity]]*sales[[#This Row],[price]]</f>
        <v>1586</v>
      </c>
      <c r="M281" s="9">
        <f>sales[[#This Row],[Total Price]]*3%</f>
        <v>47.58</v>
      </c>
      <c r="N281" s="171">
        <f>sales[[#This Row],[Total Price]]*2.5%</f>
        <v>39.650000000000006</v>
      </c>
      <c r="O281" s="9">
        <f>sales[[#This Row],[Total Price]]*1.5%</f>
        <v>23.79</v>
      </c>
      <c r="R281" s="5" t="str">
        <f>_xlfn.CONCAT(sales[[#This Row],[Shop]]," ",sales[[#This Row],[Location]])</f>
        <v xml:space="preserve">TW YATA </v>
      </c>
    </row>
    <row r="282" spans="1:18" ht="16.5" customHeight="1">
      <c r="A282" s="7">
        <v>280</v>
      </c>
      <c r="B282" s="2" t="s">
        <v>996</v>
      </c>
      <c r="C282" s="5" t="s">
        <v>1015</v>
      </c>
      <c r="D282" s="2" t="e">
        <f ca="1">OFFSET(Roster!$B$7, MATCH(B282&amp;" "&amp;C282&amp;"*",Roster!$B$8:$B$20,0),DAY(sales[[#This Row],[date]]),1, 1)</f>
        <v>#N/A</v>
      </c>
      <c r="E282" s="2">
        <f>MONTH(sales[[#This Row],[date]])</f>
        <v>6</v>
      </c>
      <c r="F282" s="233">
        <v>46201</v>
      </c>
      <c r="G282" s="3" t="str">
        <f>VLOOKUP("*"&amp;sales[[#This Row],[Input]]&amp;"*",'Ref-List'!$A:$C,1,0)</f>
        <v>2937+211</v>
      </c>
      <c r="H282" s="2" t="str">
        <f>VLOOKUP("*"&amp;G282&amp;"*",'Ref-List'!$A:$C,3,0)</f>
        <v>濾水壺濾芯套裝</v>
      </c>
      <c r="I282" s="2">
        <v>211</v>
      </c>
      <c r="J282" s="2">
        <v>1</v>
      </c>
      <c r="K282" s="2">
        <v>426.6</v>
      </c>
      <c r="L282" s="2">
        <f>sales[[#This Row],[quantity]]*sales[[#This Row],[price]]</f>
        <v>426.6</v>
      </c>
      <c r="M282" s="9">
        <f>sales[[#This Row],[Total Price]]*3%</f>
        <v>12.798</v>
      </c>
      <c r="N282" s="171">
        <f>sales[[#This Row],[Total Price]]*2.5%</f>
        <v>10.665000000000001</v>
      </c>
      <c r="O282" s="9">
        <f>sales[[#This Row],[Total Price]]*1.5%</f>
        <v>6.399</v>
      </c>
      <c r="R282" s="5" t="str">
        <f>_xlfn.CONCAT(sales[[#This Row],[Shop]]," ",sales[[#This Row],[Location]])</f>
        <v xml:space="preserve">TW YATA </v>
      </c>
    </row>
    <row r="283" spans="1:18" ht="16.5" customHeight="1">
      <c r="A283" s="7">
        <v>281</v>
      </c>
      <c r="B283" s="2" t="s">
        <v>996</v>
      </c>
      <c r="C283" s="5" t="s">
        <v>1015</v>
      </c>
      <c r="D283" s="2" t="e">
        <f ca="1">OFFSET(Roster!$B$7, MATCH(B283&amp;" "&amp;C283&amp;"*",Roster!$B$8:$B$20,0),DAY(sales[[#This Row],[date]]),1, 1)</f>
        <v>#N/A</v>
      </c>
      <c r="E283" s="2">
        <f>MONTH(sales[[#This Row],[date]])</f>
        <v>6</v>
      </c>
      <c r="F283" s="233">
        <v>46201</v>
      </c>
      <c r="G283" s="3" t="str">
        <f>VLOOKUP("*"&amp;sales[[#This Row],[Input]]&amp;"*",'Ref-List'!$A:$C,1,0)</f>
        <v>6910+550</v>
      </c>
      <c r="H283" s="2" t="str">
        <f>VLOOKUP("*"&amp;G283&amp;"*",'Ref-List'!$A:$C,3,0)</f>
        <v>冷熱飲水機 + 濾心</v>
      </c>
      <c r="I283" s="2">
        <v>550</v>
      </c>
      <c r="J283" s="2">
        <v>1</v>
      </c>
      <c r="K283" s="2">
        <v>598</v>
      </c>
      <c r="L283" s="2">
        <f>sales[[#This Row],[quantity]]*sales[[#This Row],[price]]</f>
        <v>598</v>
      </c>
      <c r="M283" s="9">
        <f>sales[[#This Row],[Total Price]]*3%</f>
        <v>17.939999999999998</v>
      </c>
      <c r="N283" s="171">
        <f>sales[[#This Row],[Total Price]]*2.5%</f>
        <v>14.950000000000001</v>
      </c>
      <c r="O283" s="9">
        <f>sales[[#This Row],[Total Price]]*1.5%</f>
        <v>8.9699999999999989</v>
      </c>
      <c r="R283" s="5" t="str">
        <f>_xlfn.CONCAT(sales[[#This Row],[Shop]]," ",sales[[#This Row],[Location]])</f>
        <v xml:space="preserve">TW YATA </v>
      </c>
    </row>
    <row r="284" spans="1:18" ht="16.5" customHeight="1">
      <c r="A284" s="7">
        <v>282</v>
      </c>
      <c r="B284" s="2" t="s">
        <v>996</v>
      </c>
      <c r="C284" s="5" t="s">
        <v>1015</v>
      </c>
      <c r="D284" s="2" t="e">
        <f ca="1">OFFSET(Roster!$B$7, MATCH(B284&amp;" "&amp;C284&amp;"*",Roster!$B$8:$B$20,0),DAY(sales[[#This Row],[date]]),1, 1)</f>
        <v>#N/A</v>
      </c>
      <c r="E284" s="2">
        <f>MONTH(sales[[#This Row],[date]])</f>
        <v>6</v>
      </c>
      <c r="F284" s="233">
        <v>46201</v>
      </c>
      <c r="G284" s="3" t="str">
        <f>VLOOKUP("*"&amp;sales[[#This Row],[Input]]&amp;"*",'Ref-List'!$A:$C,1,0)</f>
        <v>6901+541</v>
      </c>
      <c r="H284" s="2" t="str">
        <f>VLOOKUP("*"&amp;G284&amp;"*",'Ref-List'!$A:$C,3,0)</f>
        <v>RO純淨飲水機 + 濾芯</v>
      </c>
      <c r="I284" s="2">
        <v>690</v>
      </c>
      <c r="J284" s="2">
        <v>1</v>
      </c>
      <c r="K284" s="2">
        <v>1968</v>
      </c>
      <c r="L284" s="2">
        <f>sales[[#This Row],[quantity]]*sales[[#This Row],[price]]</f>
        <v>1968</v>
      </c>
      <c r="M284" s="9">
        <f>sales[[#This Row],[Total Price]]*3%</f>
        <v>59.04</v>
      </c>
      <c r="N284" s="171">
        <f>sales[[#This Row],[Total Price]]*2.5%</f>
        <v>49.2</v>
      </c>
      <c r="O284" s="9">
        <f>sales[[#This Row],[Total Price]]*1.5%</f>
        <v>29.52</v>
      </c>
      <c r="R284" s="5" t="str">
        <f>_xlfn.CONCAT(sales[[#This Row],[Shop]]," ",sales[[#This Row],[Location]])</f>
        <v xml:space="preserve">TW YATA </v>
      </c>
    </row>
    <row r="285" spans="1:18" ht="16.5" customHeight="1">
      <c r="A285" s="7">
        <v>283</v>
      </c>
      <c r="B285" s="2" t="s">
        <v>998</v>
      </c>
      <c r="C285" s="5" t="s">
        <v>1000</v>
      </c>
      <c r="D285" s="2" t="str">
        <f ca="1">OFFSET(Roster!$B$7, MATCH(B285&amp;" "&amp;C285&amp;"*",Roster!$B$8:$B$20,0),DAY(sales[[#This Row],[date]]),1, 1)</f>
        <v>Joe</v>
      </c>
      <c r="E285" s="2">
        <f>MONTH(sales[[#This Row],[date]])</f>
        <v>6</v>
      </c>
      <c r="F285" s="233">
        <v>46178</v>
      </c>
      <c r="G285" s="3" t="e">
        <f>VLOOKUP("*"&amp;sales[[#This Row],[Input]]&amp;"*",'Ref-List'!$A:$C,1,0)</f>
        <v>#N/A</v>
      </c>
      <c r="H285" s="2" t="e">
        <f>VLOOKUP("*"&amp;G285&amp;"*",'Ref-List'!$A:$C,3,0)</f>
        <v>#N/A</v>
      </c>
      <c r="I285" s="2">
        <v>5910</v>
      </c>
      <c r="J285" s="2">
        <v>1</v>
      </c>
      <c r="K285" s="2">
        <v>998</v>
      </c>
      <c r="L285" s="2">
        <f>sales[[#This Row],[quantity]]*sales[[#This Row],[price]]</f>
        <v>998</v>
      </c>
      <c r="M285" s="9">
        <f>sales[[#This Row],[Total Price]]*3%</f>
        <v>29.939999999999998</v>
      </c>
      <c r="N285" s="171">
        <f>sales[[#This Row],[Total Price]]*2.5%</f>
        <v>24.950000000000003</v>
      </c>
      <c r="O285" s="9">
        <f>sales[[#This Row],[Total Price]]*1.5%</f>
        <v>14.969999999999999</v>
      </c>
      <c r="R285" s="5" t="str">
        <f>_xlfn.CONCAT(sales[[#This Row],[Shop]]," ",sales[[#This Row],[Location]])</f>
        <v>Tai Po Yata</v>
      </c>
    </row>
    <row r="286" spans="1:18" ht="16.5" customHeight="1">
      <c r="A286" s="7">
        <v>284</v>
      </c>
      <c r="B286" s="2" t="s">
        <v>998</v>
      </c>
      <c r="C286" s="5" t="s">
        <v>1000</v>
      </c>
      <c r="D286" s="2" t="str">
        <f ca="1">OFFSET(Roster!$B$7, MATCH(B286&amp;" "&amp;C286&amp;"*",Roster!$B$8:$B$20,0),DAY(sales[[#This Row],[date]]),1, 1)</f>
        <v>Joe</v>
      </c>
      <c r="E286" s="2">
        <f>MONTH(sales[[#This Row],[date]])</f>
        <v>6</v>
      </c>
      <c r="F286" s="233">
        <v>46178</v>
      </c>
      <c r="G286" s="3" t="e">
        <f>VLOOKUP("*"&amp;sales[[#This Row],[Input]]&amp;"*",'Ref-List'!$A:$C,1,0)</f>
        <v>#N/A</v>
      </c>
      <c r="H286" s="2" t="e">
        <f>VLOOKUP("*"&amp;G286&amp;"*",'Ref-List'!$A:$C,3,0)</f>
        <v>#N/A</v>
      </c>
      <c r="I286" s="2">
        <v>583</v>
      </c>
      <c r="J286" s="2">
        <v>1</v>
      </c>
      <c r="K286" s="2">
        <v>848</v>
      </c>
      <c r="L286" s="2">
        <f>sales[[#This Row],[quantity]]*sales[[#This Row],[price]]</f>
        <v>848</v>
      </c>
      <c r="M286" s="9">
        <f>sales[[#This Row],[Total Price]]*3%</f>
        <v>25.439999999999998</v>
      </c>
      <c r="N286" s="171">
        <f>sales[[#This Row],[Total Price]]*2.5%</f>
        <v>21.200000000000003</v>
      </c>
      <c r="O286" s="9">
        <f>sales[[#This Row],[Total Price]]*1.5%</f>
        <v>12.719999999999999</v>
      </c>
      <c r="R286" s="5" t="str">
        <f>_xlfn.CONCAT(sales[[#This Row],[Shop]]," ",sales[[#This Row],[Location]])</f>
        <v>Tai Po Yata</v>
      </c>
    </row>
    <row r="287" spans="1:18" ht="16.5" customHeight="1">
      <c r="A287" s="7">
        <v>285</v>
      </c>
      <c r="B287" s="2" t="s">
        <v>998</v>
      </c>
      <c r="C287" s="5" t="s">
        <v>1000</v>
      </c>
      <c r="D287" s="2" t="str">
        <f ca="1">OFFSET(Roster!$B$7, MATCH(B287&amp;" "&amp;C287&amp;"*",Roster!$B$8:$B$20,0),DAY(sales[[#This Row],[date]]),1, 1)</f>
        <v>Joe</v>
      </c>
      <c r="E287" s="2">
        <f>MONTH(sales[[#This Row],[date]])</f>
        <v>6</v>
      </c>
      <c r="F287" s="233">
        <v>46178</v>
      </c>
      <c r="G287" s="3" t="e">
        <f>VLOOKUP("*"&amp;sales[[#This Row],[Input]]&amp;"*",'Ref-List'!$A:$C,1,0)</f>
        <v>#N/A</v>
      </c>
      <c r="H287" s="2" t="e">
        <f>VLOOKUP("*"&amp;G287&amp;"*",'Ref-List'!$A:$C,3,0)</f>
        <v>#N/A</v>
      </c>
      <c r="I287" s="2">
        <v>6991</v>
      </c>
      <c r="J287" s="2">
        <v>1</v>
      </c>
      <c r="K287" s="2">
        <v>4288</v>
      </c>
      <c r="L287" s="2">
        <f>sales[[#This Row],[quantity]]*sales[[#This Row],[price]]</f>
        <v>4288</v>
      </c>
      <c r="M287" s="9">
        <f>sales[[#This Row],[Total Price]]*3%</f>
        <v>128.63999999999999</v>
      </c>
      <c r="N287" s="171">
        <f>sales[[#This Row],[Total Price]]*2.5%</f>
        <v>107.2</v>
      </c>
      <c r="O287" s="9">
        <f>sales[[#This Row],[Total Price]]*1.5%</f>
        <v>64.319999999999993</v>
      </c>
      <c r="R287" s="5" t="str">
        <f>_xlfn.CONCAT(sales[[#This Row],[Shop]]," ",sales[[#This Row],[Location]])</f>
        <v>Tai Po Yata</v>
      </c>
    </row>
    <row r="288" spans="1:18" ht="16.5" customHeight="1">
      <c r="A288" s="7">
        <v>286</v>
      </c>
      <c r="B288" s="2" t="s">
        <v>998</v>
      </c>
      <c r="C288" s="5" t="s">
        <v>1000</v>
      </c>
      <c r="D288" s="2" t="str">
        <f ca="1">OFFSET(Roster!$B$7, MATCH(B288&amp;" "&amp;C288&amp;"*",Roster!$B$8:$B$20,0),DAY(sales[[#This Row],[date]]),1, 1)</f>
        <v>Joe</v>
      </c>
      <c r="E288" s="2">
        <f>MONTH(sales[[#This Row],[date]])</f>
        <v>6</v>
      </c>
      <c r="F288" s="233">
        <v>46178</v>
      </c>
      <c r="G288" s="3" t="e">
        <f>VLOOKUP("*"&amp;sales[[#This Row],[Input]]&amp;"*",'Ref-List'!$A:$C,1,0)</f>
        <v>#N/A</v>
      </c>
      <c r="H288" s="2" t="e">
        <f>VLOOKUP("*"&amp;G288&amp;"*",'Ref-List'!$A:$C,3,0)</f>
        <v>#N/A</v>
      </c>
      <c r="I288" s="2">
        <v>9332</v>
      </c>
      <c r="J288" s="2">
        <v>1</v>
      </c>
      <c r="K288" s="2">
        <v>1288</v>
      </c>
      <c r="L288" s="2">
        <f>sales[[#This Row],[quantity]]*sales[[#This Row],[price]]</f>
        <v>1288</v>
      </c>
      <c r="M288" s="9">
        <f>sales[[#This Row],[Total Price]]*3%</f>
        <v>38.64</v>
      </c>
      <c r="N288" s="171">
        <f>sales[[#This Row],[Total Price]]*2.5%</f>
        <v>32.200000000000003</v>
      </c>
      <c r="O288" s="9">
        <f>sales[[#This Row],[Total Price]]*1.5%</f>
        <v>19.32</v>
      </c>
      <c r="R288" s="5" t="str">
        <f>_xlfn.CONCAT(sales[[#This Row],[Shop]]," ",sales[[#This Row],[Location]])</f>
        <v>Tai Po Yata</v>
      </c>
    </row>
    <row r="289" spans="1:18" ht="16.5" customHeight="1">
      <c r="A289" s="7">
        <v>287</v>
      </c>
      <c r="B289" s="2" t="s">
        <v>998</v>
      </c>
      <c r="C289" s="5" t="s">
        <v>1000</v>
      </c>
      <c r="D289" s="2" t="str">
        <f ca="1">OFFSET(Roster!$B$7, MATCH(B289&amp;" "&amp;C289&amp;"*",Roster!$B$8:$B$20,0),DAY(sales[[#This Row],[date]]),1, 1)</f>
        <v>Joe</v>
      </c>
      <c r="E289" s="2">
        <f>MONTH(sales[[#This Row],[date]])</f>
        <v>6</v>
      </c>
      <c r="F289" s="233">
        <v>46178</v>
      </c>
      <c r="G289" s="3" t="e">
        <f>VLOOKUP("*"&amp;sales[[#This Row],[Input]]&amp;"*",'Ref-List'!$A:$C,1,0)</f>
        <v>#N/A</v>
      </c>
      <c r="H289" s="2" t="e">
        <f>VLOOKUP("*"&amp;G289&amp;"*",'Ref-List'!$A:$C,3,0)</f>
        <v>#N/A</v>
      </c>
      <c r="I289" s="2">
        <v>833</v>
      </c>
      <c r="J289" s="2">
        <v>1</v>
      </c>
      <c r="K289" s="2">
        <v>1288</v>
      </c>
      <c r="L289" s="2">
        <f>sales[[#This Row],[quantity]]*sales[[#This Row],[price]]</f>
        <v>1288</v>
      </c>
      <c r="M289" s="9">
        <f>sales[[#This Row],[Total Price]]*3%</f>
        <v>38.64</v>
      </c>
      <c r="N289" s="171">
        <f>sales[[#This Row],[Total Price]]*2.5%</f>
        <v>32.200000000000003</v>
      </c>
      <c r="O289" s="9">
        <f>sales[[#This Row],[Total Price]]*1.5%</f>
        <v>19.32</v>
      </c>
      <c r="R289" s="5" t="str">
        <f>_xlfn.CONCAT(sales[[#This Row],[Shop]]," ",sales[[#This Row],[Location]])</f>
        <v>Tai Po Yata</v>
      </c>
    </row>
    <row r="290" spans="1:18" ht="16.5" customHeight="1">
      <c r="A290" s="7">
        <v>288</v>
      </c>
      <c r="B290" s="2" t="s">
        <v>998</v>
      </c>
      <c r="C290" s="5" t="s">
        <v>1000</v>
      </c>
      <c r="D290" s="2" t="str">
        <f ca="1">OFFSET(Roster!$B$7, MATCH(B290&amp;" "&amp;C290&amp;"*",Roster!$B$8:$B$20,0),DAY(sales[[#This Row],[date]]),1, 1)</f>
        <v>Joe</v>
      </c>
      <c r="E290" s="2">
        <f>MONTH(sales[[#This Row],[date]])</f>
        <v>6</v>
      </c>
      <c r="F290" s="233">
        <v>46178</v>
      </c>
      <c r="G290" s="3" t="e">
        <f>VLOOKUP("*"&amp;sales[[#This Row],[Input]]&amp;"*",'Ref-List'!$A:$C,1,0)</f>
        <v>#N/A</v>
      </c>
      <c r="H290" s="2" t="e">
        <f>VLOOKUP("*"&amp;G290&amp;"*",'Ref-List'!$A:$C,3,0)</f>
        <v>#N/A</v>
      </c>
      <c r="I290" s="2">
        <v>6902</v>
      </c>
      <c r="J290" s="2">
        <v>1</v>
      </c>
      <c r="K290" s="2">
        <v>2688</v>
      </c>
      <c r="L290" s="2">
        <f>sales[[#This Row],[quantity]]*sales[[#This Row],[price]]</f>
        <v>2688</v>
      </c>
      <c r="M290" s="9">
        <f>sales[[#This Row],[Total Price]]*3%</f>
        <v>80.64</v>
      </c>
      <c r="N290" s="171">
        <f>sales[[#This Row],[Total Price]]*2.5%</f>
        <v>67.2</v>
      </c>
      <c r="O290" s="9">
        <f>sales[[#This Row],[Total Price]]*1.5%</f>
        <v>40.32</v>
      </c>
      <c r="R290" s="5" t="str">
        <f>_xlfn.CONCAT(sales[[#This Row],[Shop]]," ",sales[[#This Row],[Location]])</f>
        <v>Tai Po Yata</v>
      </c>
    </row>
    <row r="291" spans="1:18" ht="16.5" customHeight="1">
      <c r="A291" s="7">
        <v>289</v>
      </c>
      <c r="B291" s="2" t="s">
        <v>998</v>
      </c>
      <c r="C291" s="5" t="s">
        <v>1000</v>
      </c>
      <c r="D291" s="2" t="str">
        <f ca="1">OFFSET(Roster!$B$7, MATCH(B291&amp;" "&amp;C291&amp;"*",Roster!$B$8:$B$20,0),DAY(sales[[#This Row],[date]]),1, 1)</f>
        <v>Joe</v>
      </c>
      <c r="E291" s="2">
        <f>MONTH(sales[[#This Row],[date]])</f>
        <v>6</v>
      </c>
      <c r="F291" s="233">
        <v>46178</v>
      </c>
      <c r="G291" s="3" t="str">
        <f>VLOOKUP("*"&amp;sales[[#This Row],[Input]]&amp;"*",'Ref-List'!$A:$C,1,0)</f>
        <v>3811+3911</v>
      </c>
      <c r="H291" s="2" t="str">
        <f>VLOOKUP("*"&amp;G291&amp;"*",'Ref-List'!$A:$C,3,0)</f>
        <v>超濾淨水器 + 濾芯套裝</v>
      </c>
      <c r="I291" s="5" t="s">
        <v>981</v>
      </c>
      <c r="J291" s="2">
        <v>1</v>
      </c>
      <c r="K291" s="2">
        <v>528</v>
      </c>
      <c r="L291" s="2">
        <f>sales[[#This Row],[quantity]]*sales[[#This Row],[price]]</f>
        <v>528</v>
      </c>
      <c r="M291" s="9">
        <f>sales[[#This Row],[Total Price]]*3%</f>
        <v>15.84</v>
      </c>
      <c r="N291" s="171">
        <f>sales[[#This Row],[Total Price]]*2.5%</f>
        <v>13.200000000000001</v>
      </c>
      <c r="O291" s="9">
        <f>sales[[#This Row],[Total Price]]*1.5%</f>
        <v>7.92</v>
      </c>
      <c r="R291" s="5" t="str">
        <f>_xlfn.CONCAT(sales[[#This Row],[Shop]]," ",sales[[#This Row],[Location]])</f>
        <v>Tai Po Yata</v>
      </c>
    </row>
    <row r="292" spans="1:18" ht="16.5" customHeight="1">
      <c r="A292" s="7">
        <v>290</v>
      </c>
      <c r="B292" s="2" t="s">
        <v>998</v>
      </c>
      <c r="C292" s="5" t="s">
        <v>1000</v>
      </c>
      <c r="D292" s="2" t="str">
        <f ca="1">OFFSET(Roster!$B$7, MATCH(B292&amp;" "&amp;C292&amp;"*",Roster!$B$8:$B$20,0),DAY(sales[[#This Row],[date]]),1, 1)</f>
        <v>Joe</v>
      </c>
      <c r="E292" s="2">
        <f>MONTH(sales[[#This Row],[date]])</f>
        <v>6</v>
      </c>
      <c r="F292" s="233">
        <v>46179</v>
      </c>
      <c r="G292" s="3" t="str">
        <f>VLOOKUP("*"&amp;sales[[#This Row],[Input]]&amp;"*",'Ref-List'!$A:$C,1,0)</f>
        <v>805/97</v>
      </c>
      <c r="H292" s="2" t="str">
        <f>VLOOKUP("*"&amp;G292&amp;"*",'Ref-List'!$A:$C,3,0)</f>
        <v>複合式濾芯 CBPA</v>
      </c>
      <c r="I292" s="2">
        <v>805</v>
      </c>
      <c r="J292" s="2">
        <v>1</v>
      </c>
      <c r="K292" s="2">
        <v>498</v>
      </c>
      <c r="L292" s="2">
        <f>sales[[#This Row],[quantity]]*sales[[#This Row],[price]]</f>
        <v>498</v>
      </c>
      <c r="M292" s="9">
        <f>sales[[#This Row],[Total Price]]*3%</f>
        <v>14.94</v>
      </c>
      <c r="N292" s="171">
        <f>sales[[#This Row],[Total Price]]*2.5%</f>
        <v>12.450000000000001</v>
      </c>
      <c r="O292" s="9">
        <f>sales[[#This Row],[Total Price]]*1.5%</f>
        <v>7.47</v>
      </c>
      <c r="R292" s="5" t="str">
        <f>_xlfn.CONCAT(sales[[#This Row],[Shop]]," ",sales[[#This Row],[Location]])</f>
        <v>Tai Po Yata</v>
      </c>
    </row>
    <row r="293" spans="1:18" ht="16.5" customHeight="1">
      <c r="A293" s="7">
        <v>291</v>
      </c>
      <c r="B293" s="2" t="s">
        <v>998</v>
      </c>
      <c r="C293" s="5" t="s">
        <v>1000</v>
      </c>
      <c r="D293" s="2" t="str">
        <f ca="1">OFFSET(Roster!$B$7, MATCH(B293&amp;" "&amp;C293&amp;"*",Roster!$B$8:$B$20,0),DAY(sales[[#This Row],[date]]),1, 1)</f>
        <v>Joe</v>
      </c>
      <c r="E293" s="2">
        <f>MONTH(sales[[#This Row],[date]])</f>
        <v>6</v>
      </c>
      <c r="F293" s="233">
        <v>46179</v>
      </c>
      <c r="G293" s="3" t="str">
        <f>VLOOKUP("*"&amp;sales[[#This Row],[Input]]&amp;"*",'Ref-List'!$A:$C,1,0)</f>
        <v>806/97</v>
      </c>
      <c r="H293" s="2" t="str">
        <f>VLOOKUP("*"&amp;G293&amp;"*",'Ref-List'!$A:$C,3,0)</f>
        <v>CB長效濾芯</v>
      </c>
      <c r="I293" s="2">
        <v>806</v>
      </c>
      <c r="J293" s="2">
        <v>1</v>
      </c>
      <c r="K293" s="2">
        <v>498</v>
      </c>
      <c r="L293" s="2">
        <f>sales[[#This Row],[quantity]]*sales[[#This Row],[price]]</f>
        <v>498</v>
      </c>
      <c r="M293" s="9">
        <f>sales[[#This Row],[Total Price]]*3%</f>
        <v>14.94</v>
      </c>
      <c r="N293" s="171">
        <f>sales[[#This Row],[Total Price]]*2.5%</f>
        <v>12.450000000000001</v>
      </c>
      <c r="O293" s="9">
        <f>sales[[#This Row],[Total Price]]*1.5%</f>
        <v>7.47</v>
      </c>
      <c r="R293" s="5" t="str">
        <f>_xlfn.CONCAT(sales[[#This Row],[Shop]]," ",sales[[#This Row],[Location]])</f>
        <v>Tai Po Yata</v>
      </c>
    </row>
    <row r="294" spans="1:18" ht="16.5" customHeight="1">
      <c r="A294" s="7">
        <v>292</v>
      </c>
      <c r="B294" s="2" t="s">
        <v>998</v>
      </c>
      <c r="C294" s="5" t="s">
        <v>1000</v>
      </c>
      <c r="D294" s="2" t="str">
        <f ca="1">OFFSET(Roster!$B$7, MATCH(B294&amp;" "&amp;C294&amp;"*",Roster!$B$8:$B$20,0),DAY(sales[[#This Row],[date]]),1, 1)</f>
        <v>Joe</v>
      </c>
      <c r="E294" s="2">
        <f>MONTH(sales[[#This Row],[date]])</f>
        <v>6</v>
      </c>
      <c r="F294" s="233">
        <v>46179</v>
      </c>
      <c r="G294" s="3" t="str">
        <f>VLOOKUP("*"&amp;sales[[#This Row],[Input]]&amp;"*",'Ref-List'!$A:$C,1,0)</f>
        <v>6910+550</v>
      </c>
      <c r="H294" s="2" t="str">
        <f>VLOOKUP("*"&amp;G294&amp;"*",'Ref-List'!$A:$C,3,0)</f>
        <v>冷熱飲水機 + 濾心</v>
      </c>
      <c r="I294" s="2">
        <v>550</v>
      </c>
      <c r="J294" s="2">
        <v>1</v>
      </c>
      <c r="K294" s="2">
        <v>598</v>
      </c>
      <c r="L294" s="2">
        <f>sales[[#This Row],[quantity]]*sales[[#This Row],[price]]</f>
        <v>598</v>
      </c>
      <c r="M294" s="9">
        <f>sales[[#This Row],[Total Price]]*3%</f>
        <v>17.939999999999998</v>
      </c>
      <c r="N294" s="171">
        <f>sales[[#This Row],[Total Price]]*2.5%</f>
        <v>14.950000000000001</v>
      </c>
      <c r="O294" s="9">
        <f>sales[[#This Row],[Total Price]]*1.5%</f>
        <v>8.9699999999999989</v>
      </c>
      <c r="R294" s="5" t="str">
        <f>_xlfn.CONCAT(sales[[#This Row],[Shop]]," ",sales[[#This Row],[Location]])</f>
        <v>Tai Po Yata</v>
      </c>
    </row>
    <row r="295" spans="1:18" ht="16.5" customHeight="1">
      <c r="A295" s="7">
        <v>293</v>
      </c>
      <c r="B295" s="2" t="s">
        <v>998</v>
      </c>
      <c r="C295" s="5" t="s">
        <v>1000</v>
      </c>
      <c r="D295" s="2" t="str">
        <f ca="1">OFFSET(Roster!$B$7, MATCH(B295&amp;" "&amp;C295&amp;"*",Roster!$B$8:$B$20,0),DAY(sales[[#This Row],[date]]),1, 1)</f>
        <v>Joe</v>
      </c>
      <c r="E295" s="2">
        <f>MONTH(sales[[#This Row],[date]])</f>
        <v>6</v>
      </c>
      <c r="F295" s="233">
        <v>46179</v>
      </c>
      <c r="G295" s="3" t="e">
        <f>VLOOKUP("*"&amp;sales[[#This Row],[Input]]&amp;"*",'Ref-List'!$A:$C,1,0)</f>
        <v>#N/A</v>
      </c>
      <c r="H295" s="2" t="e">
        <f>VLOOKUP("*"&amp;G295&amp;"*",'Ref-List'!$A:$C,3,0)</f>
        <v>#N/A</v>
      </c>
      <c r="I295" s="2">
        <v>6912</v>
      </c>
      <c r="J295" s="2">
        <v>1</v>
      </c>
      <c r="K295" s="2">
        <v>2988</v>
      </c>
      <c r="L295" s="2">
        <f>sales[[#This Row],[quantity]]*sales[[#This Row],[price]]</f>
        <v>2988</v>
      </c>
      <c r="M295" s="9">
        <f>sales[[#This Row],[Total Price]]*3%</f>
        <v>89.64</v>
      </c>
      <c r="N295" s="171">
        <f>sales[[#This Row],[Total Price]]*2.5%</f>
        <v>74.7</v>
      </c>
      <c r="O295" s="9">
        <f>sales[[#This Row],[Total Price]]*1.5%</f>
        <v>44.82</v>
      </c>
      <c r="R295" s="5" t="str">
        <f>_xlfn.CONCAT(sales[[#This Row],[Shop]]," ",sales[[#This Row],[Location]])</f>
        <v>Tai Po Yata</v>
      </c>
    </row>
    <row r="296" spans="1:18" ht="16.5" customHeight="1">
      <c r="A296" s="7">
        <v>294</v>
      </c>
      <c r="B296" s="2" t="s">
        <v>998</v>
      </c>
      <c r="C296" s="5" t="s">
        <v>1000</v>
      </c>
      <c r="D296" s="2" t="str">
        <f ca="1">OFFSET(Roster!$B$7, MATCH(B296&amp;" "&amp;C296&amp;"*",Roster!$B$8:$B$20,0),DAY(sales[[#This Row],[date]]),1, 1)</f>
        <v>Joe</v>
      </c>
      <c r="E296" s="2">
        <f>MONTH(sales[[#This Row],[date]])</f>
        <v>6</v>
      </c>
      <c r="F296" s="233">
        <v>46179</v>
      </c>
      <c r="G296" s="3" t="str">
        <f>VLOOKUP("*"&amp;sales[[#This Row],[Input]]&amp;"*",'Ref-List'!$A:$C,1,0)</f>
        <v>3811+3911</v>
      </c>
      <c r="H296" s="2" t="str">
        <f>VLOOKUP("*"&amp;G296&amp;"*",'Ref-List'!$A:$C,3,0)</f>
        <v>超濾淨水器 + 濾芯套裝</v>
      </c>
      <c r="I296" s="2">
        <v>3911</v>
      </c>
      <c r="J296" s="2">
        <v>1</v>
      </c>
      <c r="K296" s="2">
        <v>406.4</v>
      </c>
      <c r="L296" s="2">
        <f>sales[[#This Row],[quantity]]*sales[[#This Row],[price]]</f>
        <v>406.4</v>
      </c>
      <c r="M296" s="9">
        <f>sales[[#This Row],[Total Price]]*3%</f>
        <v>12.191999999999998</v>
      </c>
      <c r="N296" s="171">
        <f>sales[[#This Row],[Total Price]]*2.5%</f>
        <v>10.16</v>
      </c>
      <c r="O296" s="9">
        <f>sales[[#This Row],[Total Price]]*1.5%</f>
        <v>6.0959999999999992</v>
      </c>
      <c r="R296" s="5" t="str">
        <f>_xlfn.CONCAT(sales[[#This Row],[Shop]]," ",sales[[#This Row],[Location]])</f>
        <v>Tai Po Yata</v>
      </c>
    </row>
    <row r="297" spans="1:18" ht="16.5" customHeight="1">
      <c r="A297" s="7">
        <v>295</v>
      </c>
      <c r="B297" s="2" t="s">
        <v>998</v>
      </c>
      <c r="C297" s="5" t="s">
        <v>1000</v>
      </c>
      <c r="D297" s="2" t="str">
        <f ca="1">OFFSET(Roster!$B$7, MATCH(B297&amp;" "&amp;C297&amp;"*",Roster!$B$8:$B$20,0),DAY(sales[[#This Row],[date]]),1, 1)</f>
        <v>Joe</v>
      </c>
      <c r="E297" s="2">
        <f>MONTH(sales[[#This Row],[date]])</f>
        <v>6</v>
      </c>
      <c r="F297" s="233">
        <v>46179</v>
      </c>
      <c r="G297" s="3" t="e">
        <f>VLOOKUP("*"&amp;sales[[#This Row],[Input]]&amp;"*",'Ref-List'!$A:$C,1,0)</f>
        <v>#N/A</v>
      </c>
      <c r="H297" s="2" t="e">
        <f>VLOOKUP("*"&amp;G297&amp;"*",'Ref-List'!$A:$C,3,0)</f>
        <v>#N/A</v>
      </c>
      <c r="I297" s="2">
        <v>1216</v>
      </c>
      <c r="J297" s="2">
        <v>1</v>
      </c>
      <c r="K297" s="2">
        <v>1088</v>
      </c>
      <c r="L297" s="2">
        <f>sales[[#This Row],[quantity]]*sales[[#This Row],[price]]</f>
        <v>1088</v>
      </c>
      <c r="M297" s="9">
        <f>sales[[#This Row],[Total Price]]*3%</f>
        <v>32.64</v>
      </c>
      <c r="N297" s="171">
        <f>sales[[#This Row],[Total Price]]*2.5%</f>
        <v>27.200000000000003</v>
      </c>
      <c r="O297" s="9">
        <f>sales[[#This Row],[Total Price]]*1.5%</f>
        <v>16.32</v>
      </c>
      <c r="R297" s="5" t="str">
        <f>_xlfn.CONCAT(sales[[#This Row],[Shop]]," ",sales[[#This Row],[Location]])</f>
        <v>Tai Po Yata</v>
      </c>
    </row>
    <row r="298" spans="1:18" ht="16.5" customHeight="1">
      <c r="A298" s="7">
        <v>296</v>
      </c>
      <c r="B298" s="2" t="s">
        <v>998</v>
      </c>
      <c r="C298" s="5" t="s">
        <v>1000</v>
      </c>
      <c r="D298" s="2" t="str">
        <f ca="1">OFFSET(Roster!$B$7, MATCH(B298&amp;" "&amp;C298&amp;"*",Roster!$B$8:$B$20,0),DAY(sales[[#This Row],[date]]),1, 1)</f>
        <v>Joe</v>
      </c>
      <c r="E298" s="2">
        <f>MONTH(sales[[#This Row],[date]])</f>
        <v>6</v>
      </c>
      <c r="F298" s="233">
        <v>46180</v>
      </c>
      <c r="G298" s="3" t="str">
        <f>VLOOKUP("*"&amp;sales[[#This Row],[Input]]&amp;"*",'Ref-List'!$A:$C,1,0)</f>
        <v>3811+3911</v>
      </c>
      <c r="H298" s="2" t="str">
        <f>VLOOKUP("*"&amp;G298&amp;"*",'Ref-List'!$A:$C,3,0)</f>
        <v>超濾淨水器 + 濾芯套裝</v>
      </c>
      <c r="I298" s="5" t="s">
        <v>981</v>
      </c>
      <c r="J298" s="2">
        <v>1</v>
      </c>
      <c r="K298" s="2">
        <v>528</v>
      </c>
      <c r="L298" s="2">
        <f>sales[[#This Row],[quantity]]*sales[[#This Row],[price]]</f>
        <v>528</v>
      </c>
      <c r="M298" s="9">
        <f>sales[[#This Row],[Total Price]]*3%</f>
        <v>15.84</v>
      </c>
      <c r="N298" s="171">
        <f>sales[[#This Row],[Total Price]]*2.5%</f>
        <v>13.200000000000001</v>
      </c>
      <c r="O298" s="9">
        <f>sales[[#This Row],[Total Price]]*1.5%</f>
        <v>7.92</v>
      </c>
      <c r="R298" s="5" t="str">
        <f>_xlfn.CONCAT(sales[[#This Row],[Shop]]," ",sales[[#This Row],[Location]])</f>
        <v>Tai Po Yata</v>
      </c>
    </row>
    <row r="299" spans="1:18" ht="16.5" customHeight="1">
      <c r="A299" s="7">
        <v>297</v>
      </c>
      <c r="B299" s="2" t="s">
        <v>998</v>
      </c>
      <c r="C299" s="5" t="s">
        <v>1000</v>
      </c>
      <c r="D299" s="2" t="str">
        <f ca="1">OFFSET(Roster!$B$7, MATCH(B299&amp;" "&amp;C299&amp;"*",Roster!$B$8:$B$20,0),DAY(sales[[#This Row],[date]]),1, 1)</f>
        <v>Joe</v>
      </c>
      <c r="E299" s="2">
        <f>MONTH(sales[[#This Row],[date]])</f>
        <v>6</v>
      </c>
      <c r="F299" s="233">
        <v>46180</v>
      </c>
      <c r="G299" s="3" t="str">
        <f>VLOOKUP("*"&amp;sales[[#This Row],[Input]]&amp;"*",'Ref-List'!$A:$C,1,0)</f>
        <v>3811/00</v>
      </c>
      <c r="H299" s="2" t="str">
        <f>VLOOKUP("*"&amp;G299&amp;"*",'Ref-List'!$A:$C,3,0)</f>
        <v>水龍頭濾水器</v>
      </c>
      <c r="I299" s="2">
        <v>3811</v>
      </c>
      <c r="J299" s="2">
        <v>1</v>
      </c>
      <c r="K299" s="2">
        <v>406.4</v>
      </c>
      <c r="L299" s="2">
        <f>sales[[#This Row],[quantity]]*sales[[#This Row],[price]]</f>
        <v>406.4</v>
      </c>
      <c r="M299" s="9">
        <f>sales[[#This Row],[Total Price]]*3%</f>
        <v>12.191999999999998</v>
      </c>
      <c r="N299" s="171">
        <f>sales[[#This Row],[Total Price]]*2.5%</f>
        <v>10.16</v>
      </c>
      <c r="O299" s="9">
        <f>sales[[#This Row],[Total Price]]*1.5%</f>
        <v>6.0959999999999992</v>
      </c>
      <c r="R299" s="5" t="str">
        <f>_xlfn.CONCAT(sales[[#This Row],[Shop]]," ",sales[[#This Row],[Location]])</f>
        <v>Tai Po Yata</v>
      </c>
    </row>
    <row r="300" spans="1:18" ht="16.5" customHeight="1">
      <c r="A300" s="7">
        <v>298</v>
      </c>
      <c r="B300" s="2" t="s">
        <v>998</v>
      </c>
      <c r="C300" s="5" t="s">
        <v>1000</v>
      </c>
      <c r="D300" s="2" t="str">
        <f ca="1">OFFSET(Roster!$B$7, MATCH(B300&amp;" "&amp;C300&amp;"*",Roster!$B$8:$B$20,0),DAY(sales[[#This Row],[date]]),1, 1)</f>
        <v>Joe</v>
      </c>
      <c r="E300" s="2">
        <f>MONTH(sales[[#This Row],[date]])</f>
        <v>6</v>
      </c>
      <c r="F300" s="233">
        <v>46180</v>
      </c>
      <c r="G300" s="3" t="e">
        <f>VLOOKUP("*"&amp;sales[[#This Row],[Input]]&amp;"*",'Ref-List'!$A:$C,1,0)</f>
        <v>#N/A</v>
      </c>
      <c r="H300" s="2" t="e">
        <f>VLOOKUP("*"&amp;G300&amp;"*",'Ref-List'!$A:$C,3,0)</f>
        <v>#N/A</v>
      </c>
      <c r="I300" s="2">
        <v>6902</v>
      </c>
      <c r="J300" s="2">
        <v>1</v>
      </c>
      <c r="K300" s="2">
        <v>2688</v>
      </c>
      <c r="L300" s="2">
        <f>sales[[#This Row],[quantity]]*sales[[#This Row],[price]]</f>
        <v>2688</v>
      </c>
      <c r="M300" s="9">
        <f>sales[[#This Row],[Total Price]]*3%</f>
        <v>80.64</v>
      </c>
      <c r="N300" s="171">
        <f>sales[[#This Row],[Total Price]]*2.5%</f>
        <v>67.2</v>
      </c>
      <c r="O300" s="9">
        <f>sales[[#This Row],[Total Price]]*1.5%</f>
        <v>40.32</v>
      </c>
      <c r="R300" s="5" t="str">
        <f>_xlfn.CONCAT(sales[[#This Row],[Shop]]," ",sales[[#This Row],[Location]])</f>
        <v>Tai Po Yata</v>
      </c>
    </row>
    <row r="301" spans="1:18" ht="16.5" customHeight="1">
      <c r="A301" s="7">
        <v>299</v>
      </c>
      <c r="B301" s="2" t="s">
        <v>998</v>
      </c>
      <c r="C301" s="5" t="s">
        <v>1000</v>
      </c>
      <c r="D301" s="2" t="str">
        <f ca="1">OFFSET(Roster!$B$7, MATCH(B301&amp;" "&amp;C301&amp;"*",Roster!$B$8:$B$20,0),DAY(sales[[#This Row],[date]]),1, 1)</f>
        <v>Joe</v>
      </c>
      <c r="E301" s="2">
        <f>MONTH(sales[[#This Row],[date]])</f>
        <v>6</v>
      </c>
      <c r="F301" s="233">
        <v>46180</v>
      </c>
      <c r="G301" s="3" t="e">
        <f>VLOOKUP("*"&amp;sales[[#This Row],[Input]]&amp;"*",'Ref-List'!$A:$C,1,0)</f>
        <v>#N/A</v>
      </c>
      <c r="H301" s="2" t="e">
        <f>VLOOKUP("*"&amp;G301&amp;"*",'Ref-List'!$A:$C,3,0)</f>
        <v>#N/A</v>
      </c>
      <c r="I301" s="2">
        <v>583</v>
      </c>
      <c r="J301" s="2">
        <v>1</v>
      </c>
      <c r="K301" s="2">
        <v>848</v>
      </c>
      <c r="L301" s="2">
        <f>sales[[#This Row],[quantity]]*sales[[#This Row],[price]]</f>
        <v>848</v>
      </c>
      <c r="M301" s="9">
        <f>sales[[#This Row],[Total Price]]*3%</f>
        <v>25.439999999999998</v>
      </c>
      <c r="N301" s="171">
        <f>sales[[#This Row],[Total Price]]*2.5%</f>
        <v>21.200000000000003</v>
      </c>
      <c r="O301" s="9">
        <f>sales[[#This Row],[Total Price]]*1.5%</f>
        <v>12.719999999999999</v>
      </c>
      <c r="R301" s="5" t="str">
        <f>_xlfn.CONCAT(sales[[#This Row],[Shop]]," ",sales[[#This Row],[Location]])</f>
        <v>Tai Po Yata</v>
      </c>
    </row>
    <row r="302" spans="1:18" ht="16.5" customHeight="1">
      <c r="A302" s="7">
        <v>300</v>
      </c>
      <c r="B302" s="2" t="s">
        <v>998</v>
      </c>
      <c r="C302" s="5" t="s">
        <v>1000</v>
      </c>
      <c r="D302" s="2" t="str">
        <f ca="1">OFFSET(Roster!$B$7, MATCH(B302&amp;" "&amp;C302&amp;"*",Roster!$B$8:$B$20,0),DAY(sales[[#This Row],[date]]),1, 1)</f>
        <v>Joe</v>
      </c>
      <c r="E302" s="2">
        <f>MONTH(sales[[#This Row],[date]])</f>
        <v>6</v>
      </c>
      <c r="F302" s="233">
        <v>46180</v>
      </c>
      <c r="G302" s="3" t="e">
        <f>VLOOKUP("*"&amp;sales[[#This Row],[Input]]&amp;"*",'Ref-List'!$A:$C,1,0)</f>
        <v>#N/A</v>
      </c>
      <c r="H302" s="2" t="e">
        <f>VLOOKUP("*"&amp;G302&amp;"*",'Ref-List'!$A:$C,3,0)</f>
        <v>#N/A</v>
      </c>
      <c r="I302" s="5" t="s">
        <v>1001</v>
      </c>
      <c r="J302" s="2">
        <v>1</v>
      </c>
      <c r="K302" s="2">
        <v>268</v>
      </c>
      <c r="L302" s="2">
        <f>sales[[#This Row],[quantity]]*sales[[#This Row],[price]]</f>
        <v>268</v>
      </c>
      <c r="M302" s="9">
        <f>sales[[#This Row],[Total Price]]*3%</f>
        <v>8.0399999999999991</v>
      </c>
      <c r="N302" s="171">
        <f>sales[[#This Row],[Total Price]]*2.5%</f>
        <v>6.7</v>
      </c>
      <c r="O302" s="9">
        <f>sales[[#This Row],[Total Price]]*1.5%</f>
        <v>4.0199999999999996</v>
      </c>
      <c r="R302" s="5" t="str">
        <f>_xlfn.CONCAT(sales[[#This Row],[Shop]]," ",sales[[#This Row],[Location]])</f>
        <v>Tai Po Yata</v>
      </c>
    </row>
    <row r="303" spans="1:18" ht="16.5" customHeight="1">
      <c r="A303" s="7">
        <v>301</v>
      </c>
      <c r="B303" s="2" t="s">
        <v>998</v>
      </c>
      <c r="C303" s="5" t="s">
        <v>1000</v>
      </c>
      <c r="D303" s="2" t="str">
        <f ca="1">OFFSET(Roster!$B$7, MATCH(B303&amp;" "&amp;C303&amp;"*",Roster!$B$8:$B$20,0),DAY(sales[[#This Row],[date]]),1, 1)</f>
        <v>Joe</v>
      </c>
      <c r="E303" s="2">
        <f>MONTH(sales[[#This Row],[date]])</f>
        <v>6</v>
      </c>
      <c r="F303" s="233">
        <v>46185</v>
      </c>
      <c r="G303" s="3" t="str">
        <f>VLOOKUP("*"&amp;sales[[#This Row],[Input]]&amp;"*",'Ref-List'!$A:$C,1,0)</f>
        <v>3811+3911</v>
      </c>
      <c r="H303" s="2" t="str">
        <f>VLOOKUP("*"&amp;G303&amp;"*",'Ref-List'!$A:$C,3,0)</f>
        <v>超濾淨水器 + 濾芯套裝</v>
      </c>
      <c r="I303" s="2">
        <v>3911</v>
      </c>
      <c r="J303" s="2">
        <v>2</v>
      </c>
      <c r="K303" s="2">
        <v>406.4</v>
      </c>
      <c r="L303" s="2">
        <f>sales[[#This Row],[quantity]]*sales[[#This Row],[price]]</f>
        <v>812.8</v>
      </c>
      <c r="M303" s="9">
        <f>sales[[#This Row],[Total Price]]*3%</f>
        <v>24.383999999999997</v>
      </c>
      <c r="N303" s="171">
        <f>sales[[#This Row],[Total Price]]*2.5%</f>
        <v>20.32</v>
      </c>
      <c r="O303" s="9">
        <f>sales[[#This Row],[Total Price]]*1.5%</f>
        <v>12.191999999999998</v>
      </c>
      <c r="R303" s="5" t="str">
        <f>_xlfn.CONCAT(sales[[#This Row],[Shop]]," ",sales[[#This Row],[Location]])</f>
        <v>Tai Po Yata</v>
      </c>
    </row>
    <row r="304" spans="1:18" ht="16.5" customHeight="1">
      <c r="A304" s="7">
        <v>302</v>
      </c>
      <c r="B304" s="2" t="s">
        <v>998</v>
      </c>
      <c r="C304" s="5" t="s">
        <v>1000</v>
      </c>
      <c r="D304" s="2" t="str">
        <f ca="1">OFFSET(Roster!$B$7, MATCH(B304&amp;" "&amp;C304&amp;"*",Roster!$B$8:$B$20,0),DAY(sales[[#This Row],[date]]),1, 1)</f>
        <v>Joe</v>
      </c>
      <c r="E304" s="2">
        <f>MONTH(sales[[#This Row],[date]])</f>
        <v>6</v>
      </c>
      <c r="F304" s="233">
        <v>46185</v>
      </c>
      <c r="G304" s="3" t="str">
        <f>VLOOKUP("*"&amp;sales[[#This Row],[Input]]&amp;"*",'Ref-List'!$A:$C,1,0)</f>
        <v>6910+550</v>
      </c>
      <c r="H304" s="2" t="str">
        <f>VLOOKUP("*"&amp;G304&amp;"*",'Ref-List'!$A:$C,3,0)</f>
        <v>冷熱飲水機 + 濾心</v>
      </c>
      <c r="I304" s="2">
        <v>550</v>
      </c>
      <c r="J304" s="2">
        <v>1</v>
      </c>
      <c r="K304" s="2">
        <v>598</v>
      </c>
      <c r="L304" s="2">
        <f>sales[[#This Row],[quantity]]*sales[[#This Row],[price]]</f>
        <v>598</v>
      </c>
      <c r="M304" s="9">
        <f>sales[[#This Row],[Total Price]]*3%</f>
        <v>17.939999999999998</v>
      </c>
      <c r="N304" s="171">
        <f>sales[[#This Row],[Total Price]]*2.5%</f>
        <v>14.950000000000001</v>
      </c>
      <c r="O304" s="9">
        <f>sales[[#This Row],[Total Price]]*1.5%</f>
        <v>8.9699999999999989</v>
      </c>
      <c r="R304" s="5" t="str">
        <f>_xlfn.CONCAT(sales[[#This Row],[Shop]]," ",sales[[#This Row],[Location]])</f>
        <v>Tai Po Yata</v>
      </c>
    </row>
    <row r="305" spans="1:18" ht="16.5" customHeight="1">
      <c r="A305" s="7">
        <v>303</v>
      </c>
      <c r="B305" s="2" t="s">
        <v>998</v>
      </c>
      <c r="C305" s="5" t="s">
        <v>1000</v>
      </c>
      <c r="D305" s="2" t="str">
        <f ca="1">OFFSET(Roster!$B$7, MATCH(B305&amp;" "&amp;C305&amp;"*",Roster!$B$8:$B$20,0),DAY(sales[[#This Row],[date]]),1, 1)</f>
        <v>Joe</v>
      </c>
      <c r="E305" s="2">
        <f>MONTH(sales[[#This Row],[date]])</f>
        <v>6</v>
      </c>
      <c r="F305" s="233">
        <v>46185</v>
      </c>
      <c r="G305" s="3" t="str">
        <f>VLOOKUP("*"&amp;sales[[#This Row],[Input]]&amp;"*",'Ref-List'!$A:$C,1,0)</f>
        <v>3811+3911</v>
      </c>
      <c r="H305" s="2" t="str">
        <f>VLOOKUP("*"&amp;G305&amp;"*",'Ref-List'!$A:$C,3,0)</f>
        <v>超濾淨水器 + 濾芯套裝</v>
      </c>
      <c r="I305" s="5" t="s">
        <v>981</v>
      </c>
      <c r="J305" s="2">
        <v>1</v>
      </c>
      <c r="K305" s="2">
        <v>528</v>
      </c>
      <c r="L305" s="2">
        <f>sales[[#This Row],[quantity]]*sales[[#This Row],[price]]</f>
        <v>528</v>
      </c>
      <c r="M305" s="9">
        <f>sales[[#This Row],[Total Price]]*3%</f>
        <v>15.84</v>
      </c>
      <c r="N305" s="171">
        <f>sales[[#This Row],[Total Price]]*2.5%</f>
        <v>13.200000000000001</v>
      </c>
      <c r="O305" s="9">
        <f>sales[[#This Row],[Total Price]]*1.5%</f>
        <v>7.92</v>
      </c>
      <c r="R305" s="5" t="str">
        <f>_xlfn.CONCAT(sales[[#This Row],[Shop]]," ",sales[[#This Row],[Location]])</f>
        <v>Tai Po Yata</v>
      </c>
    </row>
    <row r="306" spans="1:18" ht="16.5" customHeight="1">
      <c r="A306" s="7">
        <v>304</v>
      </c>
      <c r="B306" s="2" t="s">
        <v>998</v>
      </c>
      <c r="C306" s="5" t="s">
        <v>1000</v>
      </c>
      <c r="D306" s="2" t="str">
        <f ca="1">OFFSET(Roster!$B$7, MATCH(B306&amp;" "&amp;C306&amp;"*",Roster!$B$8:$B$20,0),DAY(sales[[#This Row],[date]]),1, 1)</f>
        <v>Joe</v>
      </c>
      <c r="E306" s="2">
        <f>MONTH(sales[[#This Row],[date]])</f>
        <v>6</v>
      </c>
      <c r="F306" s="233">
        <v>46185</v>
      </c>
      <c r="G306" s="3" t="str">
        <f>VLOOKUP("*"&amp;sales[[#This Row],[Input]]&amp;"*",'Ref-List'!$A:$C,1,0)</f>
        <v>2937+211</v>
      </c>
      <c r="H306" s="2" t="str">
        <f>VLOOKUP("*"&amp;G306&amp;"*",'Ref-List'!$A:$C,3,0)</f>
        <v>濾水壺濾芯套裝</v>
      </c>
      <c r="I306" s="2">
        <v>211</v>
      </c>
      <c r="J306" s="2">
        <v>1</v>
      </c>
      <c r="K306" s="2">
        <v>142.19999999999999</v>
      </c>
      <c r="L306" s="2">
        <f>sales[[#This Row],[quantity]]*sales[[#This Row],[price]]</f>
        <v>142.19999999999999</v>
      </c>
      <c r="M306" s="9">
        <f>sales[[#This Row],[Total Price]]*3%</f>
        <v>4.2659999999999991</v>
      </c>
      <c r="N306" s="171">
        <f>sales[[#This Row],[Total Price]]*2.5%</f>
        <v>3.5549999999999997</v>
      </c>
      <c r="O306" s="9">
        <f>sales[[#This Row],[Total Price]]*1.5%</f>
        <v>2.1329999999999996</v>
      </c>
      <c r="R306" s="5" t="str">
        <f>_xlfn.CONCAT(sales[[#This Row],[Shop]]," ",sales[[#This Row],[Location]])</f>
        <v>Tai Po Yata</v>
      </c>
    </row>
    <row r="307" spans="1:18" ht="16.5" customHeight="1">
      <c r="A307" s="7">
        <v>305</v>
      </c>
      <c r="B307" s="2" t="s">
        <v>998</v>
      </c>
      <c r="C307" s="5" t="s">
        <v>1000</v>
      </c>
      <c r="D307" s="2" t="str">
        <f ca="1">OFFSET(Roster!$B$7, MATCH(B307&amp;" "&amp;C307&amp;"*",Roster!$B$8:$B$20,0),DAY(sales[[#This Row],[date]]),1, 1)</f>
        <v>Joe</v>
      </c>
      <c r="E307" s="2">
        <f>MONTH(sales[[#This Row],[date]])</f>
        <v>6</v>
      </c>
      <c r="F307" s="233">
        <v>46185</v>
      </c>
      <c r="G307" s="3" t="str">
        <f>VLOOKUP("*"&amp;sales[[#This Row],[Input]]&amp;"*",'Ref-List'!$A:$C,1,0)</f>
        <v>2937+211</v>
      </c>
      <c r="H307" s="2" t="str">
        <f>VLOOKUP("*"&amp;G307&amp;"*",'Ref-List'!$A:$C,3,0)</f>
        <v>濾水壺濾芯套裝</v>
      </c>
      <c r="I307" s="2">
        <v>2937</v>
      </c>
      <c r="J307" s="2">
        <v>1</v>
      </c>
      <c r="K307" s="2">
        <v>268</v>
      </c>
      <c r="L307" s="2">
        <f>sales[[#This Row],[quantity]]*sales[[#This Row],[price]]</f>
        <v>268</v>
      </c>
      <c r="M307" s="9">
        <f>sales[[#This Row],[Total Price]]*3%</f>
        <v>8.0399999999999991</v>
      </c>
      <c r="N307" s="171">
        <f>sales[[#This Row],[Total Price]]*2.5%</f>
        <v>6.7</v>
      </c>
      <c r="O307" s="9">
        <f>sales[[#This Row],[Total Price]]*1.5%</f>
        <v>4.0199999999999996</v>
      </c>
      <c r="R307" s="5" t="str">
        <f>_xlfn.CONCAT(sales[[#This Row],[Shop]]," ",sales[[#This Row],[Location]])</f>
        <v>Tai Po Yata</v>
      </c>
    </row>
    <row r="308" spans="1:18" ht="16.5" customHeight="1">
      <c r="A308" s="7">
        <v>306</v>
      </c>
      <c r="B308" s="2" t="s">
        <v>998</v>
      </c>
      <c r="C308" s="5" t="s">
        <v>1000</v>
      </c>
      <c r="D308" s="2" t="str">
        <f ca="1">OFFSET(Roster!$B$7, MATCH(B308&amp;" "&amp;C308&amp;"*",Roster!$B$8:$B$20,0),DAY(sales[[#This Row],[date]]),1, 1)</f>
        <v>Joe</v>
      </c>
      <c r="E308" s="2">
        <f>MONTH(sales[[#This Row],[date]])</f>
        <v>6</v>
      </c>
      <c r="F308" s="233">
        <v>46185</v>
      </c>
      <c r="G308" s="3" t="str">
        <f>VLOOKUP("*"&amp;sales[[#This Row],[Input]]&amp;"*",'Ref-List'!$A:$C,1,0)</f>
        <v>6901+541</v>
      </c>
      <c r="H308" s="2" t="str">
        <f>VLOOKUP("*"&amp;G308&amp;"*",'Ref-List'!$A:$C,3,0)</f>
        <v>RO純淨飲水機 + 濾芯</v>
      </c>
      <c r="I308" s="2">
        <v>6901</v>
      </c>
      <c r="J308" s="2">
        <v>1</v>
      </c>
      <c r="K308" s="2">
        <v>1968</v>
      </c>
      <c r="L308" s="2">
        <f>sales[[#This Row],[quantity]]*sales[[#This Row],[price]]</f>
        <v>1968</v>
      </c>
      <c r="M308" s="9">
        <f>sales[[#This Row],[Total Price]]*3%</f>
        <v>59.04</v>
      </c>
      <c r="N308" s="171">
        <f>sales[[#This Row],[Total Price]]*2.5%</f>
        <v>49.2</v>
      </c>
      <c r="O308" s="9">
        <f>sales[[#This Row],[Total Price]]*1.5%</f>
        <v>29.52</v>
      </c>
      <c r="R308" s="5" t="str">
        <f>_xlfn.CONCAT(sales[[#This Row],[Shop]]," ",sales[[#This Row],[Location]])</f>
        <v>Tai Po Yata</v>
      </c>
    </row>
    <row r="309" spans="1:18" ht="16.5" customHeight="1">
      <c r="A309" s="7">
        <v>307</v>
      </c>
      <c r="B309" s="2" t="s">
        <v>998</v>
      </c>
      <c r="C309" s="5" t="s">
        <v>1000</v>
      </c>
      <c r="D309" s="2" t="str">
        <f ca="1">OFFSET(Roster!$B$7, MATCH(B309&amp;" "&amp;C309&amp;"*",Roster!$B$8:$B$20,0),DAY(sales[[#This Row],[date]]),1, 1)</f>
        <v>Joe</v>
      </c>
      <c r="E309" s="2">
        <f>MONTH(sales[[#This Row],[date]])</f>
        <v>6</v>
      </c>
      <c r="F309" s="233">
        <v>46185</v>
      </c>
      <c r="G309" s="3" t="str">
        <f>VLOOKUP("*"&amp;sales[[#This Row],[Input]]&amp;"*",'Ref-List'!$A:$C,1,0)</f>
        <v>6901+541</v>
      </c>
      <c r="H309" s="2" t="str">
        <f>VLOOKUP("*"&amp;G309&amp;"*",'Ref-List'!$A:$C,3,0)</f>
        <v>RO純淨飲水機 + 濾芯</v>
      </c>
      <c r="I309" s="2">
        <v>541</v>
      </c>
      <c r="J309" s="2">
        <v>2</v>
      </c>
      <c r="K309" s="2">
        <v>598</v>
      </c>
      <c r="L309" s="2">
        <f>sales[[#This Row],[quantity]]*sales[[#This Row],[price]]</f>
        <v>1196</v>
      </c>
      <c r="M309" s="9">
        <f>sales[[#This Row],[Total Price]]*3%</f>
        <v>35.879999999999995</v>
      </c>
      <c r="N309" s="171">
        <f>sales[[#This Row],[Total Price]]*2.5%</f>
        <v>29.900000000000002</v>
      </c>
      <c r="O309" s="9">
        <f>sales[[#This Row],[Total Price]]*1.5%</f>
        <v>17.939999999999998</v>
      </c>
      <c r="R309" s="5" t="str">
        <f>_xlfn.CONCAT(sales[[#This Row],[Shop]]," ",sales[[#This Row],[Location]])</f>
        <v>Tai Po Yata</v>
      </c>
    </row>
    <row r="310" spans="1:18" ht="16.5" customHeight="1">
      <c r="A310" s="7">
        <v>308</v>
      </c>
      <c r="B310" s="2" t="s">
        <v>998</v>
      </c>
      <c r="C310" s="5" t="s">
        <v>1000</v>
      </c>
      <c r="D310" s="2" t="str">
        <f ca="1">OFFSET(Roster!$B$7, MATCH(B310&amp;" "&amp;C310&amp;"*",Roster!$B$8:$B$20,0),DAY(sales[[#This Row],[date]]),1, 1)</f>
        <v>Joe</v>
      </c>
      <c r="E310" s="2">
        <f>MONTH(sales[[#This Row],[date]])</f>
        <v>6</v>
      </c>
      <c r="F310" s="233">
        <v>46186</v>
      </c>
      <c r="G310" s="3" t="str">
        <f>VLOOKUP("*"&amp;sales[[#This Row],[Input]]&amp;"*",'Ref-List'!$A:$C,1,0)</f>
        <v>3811+3911</v>
      </c>
      <c r="H310" s="2" t="str">
        <f>VLOOKUP("*"&amp;G310&amp;"*",'Ref-List'!$A:$C,3,0)</f>
        <v>超濾淨水器 + 濾芯套裝</v>
      </c>
      <c r="I310" s="2">
        <v>3911</v>
      </c>
      <c r="J310" s="2">
        <v>1</v>
      </c>
      <c r="K310" s="2">
        <v>406.4</v>
      </c>
      <c r="L310" s="2">
        <f>sales[[#This Row],[quantity]]*sales[[#This Row],[price]]</f>
        <v>406.4</v>
      </c>
      <c r="M310" s="9">
        <f>sales[[#This Row],[Total Price]]*3%</f>
        <v>12.191999999999998</v>
      </c>
      <c r="N310" s="171">
        <f>sales[[#This Row],[Total Price]]*2.5%</f>
        <v>10.16</v>
      </c>
      <c r="O310" s="9">
        <f>sales[[#This Row],[Total Price]]*1.5%</f>
        <v>6.0959999999999992</v>
      </c>
      <c r="R310" s="5" t="str">
        <f>_xlfn.CONCAT(sales[[#This Row],[Shop]]," ",sales[[#This Row],[Location]])</f>
        <v>Tai Po Yata</v>
      </c>
    </row>
    <row r="311" spans="1:18" ht="16.5" customHeight="1">
      <c r="A311" s="7">
        <v>309</v>
      </c>
      <c r="B311" s="2" t="s">
        <v>998</v>
      </c>
      <c r="C311" s="5" t="s">
        <v>1000</v>
      </c>
      <c r="D311" s="2" t="str">
        <f ca="1">OFFSET(Roster!$B$7, MATCH(B311&amp;" "&amp;C311&amp;"*",Roster!$B$8:$B$20,0),DAY(sales[[#This Row],[date]]),1, 1)</f>
        <v>Joe</v>
      </c>
      <c r="E311" s="2">
        <f>MONTH(sales[[#This Row],[date]])</f>
        <v>6</v>
      </c>
      <c r="F311" s="233">
        <v>46186</v>
      </c>
      <c r="G311" s="3" t="e">
        <f>VLOOKUP("*"&amp;sales[[#This Row],[Input]]&amp;"*",'Ref-List'!$A:$C,1,0)</f>
        <v>#N/A</v>
      </c>
      <c r="H311" s="2" t="e">
        <f>VLOOKUP("*"&amp;G311&amp;"*",'Ref-List'!$A:$C,3,0)</f>
        <v>#N/A</v>
      </c>
      <c r="I311" s="2">
        <v>617</v>
      </c>
      <c r="J311" s="2">
        <v>2</v>
      </c>
      <c r="K311" s="2">
        <v>998</v>
      </c>
      <c r="L311" s="2">
        <f>sales[[#This Row],[quantity]]*sales[[#This Row],[price]]</f>
        <v>1996</v>
      </c>
      <c r="M311" s="9">
        <f>sales[[#This Row],[Total Price]]*3%</f>
        <v>59.879999999999995</v>
      </c>
      <c r="N311" s="171">
        <f>sales[[#This Row],[Total Price]]*2.5%</f>
        <v>49.900000000000006</v>
      </c>
      <c r="O311" s="9">
        <f>sales[[#This Row],[Total Price]]*1.5%</f>
        <v>29.939999999999998</v>
      </c>
      <c r="R311" s="5" t="str">
        <f>_xlfn.CONCAT(sales[[#This Row],[Shop]]," ",sales[[#This Row],[Location]])</f>
        <v>Tai Po Yata</v>
      </c>
    </row>
    <row r="312" spans="1:18" ht="16.5" customHeight="1">
      <c r="A312" s="7">
        <v>310</v>
      </c>
      <c r="B312" s="2" t="s">
        <v>998</v>
      </c>
      <c r="C312" s="5" t="s">
        <v>1000</v>
      </c>
      <c r="D312" s="2" t="str">
        <f ca="1">OFFSET(Roster!$B$7, MATCH(B312&amp;" "&amp;C312&amp;"*",Roster!$B$8:$B$20,0),DAY(sales[[#This Row],[date]]),1, 1)</f>
        <v>Joe</v>
      </c>
      <c r="E312" s="2">
        <f>MONTH(sales[[#This Row],[date]])</f>
        <v>6</v>
      </c>
      <c r="F312" s="233">
        <v>46186</v>
      </c>
      <c r="G312" s="3" t="str">
        <f>VLOOKUP("*"&amp;sales[[#This Row],[Input]]&amp;"*",'Ref-List'!$A:$C,1,0)</f>
        <v>2937+211</v>
      </c>
      <c r="H312" s="2" t="str">
        <f>VLOOKUP("*"&amp;G312&amp;"*",'Ref-List'!$A:$C,3,0)</f>
        <v>濾水壺濾芯套裝</v>
      </c>
      <c r="I312" s="2">
        <v>211</v>
      </c>
      <c r="J312" s="2">
        <v>1</v>
      </c>
      <c r="K312" s="2">
        <v>142.19999999999999</v>
      </c>
      <c r="L312" s="2">
        <f>sales[[#This Row],[quantity]]*sales[[#This Row],[price]]</f>
        <v>142.19999999999999</v>
      </c>
      <c r="M312" s="9">
        <f>sales[[#This Row],[Total Price]]*3%</f>
        <v>4.2659999999999991</v>
      </c>
      <c r="N312" s="171">
        <f>sales[[#This Row],[Total Price]]*2.5%</f>
        <v>3.5549999999999997</v>
      </c>
      <c r="O312" s="9">
        <f>sales[[#This Row],[Total Price]]*1.5%</f>
        <v>2.1329999999999996</v>
      </c>
      <c r="R312" s="5" t="str">
        <f>_xlfn.CONCAT(sales[[#This Row],[Shop]]," ",sales[[#This Row],[Location]])</f>
        <v>Tai Po Yata</v>
      </c>
    </row>
    <row r="313" spans="1:18" ht="16.5" customHeight="1">
      <c r="A313" s="7">
        <v>311</v>
      </c>
      <c r="B313" s="2" t="s">
        <v>998</v>
      </c>
      <c r="C313" s="5" t="s">
        <v>1000</v>
      </c>
      <c r="D313" s="2" t="str">
        <f ca="1">OFFSET(Roster!$B$7, MATCH(B313&amp;" "&amp;C313&amp;"*",Roster!$B$8:$B$20,0),DAY(sales[[#This Row],[date]]),1, 1)</f>
        <v>Joe</v>
      </c>
      <c r="E313" s="2">
        <f>MONTH(sales[[#This Row],[date]])</f>
        <v>6</v>
      </c>
      <c r="F313" s="233">
        <v>46186</v>
      </c>
      <c r="G313" s="3" t="e">
        <f>VLOOKUP("*"&amp;sales[[#This Row],[Input]]&amp;"*",'Ref-List'!$A:$C,1,0)</f>
        <v>#N/A</v>
      </c>
      <c r="H313" s="2" t="e">
        <f>VLOOKUP("*"&amp;G313&amp;"*",'Ref-List'!$A:$C,3,0)</f>
        <v>#N/A</v>
      </c>
      <c r="I313" s="2">
        <v>9332</v>
      </c>
      <c r="J313" s="2">
        <v>1</v>
      </c>
      <c r="K313" s="2">
        <v>1288</v>
      </c>
      <c r="L313" s="2">
        <f>sales[[#This Row],[quantity]]*sales[[#This Row],[price]]</f>
        <v>1288</v>
      </c>
      <c r="M313" s="9">
        <f>sales[[#This Row],[Total Price]]*3%</f>
        <v>38.64</v>
      </c>
      <c r="N313" s="171">
        <f>sales[[#This Row],[Total Price]]*2.5%</f>
        <v>32.200000000000003</v>
      </c>
      <c r="O313" s="9">
        <f>sales[[#This Row],[Total Price]]*1.5%</f>
        <v>19.32</v>
      </c>
      <c r="R313" s="5" t="str">
        <f>_xlfn.CONCAT(sales[[#This Row],[Shop]]," ",sales[[#This Row],[Location]])</f>
        <v>Tai Po Yata</v>
      </c>
    </row>
    <row r="314" spans="1:18" ht="16.5" customHeight="1">
      <c r="A314" s="7">
        <v>312</v>
      </c>
      <c r="B314" s="2" t="s">
        <v>998</v>
      </c>
      <c r="C314" s="5" t="s">
        <v>1000</v>
      </c>
      <c r="D314" s="2" t="str">
        <f ca="1">OFFSET(Roster!$B$7, MATCH(B314&amp;" "&amp;C314&amp;"*",Roster!$B$8:$B$20,0),DAY(sales[[#This Row],[date]]),1, 1)</f>
        <v>Joe</v>
      </c>
      <c r="E314" s="2">
        <f>MONTH(sales[[#This Row],[date]])</f>
        <v>6</v>
      </c>
      <c r="F314" s="233">
        <v>46186</v>
      </c>
      <c r="G314" s="3" t="str">
        <f>VLOOKUP("*"&amp;sales[[#This Row],[Input]]&amp;"*",'Ref-List'!$A:$C,1,0)</f>
        <v>3812+3922</v>
      </c>
      <c r="H314" s="2" t="str">
        <f>VLOOKUP("*"&amp;G314&amp;"*",'Ref-List'!$A:$C,3,0)</f>
        <v>超濾龍頭式淨水器組合</v>
      </c>
      <c r="I314" s="5" t="s">
        <v>980</v>
      </c>
      <c r="J314" s="2">
        <v>1</v>
      </c>
      <c r="K314" s="2">
        <v>798</v>
      </c>
      <c r="L314" s="2">
        <f>sales[[#This Row],[quantity]]*sales[[#This Row],[price]]</f>
        <v>798</v>
      </c>
      <c r="M314" s="9">
        <f>sales[[#This Row],[Total Price]]*3%</f>
        <v>23.939999999999998</v>
      </c>
      <c r="N314" s="171">
        <f>sales[[#This Row],[Total Price]]*2.5%</f>
        <v>19.950000000000003</v>
      </c>
      <c r="O314" s="9">
        <f>sales[[#This Row],[Total Price]]*1.5%</f>
        <v>11.969999999999999</v>
      </c>
      <c r="R314" s="5" t="str">
        <f>_xlfn.CONCAT(sales[[#This Row],[Shop]]," ",sales[[#This Row],[Location]])</f>
        <v>Tai Po Yata</v>
      </c>
    </row>
    <row r="315" spans="1:18" ht="16.5" customHeight="1">
      <c r="A315" s="7">
        <v>313</v>
      </c>
      <c r="B315" s="2" t="s">
        <v>998</v>
      </c>
      <c r="C315" s="5" t="s">
        <v>1000</v>
      </c>
      <c r="D315" s="2" t="str">
        <f ca="1">OFFSET(Roster!$B$7, MATCH(B315&amp;" "&amp;C315&amp;"*",Roster!$B$8:$B$20,0),DAY(sales[[#This Row],[date]]),1, 1)</f>
        <v>Joe</v>
      </c>
      <c r="E315" s="2">
        <f>MONTH(sales[[#This Row],[date]])</f>
        <v>6</v>
      </c>
      <c r="F315" s="233">
        <v>46186</v>
      </c>
      <c r="G315" s="3" t="str">
        <f>VLOOKUP("*"&amp;sales[[#This Row],[Input]]&amp;"*",'Ref-List'!$A:$C,1,0)</f>
        <v>2937+211</v>
      </c>
      <c r="H315" s="2" t="str">
        <f>VLOOKUP("*"&amp;G315&amp;"*",'Ref-List'!$A:$C,3,0)</f>
        <v>濾水壺濾芯套裝</v>
      </c>
      <c r="I315" s="2">
        <v>2937</v>
      </c>
      <c r="J315" s="2">
        <v>1</v>
      </c>
      <c r="K315" s="2">
        <v>268</v>
      </c>
      <c r="L315" s="2">
        <f>sales[[#This Row],[quantity]]*sales[[#This Row],[price]]</f>
        <v>268</v>
      </c>
      <c r="M315" s="9">
        <f>sales[[#This Row],[Total Price]]*3%</f>
        <v>8.0399999999999991</v>
      </c>
      <c r="N315" s="171">
        <f>sales[[#This Row],[Total Price]]*2.5%</f>
        <v>6.7</v>
      </c>
      <c r="O315" s="9">
        <f>sales[[#This Row],[Total Price]]*1.5%</f>
        <v>4.0199999999999996</v>
      </c>
      <c r="R315" s="5" t="str">
        <f>_xlfn.CONCAT(sales[[#This Row],[Shop]]," ",sales[[#This Row],[Location]])</f>
        <v>Tai Po Yata</v>
      </c>
    </row>
    <row r="316" spans="1:18" ht="16.5" customHeight="1">
      <c r="A316" s="7">
        <v>314</v>
      </c>
      <c r="B316" s="2" t="s">
        <v>998</v>
      </c>
      <c r="C316" s="5" t="s">
        <v>1000</v>
      </c>
      <c r="D316" s="2" t="str">
        <f ca="1">OFFSET(Roster!$B$7, MATCH(B316&amp;" "&amp;C316&amp;"*",Roster!$B$8:$B$20,0),DAY(sales[[#This Row],[date]]),1, 1)</f>
        <v>Joe</v>
      </c>
      <c r="E316" s="2">
        <f>MONTH(sales[[#This Row],[date]])</f>
        <v>6</v>
      </c>
      <c r="F316" s="233">
        <v>46186</v>
      </c>
      <c r="G316" s="3" t="str">
        <f>VLOOKUP("*"&amp;sales[[#This Row],[Input]]&amp;"*",'Ref-List'!$A:$C,1,0)</f>
        <v>6910+550</v>
      </c>
      <c r="H316" s="2" t="str">
        <f>VLOOKUP("*"&amp;G316&amp;"*",'Ref-List'!$A:$C,3,0)</f>
        <v>冷熱飲水機 + 濾心</v>
      </c>
      <c r="I316" s="2">
        <v>550</v>
      </c>
      <c r="J316" s="2">
        <v>2</v>
      </c>
      <c r="K316" s="2">
        <v>598</v>
      </c>
      <c r="L316" s="2">
        <f>sales[[#This Row],[quantity]]*sales[[#This Row],[price]]</f>
        <v>1196</v>
      </c>
      <c r="M316" s="9">
        <f>sales[[#This Row],[Total Price]]*3%</f>
        <v>35.879999999999995</v>
      </c>
      <c r="N316" s="171">
        <f>sales[[#This Row],[Total Price]]*2.5%</f>
        <v>29.900000000000002</v>
      </c>
      <c r="O316" s="9">
        <f>sales[[#This Row],[Total Price]]*1.5%</f>
        <v>17.939999999999998</v>
      </c>
      <c r="R316" s="5" t="str">
        <f>_xlfn.CONCAT(sales[[#This Row],[Shop]]," ",sales[[#This Row],[Location]])</f>
        <v>Tai Po Yata</v>
      </c>
    </row>
    <row r="317" spans="1:18" ht="15.6" customHeight="1">
      <c r="A317" s="7">
        <v>315</v>
      </c>
      <c r="B317" s="2" t="s">
        <v>998</v>
      </c>
      <c r="C317" s="5" t="s">
        <v>1000</v>
      </c>
      <c r="D317" s="2" t="str">
        <f ca="1">OFFSET(Roster!$B$7, MATCH(B317&amp;" "&amp;C317&amp;"*",Roster!$B$8:$B$20,0),DAY(sales[[#This Row],[date]]),1, 1)</f>
        <v>Joe</v>
      </c>
      <c r="E317" s="2">
        <f>MONTH(sales[[#This Row],[date]])</f>
        <v>6</v>
      </c>
      <c r="F317" s="233">
        <v>46186</v>
      </c>
      <c r="G317" s="3" t="str">
        <f>VLOOKUP("*"&amp;sales[[#This Row],[Input]]&amp;"*",'Ref-List'!$A:$C,1,0)</f>
        <v>6911+553</v>
      </c>
      <c r="H317" s="2" t="str">
        <f>VLOOKUP("*"&amp;G317&amp;"*",'Ref-List'!$A:$C,3,0)</f>
        <v>冷熱飲水機 + 濾心</v>
      </c>
      <c r="I317" s="2">
        <v>553</v>
      </c>
      <c r="J317" s="2">
        <v>2</v>
      </c>
      <c r="K317" s="2">
        <v>598</v>
      </c>
      <c r="L317" s="2">
        <f>sales[[#This Row],[quantity]]*sales[[#This Row],[price]]</f>
        <v>1196</v>
      </c>
      <c r="M317" s="9">
        <f>sales[[#This Row],[Total Price]]*3%</f>
        <v>35.879999999999995</v>
      </c>
      <c r="N317" s="171">
        <f>sales[[#This Row],[Total Price]]*2.5%</f>
        <v>29.900000000000002</v>
      </c>
      <c r="O317" s="9">
        <f>sales[[#This Row],[Total Price]]*1.5%</f>
        <v>17.939999999999998</v>
      </c>
      <c r="R317" s="5" t="str">
        <f>_xlfn.CONCAT(sales[[#This Row],[Shop]]," ",sales[[#This Row],[Location]])</f>
        <v>Tai Po Yata</v>
      </c>
    </row>
    <row r="318" spans="1:18" ht="15.6" customHeight="1">
      <c r="A318" s="7">
        <v>316</v>
      </c>
      <c r="B318" s="2" t="s">
        <v>998</v>
      </c>
      <c r="C318" s="5" t="s">
        <v>1000</v>
      </c>
      <c r="D318" s="2" t="str">
        <f ca="1">OFFSET(Roster!$B$7, MATCH(B318&amp;" "&amp;C318&amp;"*",Roster!$B$8:$B$20,0),DAY(sales[[#This Row],[date]]),1, 1)</f>
        <v>Joe</v>
      </c>
      <c r="E318" s="2">
        <f>MONTH(sales[[#This Row],[date]])</f>
        <v>6</v>
      </c>
      <c r="F318" s="233">
        <v>46186</v>
      </c>
      <c r="G318" s="3" t="e">
        <f>VLOOKUP("*"&amp;sales[[#This Row],[Input]]&amp;"*",'Ref-List'!$A:$C,1,0)</f>
        <v>#N/A</v>
      </c>
      <c r="H318" s="2" t="e">
        <f>VLOOKUP("*"&amp;G318&amp;"*",'Ref-List'!$A:$C,3,0)</f>
        <v>#N/A</v>
      </c>
      <c r="I318" s="2">
        <v>6991</v>
      </c>
      <c r="J318" s="2">
        <v>1</v>
      </c>
      <c r="K318" s="2">
        <v>4288</v>
      </c>
      <c r="L318" s="2">
        <f>sales[[#This Row],[quantity]]*sales[[#This Row],[price]]</f>
        <v>4288</v>
      </c>
      <c r="M318" s="9">
        <f>sales[[#This Row],[Total Price]]*3%</f>
        <v>128.63999999999999</v>
      </c>
      <c r="N318" s="171">
        <f>sales[[#This Row],[Total Price]]*2.5%</f>
        <v>107.2</v>
      </c>
      <c r="O318" s="9">
        <f>sales[[#This Row],[Total Price]]*1.5%</f>
        <v>64.319999999999993</v>
      </c>
      <c r="R318" s="5" t="str">
        <f>_xlfn.CONCAT(sales[[#This Row],[Shop]]," ",sales[[#This Row],[Location]])</f>
        <v>Tai Po Yata</v>
      </c>
    </row>
    <row r="319" spans="1:18" ht="15.6" customHeight="1">
      <c r="A319" s="7">
        <v>317</v>
      </c>
      <c r="B319" s="2" t="s">
        <v>998</v>
      </c>
      <c r="C319" s="5" t="s">
        <v>1000</v>
      </c>
      <c r="D319" s="2" t="str">
        <f ca="1">OFFSET(Roster!$B$7, MATCH(B319&amp;" "&amp;C319&amp;"*",Roster!$B$8:$B$20,0),DAY(sales[[#This Row],[date]]),1, 1)</f>
        <v>Joe</v>
      </c>
      <c r="E319" s="2">
        <f>MONTH(sales[[#This Row],[date]])</f>
        <v>6</v>
      </c>
      <c r="F319" s="233">
        <v>46187</v>
      </c>
      <c r="G319" s="3" t="e">
        <f>VLOOKUP("*"&amp;sales[[#This Row],[Input]]&amp;"*",'Ref-List'!$A:$C,1,0)</f>
        <v>#N/A</v>
      </c>
      <c r="H319" s="2" t="e">
        <f>VLOOKUP("*"&amp;G319&amp;"*",'Ref-List'!$A:$C,3,0)</f>
        <v>#N/A</v>
      </c>
      <c r="I319" s="2">
        <v>5910</v>
      </c>
      <c r="J319" s="2">
        <v>1</v>
      </c>
      <c r="K319" s="2">
        <v>998</v>
      </c>
      <c r="L319" s="2">
        <f>sales[[#This Row],[quantity]]*sales[[#This Row],[price]]</f>
        <v>998</v>
      </c>
      <c r="M319" s="9">
        <f>sales[[#This Row],[Total Price]]*3%</f>
        <v>29.939999999999998</v>
      </c>
      <c r="N319" s="171">
        <f>sales[[#This Row],[Total Price]]*2.5%</f>
        <v>24.950000000000003</v>
      </c>
      <c r="O319" s="9">
        <f>sales[[#This Row],[Total Price]]*1.5%</f>
        <v>14.969999999999999</v>
      </c>
      <c r="R319" s="5" t="str">
        <f>_xlfn.CONCAT(sales[[#This Row],[Shop]]," ",sales[[#This Row],[Location]])</f>
        <v>Tai Po Yata</v>
      </c>
    </row>
    <row r="320" spans="1:18" ht="15.6" customHeight="1">
      <c r="A320" s="7">
        <v>318</v>
      </c>
      <c r="B320" s="2" t="s">
        <v>998</v>
      </c>
      <c r="C320" s="5" t="s">
        <v>1000</v>
      </c>
      <c r="D320" s="2" t="str">
        <f ca="1">OFFSET(Roster!$B$7, MATCH(B320&amp;" "&amp;C320&amp;"*",Roster!$B$8:$B$20,0),DAY(sales[[#This Row],[date]]),1, 1)</f>
        <v>Joe</v>
      </c>
      <c r="E320" s="2">
        <f>MONTH(sales[[#This Row],[date]])</f>
        <v>6</v>
      </c>
      <c r="F320" s="233">
        <v>46187</v>
      </c>
      <c r="G320" s="3" t="e">
        <f>VLOOKUP("*"&amp;sales[[#This Row],[Input]]&amp;"*",'Ref-List'!$A:$C,1,0)</f>
        <v>#N/A</v>
      </c>
      <c r="H320" s="2" t="e">
        <f>VLOOKUP("*"&amp;G320&amp;"*",'Ref-List'!$A:$C,3,0)</f>
        <v>#N/A</v>
      </c>
      <c r="I320" s="2">
        <v>5981</v>
      </c>
      <c r="J320" s="2">
        <v>1</v>
      </c>
      <c r="K320" s="2">
        <v>1688</v>
      </c>
      <c r="L320" s="2">
        <f>sales[[#This Row],[quantity]]*sales[[#This Row],[price]]</f>
        <v>1688</v>
      </c>
      <c r="M320" s="9">
        <f>sales[[#This Row],[Total Price]]*3%</f>
        <v>50.64</v>
      </c>
      <c r="N320" s="171">
        <f>sales[[#This Row],[Total Price]]*2.5%</f>
        <v>42.2</v>
      </c>
      <c r="O320" s="9">
        <f>sales[[#This Row],[Total Price]]*1.5%</f>
        <v>25.32</v>
      </c>
      <c r="R320" s="5" t="str">
        <f>_xlfn.CONCAT(sales[[#This Row],[Shop]]," ",sales[[#This Row],[Location]])</f>
        <v>Tai Po Yata</v>
      </c>
    </row>
    <row r="321" spans="1:18" ht="16.5" customHeight="1">
      <c r="A321" s="7">
        <v>319</v>
      </c>
      <c r="B321" s="2" t="s">
        <v>998</v>
      </c>
      <c r="C321" s="5" t="s">
        <v>1000</v>
      </c>
      <c r="D321" s="2" t="str">
        <f ca="1">OFFSET(Roster!$B$7, MATCH(B321&amp;" "&amp;C321&amp;"*",Roster!$B$8:$B$20,0),DAY(sales[[#This Row],[date]]),1, 1)</f>
        <v>Joe</v>
      </c>
      <c r="E321" s="2">
        <f>MONTH(sales[[#This Row],[date]])</f>
        <v>6</v>
      </c>
      <c r="F321" s="233">
        <v>46187</v>
      </c>
      <c r="G321" s="3" t="e">
        <f>VLOOKUP("*"&amp;sales[[#This Row],[Input]]&amp;"*",'Ref-List'!$A:$C,1,0)</f>
        <v>#N/A</v>
      </c>
      <c r="H321" s="2" t="e">
        <f>VLOOKUP("*"&amp;G321&amp;"*",'Ref-List'!$A:$C,3,0)</f>
        <v>#N/A</v>
      </c>
      <c r="I321" s="2">
        <v>6991</v>
      </c>
      <c r="J321" s="2">
        <v>1</v>
      </c>
      <c r="K321" s="2">
        <v>4288</v>
      </c>
      <c r="L321" s="2">
        <f>sales[[#This Row],[quantity]]*sales[[#This Row],[price]]</f>
        <v>4288</v>
      </c>
      <c r="M321" s="9">
        <f>sales[[#This Row],[Total Price]]*3%</f>
        <v>128.63999999999999</v>
      </c>
      <c r="N321" s="171">
        <f>sales[[#This Row],[Total Price]]*2.5%</f>
        <v>107.2</v>
      </c>
      <c r="O321" s="9">
        <f>sales[[#This Row],[Total Price]]*1.5%</f>
        <v>64.319999999999993</v>
      </c>
      <c r="R321" s="5" t="str">
        <f>_xlfn.CONCAT(sales[[#This Row],[Shop]]," ",sales[[#This Row],[Location]])</f>
        <v>Tai Po Yata</v>
      </c>
    </row>
    <row r="322" spans="1:18" ht="17.25" customHeight="1">
      <c r="A322" s="7">
        <v>320</v>
      </c>
      <c r="B322" s="2" t="s">
        <v>998</v>
      </c>
      <c r="C322" s="5" t="s">
        <v>1000</v>
      </c>
      <c r="D322" s="2" t="str">
        <f ca="1">OFFSET(Roster!$B$7, MATCH(B322&amp;" "&amp;C322&amp;"*",Roster!$B$8:$B$20,0),DAY(sales[[#This Row],[date]]),1, 1)</f>
        <v>Joe</v>
      </c>
      <c r="E322" s="2">
        <f>MONTH(sales[[#This Row],[date]])</f>
        <v>6</v>
      </c>
      <c r="F322" s="233">
        <v>46187</v>
      </c>
      <c r="G322" s="3" t="e">
        <f>VLOOKUP("*"&amp;sales[[#This Row],[Input]]&amp;"*",'Ref-List'!$A:$C,1,0)</f>
        <v>#N/A</v>
      </c>
      <c r="H322" s="2" t="e">
        <f>VLOOKUP("*"&amp;G322&amp;"*",'Ref-List'!$A:$C,3,0)</f>
        <v>#N/A</v>
      </c>
      <c r="I322" s="5">
        <v>6902</v>
      </c>
      <c r="J322" s="2">
        <v>1</v>
      </c>
      <c r="K322" s="2">
        <v>2688</v>
      </c>
      <c r="L322" s="2">
        <f>sales[[#This Row],[quantity]]*sales[[#This Row],[price]]</f>
        <v>2688</v>
      </c>
      <c r="M322" s="9">
        <f>sales[[#This Row],[Total Price]]*3%</f>
        <v>80.64</v>
      </c>
      <c r="N322" s="171">
        <f>sales[[#This Row],[Total Price]]*2.5%</f>
        <v>67.2</v>
      </c>
      <c r="O322" s="9">
        <f>sales[[#This Row],[Total Price]]*1.5%</f>
        <v>40.32</v>
      </c>
      <c r="R322" s="5" t="str">
        <f>_xlfn.CONCAT(sales[[#This Row],[Shop]]," ",sales[[#This Row],[Location]])</f>
        <v>Tai Po Yata</v>
      </c>
    </row>
    <row r="323" spans="1:18" ht="16.5" customHeight="1">
      <c r="A323" s="7">
        <v>321</v>
      </c>
      <c r="B323" s="2" t="s">
        <v>998</v>
      </c>
      <c r="C323" s="5" t="s">
        <v>1000</v>
      </c>
      <c r="D323" s="2" t="str">
        <f ca="1">OFFSET(Roster!$B$7, MATCH(B323&amp;" "&amp;C323&amp;"*",Roster!$B$8:$B$20,0),DAY(sales[[#This Row],[date]]),1, 1)</f>
        <v>Joe</v>
      </c>
      <c r="E323" s="2">
        <f>MONTH(sales[[#This Row],[date]])</f>
        <v>6</v>
      </c>
      <c r="F323" s="233">
        <v>46187</v>
      </c>
      <c r="G323" s="3" t="e">
        <f>VLOOKUP("*"&amp;sales[[#This Row],[Input]]&amp;"*",'Ref-List'!$A:$C,1,0)</f>
        <v>#N/A</v>
      </c>
      <c r="H323" s="2" t="e">
        <f>VLOOKUP("*"&amp;G323&amp;"*",'Ref-List'!$A:$C,3,0)</f>
        <v>#N/A</v>
      </c>
      <c r="I323" s="2">
        <v>833</v>
      </c>
      <c r="J323" s="2">
        <v>1</v>
      </c>
      <c r="K323" s="2">
        <v>1288</v>
      </c>
      <c r="L323" s="2">
        <f>sales[[#This Row],[quantity]]*sales[[#This Row],[price]]</f>
        <v>1288</v>
      </c>
      <c r="M323" s="9">
        <f>sales[[#This Row],[Total Price]]*3%</f>
        <v>38.64</v>
      </c>
      <c r="N323" s="171">
        <f>sales[[#This Row],[Total Price]]*2.5%</f>
        <v>32.200000000000003</v>
      </c>
      <c r="O323" s="9">
        <f>sales[[#This Row],[Total Price]]*1.5%</f>
        <v>19.32</v>
      </c>
      <c r="R323" s="5" t="str">
        <f>_xlfn.CONCAT(sales[[#This Row],[Shop]]," ",sales[[#This Row],[Location]])</f>
        <v>Tai Po Yata</v>
      </c>
    </row>
    <row r="324" spans="1:18" ht="16.5" customHeight="1">
      <c r="A324" s="7">
        <v>322</v>
      </c>
      <c r="B324" s="2" t="s">
        <v>998</v>
      </c>
      <c r="C324" s="5" t="s">
        <v>1000</v>
      </c>
      <c r="D324" s="2" t="str">
        <f ca="1">OFFSET(Roster!$B$7, MATCH(B324&amp;" "&amp;C324&amp;"*",Roster!$B$8:$B$20,0),DAY(sales[[#This Row],[date]]),1, 1)</f>
        <v>Joe</v>
      </c>
      <c r="E324" s="2">
        <f>MONTH(sales[[#This Row],[date]])</f>
        <v>6</v>
      </c>
      <c r="F324" s="233">
        <v>46187</v>
      </c>
      <c r="G324" s="3" t="e">
        <f>VLOOKUP("*"&amp;sales[[#This Row],[Input]]&amp;"*",'Ref-List'!$A:$C,1,0)</f>
        <v>#N/A</v>
      </c>
      <c r="H324" s="2" t="e">
        <f>VLOOKUP("*"&amp;G324&amp;"*",'Ref-List'!$A:$C,3,0)</f>
        <v>#N/A</v>
      </c>
      <c r="I324" s="2">
        <v>9332</v>
      </c>
      <c r="J324" s="2">
        <v>1</v>
      </c>
      <c r="K324" s="2">
        <v>1288</v>
      </c>
      <c r="L324" s="2">
        <f>sales[[#This Row],[quantity]]*sales[[#This Row],[price]]</f>
        <v>1288</v>
      </c>
      <c r="M324" s="9">
        <f>sales[[#This Row],[Total Price]]*3%</f>
        <v>38.64</v>
      </c>
      <c r="N324" s="171">
        <f>sales[[#This Row],[Total Price]]*2.5%</f>
        <v>32.200000000000003</v>
      </c>
      <c r="O324" s="9">
        <f>sales[[#This Row],[Total Price]]*1.5%</f>
        <v>19.32</v>
      </c>
      <c r="R324" s="5" t="str">
        <f>_xlfn.CONCAT(sales[[#This Row],[Shop]]," ",sales[[#This Row],[Location]])</f>
        <v>Tai Po Yata</v>
      </c>
    </row>
    <row r="325" spans="1:18" ht="16.5" customHeight="1">
      <c r="A325" s="7">
        <v>323</v>
      </c>
      <c r="B325" s="2" t="s">
        <v>998</v>
      </c>
      <c r="C325" s="5" t="s">
        <v>1000</v>
      </c>
      <c r="D325" s="2" t="str">
        <f ca="1">OFFSET(Roster!$B$7, MATCH(B325&amp;" "&amp;C325&amp;"*",Roster!$B$8:$B$20,0),DAY(sales[[#This Row],[date]]),1, 1)</f>
        <v>Joe</v>
      </c>
      <c r="E325" s="2">
        <f>MONTH(sales[[#This Row],[date]])</f>
        <v>6</v>
      </c>
      <c r="F325" s="233">
        <v>46187</v>
      </c>
      <c r="G325" s="3" t="str">
        <f>VLOOKUP("*"&amp;sales[[#This Row],[Input]]&amp;"*",'Ref-List'!$A:$C,1,0)</f>
        <v>6911+553</v>
      </c>
      <c r="H325" s="2" t="str">
        <f>VLOOKUP("*"&amp;G325&amp;"*",'Ref-List'!$A:$C,3,0)</f>
        <v>冷熱飲水機 + 濾心</v>
      </c>
      <c r="I325" s="2">
        <v>553</v>
      </c>
      <c r="J325" s="2">
        <v>1</v>
      </c>
      <c r="K325" s="2">
        <v>598</v>
      </c>
      <c r="L325" s="2">
        <f>sales[[#This Row],[quantity]]*sales[[#This Row],[price]]</f>
        <v>598</v>
      </c>
      <c r="M325" s="9">
        <f>sales[[#This Row],[Total Price]]*3%</f>
        <v>17.939999999999998</v>
      </c>
      <c r="N325" s="171">
        <f>sales[[#This Row],[Total Price]]*2.5%</f>
        <v>14.950000000000001</v>
      </c>
      <c r="O325" s="9">
        <f>sales[[#This Row],[Total Price]]*1.5%</f>
        <v>8.9699999999999989</v>
      </c>
      <c r="R325" s="5" t="str">
        <f>_xlfn.CONCAT(sales[[#This Row],[Shop]]," ",sales[[#This Row],[Location]])</f>
        <v>Tai Po Yata</v>
      </c>
    </row>
    <row r="326" spans="1:18" ht="16.5" customHeight="1">
      <c r="A326" s="7">
        <v>324</v>
      </c>
      <c r="B326" s="2" t="s">
        <v>998</v>
      </c>
      <c r="C326" s="5" t="s">
        <v>1000</v>
      </c>
      <c r="D326" s="2" t="str">
        <f ca="1">OFFSET(Roster!$B$7, MATCH(B326&amp;" "&amp;C326&amp;"*",Roster!$B$8:$B$20,0),DAY(sales[[#This Row],[date]]),1, 1)</f>
        <v>Joe</v>
      </c>
      <c r="E326" s="2">
        <f>MONTH(sales[[#This Row],[date]])</f>
        <v>6</v>
      </c>
      <c r="F326" s="233">
        <v>46187</v>
      </c>
      <c r="G326" s="3" t="e">
        <f>VLOOKUP("*"&amp;sales[[#This Row],[Input]]&amp;"*",'Ref-List'!$A:$C,1,0)</f>
        <v>#N/A</v>
      </c>
      <c r="H326" s="2" t="e">
        <f>VLOOKUP("*"&amp;G326&amp;"*",'Ref-List'!$A:$C,3,0)</f>
        <v>#N/A</v>
      </c>
      <c r="I326" s="2">
        <v>583</v>
      </c>
      <c r="J326" s="2">
        <v>2</v>
      </c>
      <c r="K326" s="2">
        <v>848</v>
      </c>
      <c r="L326" s="2">
        <f>sales[[#This Row],[quantity]]*sales[[#This Row],[price]]</f>
        <v>1696</v>
      </c>
      <c r="M326" s="9">
        <f>sales[[#This Row],[Total Price]]*3%</f>
        <v>50.879999999999995</v>
      </c>
      <c r="N326" s="171">
        <f>sales[[#This Row],[Total Price]]*2.5%</f>
        <v>42.400000000000006</v>
      </c>
      <c r="O326" s="9">
        <f>sales[[#This Row],[Total Price]]*1.5%</f>
        <v>25.439999999999998</v>
      </c>
      <c r="R326" s="5" t="str">
        <f>_xlfn.CONCAT(sales[[#This Row],[Shop]]," ",sales[[#This Row],[Location]])</f>
        <v>Tai Po Yata</v>
      </c>
    </row>
    <row r="327" spans="1:18" ht="16.5" customHeight="1">
      <c r="A327" s="7">
        <v>325</v>
      </c>
      <c r="B327" s="2" t="s">
        <v>998</v>
      </c>
      <c r="C327" s="5" t="s">
        <v>1000</v>
      </c>
      <c r="D327" s="2" t="str">
        <f ca="1">OFFSET(Roster!$B$7, MATCH(B327&amp;" "&amp;C327&amp;"*",Roster!$B$8:$B$20,0),DAY(sales[[#This Row],[date]]),1, 1)</f>
        <v>Joe</v>
      </c>
      <c r="E327" s="2">
        <f>MONTH(sales[[#This Row],[date]])</f>
        <v>6</v>
      </c>
      <c r="F327" s="233">
        <v>46187</v>
      </c>
      <c r="G327" s="3" t="str">
        <f>VLOOKUP("*"&amp;sales[[#This Row],[Input]]&amp;"*",'Ref-List'!$A:$C,1,0)</f>
        <v>1775+175</v>
      </c>
      <c r="H327" s="2" t="str">
        <f>VLOOKUP("*"&amp;G327&amp;"*",'Ref-List'!$A:$C,3,0)</f>
        <v>淋浴淨水器套裝</v>
      </c>
      <c r="I327" s="5" t="s">
        <v>1002</v>
      </c>
      <c r="J327" s="2">
        <v>1</v>
      </c>
      <c r="K327" s="2">
        <v>568</v>
      </c>
      <c r="L327" s="2">
        <f>sales[[#This Row],[quantity]]*sales[[#This Row],[price]]</f>
        <v>568</v>
      </c>
      <c r="M327" s="9">
        <f>sales[[#This Row],[Total Price]]*3%</f>
        <v>17.04</v>
      </c>
      <c r="N327" s="171">
        <f>sales[[#This Row],[Total Price]]*2.5%</f>
        <v>14.200000000000001</v>
      </c>
      <c r="O327" s="9">
        <f>sales[[#This Row],[Total Price]]*1.5%</f>
        <v>8.52</v>
      </c>
      <c r="R327" s="5" t="str">
        <f>_xlfn.CONCAT(sales[[#This Row],[Shop]]," ",sales[[#This Row],[Location]])</f>
        <v>Tai Po Yata</v>
      </c>
    </row>
    <row r="328" spans="1:18" ht="16.5" customHeight="1">
      <c r="A328" s="7">
        <v>326</v>
      </c>
      <c r="B328" s="2" t="s">
        <v>998</v>
      </c>
      <c r="C328" s="5" t="s">
        <v>1000</v>
      </c>
      <c r="D328" s="2" t="str">
        <f ca="1">OFFSET(Roster!$B$7, MATCH(B328&amp;" "&amp;C328&amp;"*",Roster!$B$8:$B$20,0),DAY(sales[[#This Row],[date]]),1, 1)</f>
        <v>Joe</v>
      </c>
      <c r="E328" s="2">
        <f>MONTH(sales[[#This Row],[date]])</f>
        <v>6</v>
      </c>
      <c r="F328" s="233">
        <v>46187</v>
      </c>
      <c r="G328" s="3" t="str">
        <f>VLOOKUP("*"&amp;sales[[#This Row],[Input]]&amp;"*",'Ref-List'!$A:$C,1,0)</f>
        <v>3733+3922</v>
      </c>
      <c r="H328" s="2" t="str">
        <f>VLOOKUP("*"&amp;G328&amp;"*",'Ref-List'!$A:$C,3,0)</f>
        <v>超濾龍頭式淨水器組合</v>
      </c>
      <c r="I328" s="2">
        <v>3922</v>
      </c>
      <c r="J328" s="2">
        <v>2</v>
      </c>
      <c r="K328" s="2">
        <v>648</v>
      </c>
      <c r="L328" s="2">
        <f>sales[[#This Row],[quantity]]*sales[[#This Row],[price]]</f>
        <v>1296</v>
      </c>
      <c r="M328" s="9">
        <f>sales[[#This Row],[Total Price]]*3%</f>
        <v>38.879999999999995</v>
      </c>
      <c r="N328" s="171">
        <f>sales[[#This Row],[Total Price]]*2.5%</f>
        <v>32.4</v>
      </c>
      <c r="O328" s="9">
        <f>sales[[#This Row],[Total Price]]*1.5%</f>
        <v>19.439999999999998</v>
      </c>
      <c r="R328" s="5" t="str">
        <f>_xlfn.CONCAT(sales[[#This Row],[Shop]]," ",sales[[#This Row],[Location]])</f>
        <v>Tai Po Yata</v>
      </c>
    </row>
    <row r="329" spans="1:18" ht="16.5" customHeight="1">
      <c r="A329" s="7">
        <v>327</v>
      </c>
      <c r="B329" s="2" t="s">
        <v>998</v>
      </c>
      <c r="C329" s="5" t="s">
        <v>1000</v>
      </c>
      <c r="D329" s="2" t="str">
        <f ca="1">OFFSET(Roster!$B$7, MATCH(B329&amp;" "&amp;C329&amp;"*",Roster!$B$8:$B$20,0),DAY(sales[[#This Row],[date]]),1, 1)</f>
        <v>Joe</v>
      </c>
      <c r="E329" s="2">
        <f>MONTH(sales[[#This Row],[date]])</f>
        <v>6</v>
      </c>
      <c r="F329" s="233">
        <v>46187</v>
      </c>
      <c r="G329" s="3" t="str">
        <f>VLOOKUP("*"&amp;sales[[#This Row],[Input]]&amp;"*",'Ref-List'!$A:$C,1,0)</f>
        <v>3812+3922</v>
      </c>
      <c r="H329" s="2" t="str">
        <f>VLOOKUP("*"&amp;G329&amp;"*",'Ref-List'!$A:$C,3,0)</f>
        <v>超濾龍頭式淨水器組合</v>
      </c>
      <c r="I329" s="5" t="s">
        <v>980</v>
      </c>
      <c r="J329" s="2">
        <v>2</v>
      </c>
      <c r="K329" s="2">
        <v>798</v>
      </c>
      <c r="L329" s="2">
        <f>sales[[#This Row],[quantity]]*sales[[#This Row],[price]]</f>
        <v>1596</v>
      </c>
      <c r="M329" s="9">
        <f>sales[[#This Row],[Total Price]]*3%</f>
        <v>47.879999999999995</v>
      </c>
      <c r="N329" s="171">
        <f>sales[[#This Row],[Total Price]]*2.5%</f>
        <v>39.900000000000006</v>
      </c>
      <c r="O329" s="9">
        <f>sales[[#This Row],[Total Price]]*1.5%</f>
        <v>23.939999999999998</v>
      </c>
      <c r="R329" s="5" t="str">
        <f>_xlfn.CONCAT(sales[[#This Row],[Shop]]," ",sales[[#This Row],[Location]])</f>
        <v>Tai Po Yata</v>
      </c>
    </row>
    <row r="330" spans="1:18" ht="16.5" customHeight="1">
      <c r="A330" s="7">
        <v>328</v>
      </c>
      <c r="B330" s="2" t="s">
        <v>998</v>
      </c>
      <c r="C330" s="5" t="s">
        <v>1000</v>
      </c>
      <c r="D330" s="2" t="str">
        <f ca="1">OFFSET(Roster!$B$7, MATCH(B330&amp;" "&amp;C330&amp;"*",Roster!$B$8:$B$20,0),DAY(sales[[#This Row],[date]]),1, 1)</f>
        <v>Joe</v>
      </c>
      <c r="E330" s="2">
        <f>MONTH(sales[[#This Row],[date]])</f>
        <v>6</v>
      </c>
      <c r="F330" s="233">
        <v>46187</v>
      </c>
      <c r="G330" s="3" t="str">
        <f>VLOOKUP("*"&amp;sales[[#This Row],[Input]]&amp;"*",'Ref-List'!$A:$C,1,0)</f>
        <v>1775+175</v>
      </c>
      <c r="H330" s="2" t="str">
        <f>VLOOKUP("*"&amp;G330&amp;"*",'Ref-List'!$A:$C,3,0)</f>
        <v>淋浴淨水器套裝</v>
      </c>
      <c r="I330" s="2">
        <v>175</v>
      </c>
      <c r="J330" s="2">
        <v>1</v>
      </c>
      <c r="K330" s="2">
        <v>295.2</v>
      </c>
      <c r="L330" s="2">
        <f>sales[[#This Row],[quantity]]*sales[[#This Row],[price]]</f>
        <v>295.2</v>
      </c>
      <c r="M330" s="9">
        <f>sales[[#This Row],[Total Price]]*3%</f>
        <v>8.8559999999999999</v>
      </c>
      <c r="N330" s="171">
        <f>sales[[#This Row],[Total Price]]*2.5%</f>
        <v>7.38</v>
      </c>
      <c r="O330" s="9">
        <f>sales[[#This Row],[Total Price]]*1.5%</f>
        <v>4.4279999999999999</v>
      </c>
      <c r="R330" s="5" t="str">
        <f>_xlfn.CONCAT(sales[[#This Row],[Shop]]," ",sales[[#This Row],[Location]])</f>
        <v>Tai Po Yata</v>
      </c>
    </row>
    <row r="331" spans="1:18" ht="16.5" customHeight="1">
      <c r="A331" s="7">
        <v>329</v>
      </c>
      <c r="B331" s="2" t="s">
        <v>998</v>
      </c>
      <c r="C331" s="5" t="s">
        <v>1000</v>
      </c>
      <c r="D331" s="2" t="str">
        <f ca="1">OFFSET(Roster!$B$7, MATCH(B331&amp;" "&amp;C331&amp;"*",Roster!$B$8:$B$20,0),DAY(sales[[#This Row],[date]]),1, 1)</f>
        <v>Joe</v>
      </c>
      <c r="E331" s="2">
        <f>MONTH(sales[[#This Row],[date]])</f>
        <v>6</v>
      </c>
      <c r="F331" s="233">
        <v>46187</v>
      </c>
      <c r="G331" s="3" t="e">
        <f>VLOOKUP("*"&amp;sales[[#This Row],[Input]]&amp;"*",'Ref-List'!$A:$C,1,0)</f>
        <v>#N/A</v>
      </c>
      <c r="H331" s="2" t="e">
        <f>VLOOKUP("*"&amp;G331&amp;"*",'Ref-List'!$A:$C,3,0)</f>
        <v>#N/A</v>
      </c>
      <c r="I331" s="2">
        <v>547</v>
      </c>
      <c r="J331" s="2">
        <v>3</v>
      </c>
      <c r="K331" s="2">
        <v>168</v>
      </c>
      <c r="L331" s="2">
        <f>sales[[#This Row],[quantity]]*sales[[#This Row],[price]]</f>
        <v>504</v>
      </c>
      <c r="M331" s="9">
        <f>sales[[#This Row],[Total Price]]*3%</f>
        <v>15.12</v>
      </c>
      <c r="N331" s="171">
        <f>sales[[#This Row],[Total Price]]*2.5%</f>
        <v>12.600000000000001</v>
      </c>
      <c r="O331" s="9">
        <f>sales[[#This Row],[Total Price]]*1.5%</f>
        <v>7.56</v>
      </c>
      <c r="R331" s="5" t="str">
        <f>_xlfn.CONCAT(sales[[#This Row],[Shop]]," ",sales[[#This Row],[Location]])</f>
        <v>Tai Po Yata</v>
      </c>
    </row>
    <row r="332" spans="1:18" ht="16.5" customHeight="1">
      <c r="A332" s="7">
        <v>330</v>
      </c>
      <c r="B332" s="2" t="s">
        <v>998</v>
      </c>
      <c r="C332" s="5" t="s">
        <v>1000</v>
      </c>
      <c r="D332" s="2" t="str">
        <f ca="1">OFFSET(Roster!$B$7, MATCH(B332&amp;" "&amp;C332&amp;"*",Roster!$B$8:$B$20,0),DAY(sales[[#This Row],[date]]),1, 1)</f>
        <v>Joe</v>
      </c>
      <c r="E332" s="2">
        <f>MONTH(sales[[#This Row],[date]])</f>
        <v>6</v>
      </c>
      <c r="F332" s="233">
        <v>46187</v>
      </c>
      <c r="G332" s="3" t="str">
        <f>VLOOKUP("*"&amp;sales[[#This Row],[Input]]&amp;"*",'Ref-List'!$A:$C,1,0)</f>
        <v>6901+541</v>
      </c>
      <c r="H332" s="2" t="str">
        <f>VLOOKUP("*"&amp;G332&amp;"*",'Ref-List'!$A:$C,3,0)</f>
        <v>RO純淨飲水機 + 濾芯</v>
      </c>
      <c r="I332" s="2">
        <v>541</v>
      </c>
      <c r="J332" s="2">
        <v>5</v>
      </c>
      <c r="K332" s="2">
        <v>598</v>
      </c>
      <c r="L332" s="2">
        <f>sales[[#This Row],[quantity]]*sales[[#This Row],[price]]</f>
        <v>2990</v>
      </c>
      <c r="M332" s="9">
        <f>sales[[#This Row],[Total Price]]*3%</f>
        <v>89.7</v>
      </c>
      <c r="N332" s="171">
        <f>sales[[#This Row],[Total Price]]*2.5%</f>
        <v>74.75</v>
      </c>
      <c r="O332" s="9">
        <f>sales[[#This Row],[Total Price]]*1.5%</f>
        <v>44.85</v>
      </c>
      <c r="R332" s="5" t="str">
        <f>_xlfn.CONCAT(sales[[#This Row],[Shop]]," ",sales[[#This Row],[Location]])</f>
        <v>Tai Po Yata</v>
      </c>
    </row>
    <row r="333" spans="1:18" ht="16.5" customHeight="1">
      <c r="A333" s="7">
        <v>331</v>
      </c>
      <c r="B333" s="2" t="s">
        <v>998</v>
      </c>
      <c r="C333" s="5" t="s">
        <v>1000</v>
      </c>
      <c r="D333" s="2" t="str">
        <f ca="1">OFFSET(Roster!$B$7, MATCH(B333&amp;" "&amp;C333&amp;"*",Roster!$B$8:$B$20,0),DAY(sales[[#This Row],[date]]),1, 1)</f>
        <v>Joe</v>
      </c>
      <c r="E333" s="2">
        <f>MONTH(sales[[#This Row],[date]])</f>
        <v>6</v>
      </c>
      <c r="F333" s="233">
        <v>46187</v>
      </c>
      <c r="G333" s="3" t="e">
        <f>VLOOKUP("*"&amp;sales[[#This Row],[Input]]&amp;"*",'Ref-List'!$A:$C,1,0)</f>
        <v>#N/A</v>
      </c>
      <c r="H333" s="2" t="e">
        <f>VLOOKUP("*"&amp;G333&amp;"*",'Ref-List'!$A:$C,3,0)</f>
        <v>#N/A</v>
      </c>
      <c r="I333" s="2">
        <v>6902</v>
      </c>
      <c r="J333" s="2">
        <v>1</v>
      </c>
      <c r="K333" s="2">
        <v>2688</v>
      </c>
      <c r="L333" s="2">
        <f>sales[[#This Row],[quantity]]*sales[[#This Row],[price]]</f>
        <v>2688</v>
      </c>
      <c r="M333" s="9">
        <f>sales[[#This Row],[Total Price]]*3%</f>
        <v>80.64</v>
      </c>
      <c r="N333" s="171">
        <f>sales[[#This Row],[Total Price]]*2.5%</f>
        <v>67.2</v>
      </c>
      <c r="O333" s="9">
        <f>sales[[#This Row],[Total Price]]*1.5%</f>
        <v>40.32</v>
      </c>
      <c r="R333" s="5" t="str">
        <f>_xlfn.CONCAT(sales[[#This Row],[Shop]]," ",sales[[#This Row],[Location]])</f>
        <v>Tai Po Yata</v>
      </c>
    </row>
    <row r="334" spans="1:18" ht="16.5" customHeight="1">
      <c r="A334" s="7">
        <v>332</v>
      </c>
      <c r="B334" s="2" t="s">
        <v>998</v>
      </c>
      <c r="C334" s="5" t="s">
        <v>1000</v>
      </c>
      <c r="D334" s="2" t="str">
        <f ca="1">OFFSET(Roster!$B$7, MATCH(B334&amp;" "&amp;C334&amp;"*",Roster!$B$8:$B$20,0),DAY(sales[[#This Row],[date]]),1, 1)</f>
        <v>Joe</v>
      </c>
      <c r="E334" s="2">
        <f>MONTH(sales[[#This Row],[date]])</f>
        <v>6</v>
      </c>
      <c r="F334" s="233">
        <v>46187</v>
      </c>
      <c r="G334" s="3" t="str">
        <f>VLOOKUP("*"&amp;sales[[#This Row],[Input]]&amp;"*",'Ref-List'!$A:$C,1,0)</f>
        <v>6901+541</v>
      </c>
      <c r="H334" s="2" t="str">
        <f>VLOOKUP("*"&amp;G334&amp;"*",'Ref-List'!$A:$C,3,0)</f>
        <v>RO純淨飲水機 + 濾芯</v>
      </c>
      <c r="I334" s="2">
        <v>541</v>
      </c>
      <c r="J334" s="2">
        <v>1</v>
      </c>
      <c r="K334" s="2">
        <v>598</v>
      </c>
      <c r="L334" s="2">
        <f>sales[[#This Row],[quantity]]*sales[[#This Row],[price]]</f>
        <v>598</v>
      </c>
      <c r="M334" s="9">
        <f>sales[[#This Row],[Total Price]]*3%</f>
        <v>17.939999999999998</v>
      </c>
      <c r="N334" s="171">
        <f>sales[[#This Row],[Total Price]]*2.5%</f>
        <v>14.950000000000001</v>
      </c>
      <c r="O334" s="9">
        <f>sales[[#This Row],[Total Price]]*1.5%</f>
        <v>8.9699999999999989</v>
      </c>
      <c r="R334" s="5" t="str">
        <f>_xlfn.CONCAT(sales[[#This Row],[Shop]]," ",sales[[#This Row],[Location]])</f>
        <v>Tai Po Yata</v>
      </c>
    </row>
    <row r="335" spans="1:18" ht="16.5" customHeight="1">
      <c r="A335" s="7">
        <v>333</v>
      </c>
      <c r="B335" s="2" t="s">
        <v>998</v>
      </c>
      <c r="C335" s="5" t="s">
        <v>1000</v>
      </c>
      <c r="D335" s="2" t="str">
        <f ca="1">OFFSET(Roster!$B$7, MATCH(B335&amp;" "&amp;C335&amp;"*",Roster!$B$8:$B$20,0),DAY(sales[[#This Row],[date]]),1, 1)</f>
        <v>Joe</v>
      </c>
      <c r="E335" s="2">
        <f>MONTH(sales[[#This Row],[date]])</f>
        <v>6</v>
      </c>
      <c r="F335" s="233">
        <v>46187</v>
      </c>
      <c r="G335" s="3" t="e">
        <f>VLOOKUP("*"&amp;sales[[#This Row],[Input]]&amp;"*",'Ref-List'!$A:$C,1,0)</f>
        <v>#N/A</v>
      </c>
      <c r="H335" s="2" t="e">
        <f>VLOOKUP("*"&amp;G335&amp;"*",'Ref-List'!$A:$C,3,0)</f>
        <v>#N/A</v>
      </c>
      <c r="I335" s="2">
        <v>547</v>
      </c>
      <c r="J335" s="2">
        <v>1</v>
      </c>
      <c r="K335" s="2">
        <v>168</v>
      </c>
      <c r="L335" s="2">
        <f>sales[[#This Row],[quantity]]*sales[[#This Row],[price]]</f>
        <v>168</v>
      </c>
      <c r="M335" s="9">
        <f>sales[[#This Row],[Total Price]]*3%</f>
        <v>5.04</v>
      </c>
      <c r="N335" s="171">
        <f>sales[[#This Row],[Total Price]]*2.5%</f>
        <v>4.2</v>
      </c>
      <c r="O335" s="9">
        <f>sales[[#This Row],[Total Price]]*1.5%</f>
        <v>2.52</v>
      </c>
      <c r="R335" s="5" t="str">
        <f>_xlfn.CONCAT(sales[[#This Row],[Shop]]," ",sales[[#This Row],[Location]])</f>
        <v>Tai Po Yata</v>
      </c>
    </row>
    <row r="336" spans="1:18" ht="16.5" customHeight="1">
      <c r="A336" s="7">
        <v>334</v>
      </c>
      <c r="B336" s="2" t="s">
        <v>998</v>
      </c>
      <c r="C336" s="5" t="s">
        <v>1000</v>
      </c>
      <c r="D336" s="2" t="str">
        <f ca="1">OFFSET(Roster!$B$7, MATCH(B336&amp;" "&amp;C336&amp;"*",Roster!$B$8:$B$20,0),DAY(sales[[#This Row],[date]]),1, 1)</f>
        <v>Joe</v>
      </c>
      <c r="E336" s="2">
        <f>MONTH(sales[[#This Row],[date]])</f>
        <v>6</v>
      </c>
      <c r="F336" s="233">
        <v>46192</v>
      </c>
      <c r="G336" s="3" t="str">
        <f>VLOOKUP("*"&amp;sales[[#This Row],[Input]]&amp;"*",'Ref-List'!$A:$C,1,0)</f>
        <v>3733+3922</v>
      </c>
      <c r="H336" s="2" t="str">
        <f>VLOOKUP("*"&amp;G336&amp;"*",'Ref-List'!$A:$C,3,0)</f>
        <v>超濾龍頭式淨水器組合</v>
      </c>
      <c r="I336" s="2">
        <v>3922</v>
      </c>
      <c r="J336" s="2">
        <v>2</v>
      </c>
      <c r="K336" s="2">
        <v>648</v>
      </c>
      <c r="L336" s="2">
        <f>sales[[#This Row],[quantity]]*sales[[#This Row],[price]]</f>
        <v>1296</v>
      </c>
      <c r="M336" s="9">
        <f>sales[[#This Row],[Total Price]]*3%</f>
        <v>38.879999999999995</v>
      </c>
      <c r="N336" s="171">
        <f>sales[[#This Row],[Total Price]]*2.5%</f>
        <v>32.4</v>
      </c>
      <c r="O336" s="9">
        <f>sales[[#This Row],[Total Price]]*1.5%</f>
        <v>19.439999999999998</v>
      </c>
      <c r="R336" s="5" t="str">
        <f>_xlfn.CONCAT(sales[[#This Row],[Shop]]," ",sales[[#This Row],[Location]])</f>
        <v>Tai Po Yata</v>
      </c>
    </row>
    <row r="337" spans="1:18" ht="16.5" customHeight="1">
      <c r="A337" s="7">
        <v>335</v>
      </c>
      <c r="B337" s="2" t="s">
        <v>998</v>
      </c>
      <c r="C337" s="5" t="s">
        <v>1000</v>
      </c>
      <c r="D337" s="2" t="str">
        <f ca="1">OFFSET(Roster!$B$7, MATCH(B337&amp;" "&amp;C337&amp;"*",Roster!$B$8:$B$20,0),DAY(sales[[#This Row],[date]]),1, 1)</f>
        <v>Joe</v>
      </c>
      <c r="E337" s="2">
        <f>MONTH(sales[[#This Row],[date]])</f>
        <v>6</v>
      </c>
      <c r="F337" s="233">
        <v>46192</v>
      </c>
      <c r="G337" s="3" t="str">
        <f>VLOOKUP("*"&amp;sales[[#This Row],[Input]]&amp;"*",'Ref-List'!$A:$C,1,0)</f>
        <v>3812+3922</v>
      </c>
      <c r="H337" s="2" t="str">
        <f>VLOOKUP("*"&amp;G337&amp;"*",'Ref-List'!$A:$C,3,0)</f>
        <v>超濾龍頭式淨水器組合</v>
      </c>
      <c r="I337" s="5" t="s">
        <v>980</v>
      </c>
      <c r="J337" s="2">
        <v>1</v>
      </c>
      <c r="K337" s="2">
        <v>798</v>
      </c>
      <c r="L337" s="2">
        <f>sales[[#This Row],[quantity]]*sales[[#This Row],[price]]</f>
        <v>798</v>
      </c>
      <c r="M337" s="9">
        <f>sales[[#This Row],[Total Price]]*3%</f>
        <v>23.939999999999998</v>
      </c>
      <c r="N337" s="171">
        <f>sales[[#This Row],[Total Price]]*2.5%</f>
        <v>19.950000000000003</v>
      </c>
      <c r="O337" s="9">
        <f>sales[[#This Row],[Total Price]]*1.5%</f>
        <v>11.969999999999999</v>
      </c>
      <c r="R337" s="5" t="str">
        <f>_xlfn.CONCAT(sales[[#This Row],[Shop]]," ",sales[[#This Row],[Location]])</f>
        <v>Tai Po Yata</v>
      </c>
    </row>
    <row r="338" spans="1:18" ht="16.5" customHeight="1">
      <c r="A338" s="7">
        <v>336</v>
      </c>
      <c r="B338" s="2" t="s">
        <v>998</v>
      </c>
      <c r="C338" s="5" t="s">
        <v>1000</v>
      </c>
      <c r="D338" s="2" t="str">
        <f ca="1">OFFSET(Roster!$B$7, MATCH(B338&amp;" "&amp;C338&amp;"*",Roster!$B$8:$B$20,0),DAY(sales[[#This Row],[date]]),1, 1)</f>
        <v>Joe</v>
      </c>
      <c r="E338" s="2">
        <f>MONTH(sales[[#This Row],[date]])</f>
        <v>6</v>
      </c>
      <c r="F338" s="233">
        <v>46192</v>
      </c>
      <c r="G338" s="3" t="str">
        <f>VLOOKUP("*"&amp;sales[[#This Row],[Input]]&amp;"*",'Ref-List'!$A:$C,1,0)</f>
        <v>3773+3922</v>
      </c>
      <c r="H338" s="2" t="str">
        <f>VLOOKUP("*"&amp;G338&amp;"*",'Ref-List'!$A:$C,3,0)</f>
        <v>水龍頭過濾器 + 濾心</v>
      </c>
      <c r="I338" s="5" t="s">
        <v>977</v>
      </c>
      <c r="J338" s="2">
        <v>1</v>
      </c>
      <c r="K338" s="2">
        <v>1498</v>
      </c>
      <c r="L338" s="2">
        <f>sales[[#This Row],[quantity]]*sales[[#This Row],[price]]</f>
        <v>1498</v>
      </c>
      <c r="M338" s="9">
        <f>sales[[#This Row],[Total Price]]*3%</f>
        <v>44.94</v>
      </c>
      <c r="N338" s="171">
        <f>sales[[#This Row],[Total Price]]*2.5%</f>
        <v>37.450000000000003</v>
      </c>
      <c r="O338" s="9">
        <f>sales[[#This Row],[Total Price]]*1.5%</f>
        <v>22.47</v>
      </c>
      <c r="R338" s="5" t="str">
        <f>_xlfn.CONCAT(sales[[#This Row],[Shop]]," ",sales[[#This Row],[Location]])</f>
        <v>Tai Po Yata</v>
      </c>
    </row>
    <row r="339" spans="1:18" ht="16.5" customHeight="1">
      <c r="A339" s="7">
        <v>337</v>
      </c>
      <c r="B339" s="2" t="s">
        <v>998</v>
      </c>
      <c r="C339" s="5" t="s">
        <v>1000</v>
      </c>
      <c r="D339" s="2" t="str">
        <f ca="1">OFFSET(Roster!$B$7, MATCH(B339&amp;" "&amp;C339&amp;"*",Roster!$B$8:$B$20,0),DAY(sales[[#This Row],[date]]),1, 1)</f>
        <v>Joe</v>
      </c>
      <c r="E339" s="2">
        <f>MONTH(sales[[#This Row],[date]])</f>
        <v>6</v>
      </c>
      <c r="F339" s="233">
        <v>46192</v>
      </c>
      <c r="G339" s="3" t="str">
        <f>VLOOKUP("*"&amp;sales[[#This Row],[Input]]&amp;"*",'Ref-List'!$A:$C,1,0)</f>
        <v>6910+550</v>
      </c>
      <c r="H339" s="2" t="str">
        <f>VLOOKUP("*"&amp;G339&amp;"*",'Ref-List'!$A:$C,3,0)</f>
        <v>冷熱飲水機 + 濾心</v>
      </c>
      <c r="I339" s="2">
        <v>550</v>
      </c>
      <c r="J339" s="2">
        <v>1</v>
      </c>
      <c r="K339" s="2">
        <v>598</v>
      </c>
      <c r="L339" s="2">
        <f>sales[[#This Row],[quantity]]*sales[[#This Row],[price]]</f>
        <v>598</v>
      </c>
      <c r="M339" s="9">
        <f>sales[[#This Row],[Total Price]]*3%</f>
        <v>17.939999999999998</v>
      </c>
      <c r="N339" s="171">
        <f>sales[[#This Row],[Total Price]]*2.5%</f>
        <v>14.950000000000001</v>
      </c>
      <c r="O339" s="9">
        <f>sales[[#This Row],[Total Price]]*1.5%</f>
        <v>8.9699999999999989</v>
      </c>
      <c r="R339" s="5" t="str">
        <f>_xlfn.CONCAT(sales[[#This Row],[Shop]]," ",sales[[#This Row],[Location]])</f>
        <v>Tai Po Yata</v>
      </c>
    </row>
    <row r="340" spans="1:18" ht="16.5" customHeight="1">
      <c r="A340" s="7">
        <v>338</v>
      </c>
      <c r="B340" s="2" t="s">
        <v>998</v>
      </c>
      <c r="C340" s="5" t="s">
        <v>1000</v>
      </c>
      <c r="D340" s="2" t="str">
        <f ca="1">OFFSET(Roster!$B$7, MATCH(B340&amp;" "&amp;C340&amp;"*",Roster!$B$8:$B$20,0),DAY(sales[[#This Row],[date]]),1, 1)</f>
        <v>Joe</v>
      </c>
      <c r="E340" s="2">
        <f>MONTH(sales[[#This Row],[date]])</f>
        <v>6</v>
      </c>
      <c r="F340" s="233">
        <v>46192</v>
      </c>
      <c r="G340" s="3" t="e">
        <f>VLOOKUP("*"&amp;sales[[#This Row],[Input]]&amp;"*",'Ref-List'!$A:$C,1,0)</f>
        <v>#N/A</v>
      </c>
      <c r="H340" s="2" t="e">
        <f>VLOOKUP("*"&amp;G340&amp;"*",'Ref-List'!$A:$C,3,0)</f>
        <v>#N/A</v>
      </c>
      <c r="I340" s="5" t="s">
        <v>1003</v>
      </c>
      <c r="J340" s="2">
        <v>2</v>
      </c>
      <c r="K340" s="2">
        <v>528</v>
      </c>
      <c r="L340" s="2">
        <f>sales[[#This Row],[quantity]]*sales[[#This Row],[price]]</f>
        <v>1056</v>
      </c>
      <c r="M340" s="9">
        <f>sales[[#This Row],[Total Price]]*3%</f>
        <v>31.68</v>
      </c>
      <c r="N340" s="171">
        <f>sales[[#This Row],[Total Price]]*2.5%</f>
        <v>26.400000000000002</v>
      </c>
      <c r="O340" s="9">
        <f>sales[[#This Row],[Total Price]]*1.5%</f>
        <v>15.84</v>
      </c>
      <c r="R340" s="5" t="str">
        <f>_xlfn.CONCAT(sales[[#This Row],[Shop]]," ",sales[[#This Row],[Location]])</f>
        <v>Tai Po Yata</v>
      </c>
    </row>
    <row r="341" spans="1:18" ht="16.5" customHeight="1">
      <c r="A341" s="7">
        <v>339</v>
      </c>
      <c r="B341" s="2" t="s">
        <v>998</v>
      </c>
      <c r="C341" s="5" t="s">
        <v>1000</v>
      </c>
      <c r="D341" s="2" t="str">
        <f ca="1">OFFSET(Roster!$B$7, MATCH(B341&amp;" "&amp;C341&amp;"*",Roster!$B$8:$B$20,0),DAY(sales[[#This Row],[date]]),1, 1)</f>
        <v>Joe</v>
      </c>
      <c r="E341" s="2">
        <f>MONTH(sales[[#This Row],[date]])</f>
        <v>6</v>
      </c>
      <c r="F341" s="233">
        <v>46193</v>
      </c>
      <c r="G341" s="3" t="e">
        <f>VLOOKUP("*"&amp;sales[[#This Row],[Input]]&amp;"*",'Ref-List'!$A:$C,1,0)</f>
        <v>#N/A</v>
      </c>
      <c r="H341" s="2" t="e">
        <f>VLOOKUP("*"&amp;G341&amp;"*",'Ref-List'!$A:$C,3,0)</f>
        <v>#N/A</v>
      </c>
      <c r="I341" s="2">
        <v>1216</v>
      </c>
      <c r="J341" s="2">
        <v>1</v>
      </c>
      <c r="K341" s="2">
        <v>1088</v>
      </c>
      <c r="L341" s="2">
        <f>sales[[#This Row],[quantity]]*sales[[#This Row],[price]]</f>
        <v>1088</v>
      </c>
      <c r="M341" s="9">
        <f>sales[[#This Row],[Total Price]]*3%</f>
        <v>32.64</v>
      </c>
      <c r="N341" s="171">
        <f>sales[[#This Row],[Total Price]]*2.5%</f>
        <v>27.200000000000003</v>
      </c>
      <c r="O341" s="9">
        <f>sales[[#This Row],[Total Price]]*1.5%</f>
        <v>16.32</v>
      </c>
      <c r="R341" s="5" t="str">
        <f>_xlfn.CONCAT(sales[[#This Row],[Shop]]," ",sales[[#This Row],[Location]])</f>
        <v>Tai Po Yata</v>
      </c>
    </row>
    <row r="342" spans="1:18" ht="16.5" customHeight="1">
      <c r="A342" s="7">
        <v>340</v>
      </c>
      <c r="B342" s="2" t="s">
        <v>998</v>
      </c>
      <c r="C342" s="5" t="s">
        <v>1000</v>
      </c>
      <c r="D342" s="2" t="str">
        <f ca="1">OFFSET(Roster!$B$7, MATCH(B342&amp;" "&amp;C342&amp;"*",Roster!$B$8:$B$20,0),DAY(sales[[#This Row],[date]]),1, 1)</f>
        <v>Joe</v>
      </c>
      <c r="E342" s="2">
        <f>MONTH(sales[[#This Row],[date]])</f>
        <v>6</v>
      </c>
      <c r="F342" s="233">
        <v>46193</v>
      </c>
      <c r="G342" s="3" t="str">
        <f>VLOOKUP("*"&amp;sales[[#This Row],[Input]]&amp;"*",'Ref-List'!$A:$C,1,0)</f>
        <v>810/90</v>
      </c>
      <c r="H342" s="2" t="str">
        <f>VLOOKUP("*"&amp;G342&amp;"*",'Ref-List'!$A:$C,3,0)</f>
        <v>座枱式濾水器濾水芯</v>
      </c>
      <c r="I342" s="2">
        <v>810</v>
      </c>
      <c r="J342" s="2">
        <v>1</v>
      </c>
      <c r="K342" s="2">
        <v>238</v>
      </c>
      <c r="L342" s="2">
        <f>sales[[#This Row],[quantity]]*sales[[#This Row],[price]]</f>
        <v>238</v>
      </c>
      <c r="M342" s="9">
        <f>sales[[#This Row],[Total Price]]*3%</f>
        <v>7.14</v>
      </c>
      <c r="N342" s="171">
        <f>sales[[#This Row],[Total Price]]*2.5%</f>
        <v>5.95</v>
      </c>
      <c r="O342" s="9">
        <f>sales[[#This Row],[Total Price]]*1.5%</f>
        <v>3.57</v>
      </c>
      <c r="R342" s="5" t="str">
        <f>_xlfn.CONCAT(sales[[#This Row],[Shop]]," ",sales[[#This Row],[Location]])</f>
        <v>Tai Po Yata</v>
      </c>
    </row>
    <row r="343" spans="1:18" ht="16.5" customHeight="1">
      <c r="A343" s="7">
        <v>341</v>
      </c>
      <c r="B343" s="2" t="s">
        <v>998</v>
      </c>
      <c r="C343" s="5" t="s">
        <v>1000</v>
      </c>
      <c r="D343" s="2" t="str">
        <f ca="1">OFFSET(Roster!$B$7, MATCH(B343&amp;" "&amp;C343&amp;"*",Roster!$B$8:$B$20,0),DAY(sales[[#This Row],[date]]),1, 1)</f>
        <v>Joe</v>
      </c>
      <c r="E343" s="2">
        <f>MONTH(sales[[#This Row],[date]])</f>
        <v>6</v>
      </c>
      <c r="F343" s="233">
        <v>46193</v>
      </c>
      <c r="G343" s="3" t="str">
        <f>VLOOKUP("*"&amp;sales[[#This Row],[Input]]&amp;"*",'Ref-List'!$A:$C,1,0)</f>
        <v>4811+2722</v>
      </c>
      <c r="H343" s="2" t="str">
        <f>VLOOKUP("*"&amp;G343&amp;"*",'Ref-List'!$A:$C,3,0)</f>
        <v>即熱飲水機 + 補水水樽</v>
      </c>
      <c r="I343" s="2">
        <v>811</v>
      </c>
      <c r="J343" s="2">
        <v>1</v>
      </c>
      <c r="K343" s="2">
        <v>218</v>
      </c>
      <c r="L343" s="2">
        <f>sales[[#This Row],[quantity]]*sales[[#This Row],[price]]</f>
        <v>218</v>
      </c>
      <c r="M343" s="9">
        <f>sales[[#This Row],[Total Price]]*3%</f>
        <v>6.54</v>
      </c>
      <c r="N343" s="171">
        <f>sales[[#This Row],[Total Price]]*2.5%</f>
        <v>5.45</v>
      </c>
      <c r="O343" s="9">
        <f>sales[[#This Row],[Total Price]]*1.5%</f>
        <v>3.27</v>
      </c>
      <c r="R343" s="5" t="str">
        <f>_xlfn.CONCAT(sales[[#This Row],[Shop]]," ",sales[[#This Row],[Location]])</f>
        <v>Tai Po Yata</v>
      </c>
    </row>
    <row r="344" spans="1:18" ht="16.5" customHeight="1">
      <c r="A344" s="7">
        <v>342</v>
      </c>
      <c r="B344" s="2" t="s">
        <v>998</v>
      </c>
      <c r="C344" s="5" t="s">
        <v>1000</v>
      </c>
      <c r="D344" s="2" t="str">
        <f ca="1">OFFSET(Roster!$B$7, MATCH(B344&amp;" "&amp;C344&amp;"*",Roster!$B$8:$B$20,0),DAY(sales[[#This Row],[date]]),1, 1)</f>
        <v>Joe</v>
      </c>
      <c r="E344" s="2">
        <f>MONTH(sales[[#This Row],[date]])</f>
        <v>6</v>
      </c>
      <c r="F344" s="233">
        <v>46193</v>
      </c>
      <c r="G344" s="3" t="str">
        <f>VLOOKUP("*"&amp;sales[[#This Row],[Input]]&amp;"*",'Ref-List'!$A:$C,1,0)</f>
        <v>3733+3922</v>
      </c>
      <c r="H344" s="2" t="str">
        <f>VLOOKUP("*"&amp;G344&amp;"*",'Ref-List'!$A:$C,3,0)</f>
        <v>超濾龍頭式淨水器組合</v>
      </c>
      <c r="I344" s="2">
        <v>3922</v>
      </c>
      <c r="J344" s="2">
        <v>1</v>
      </c>
      <c r="K344" s="2">
        <v>648</v>
      </c>
      <c r="L344" s="2">
        <f>sales[[#This Row],[quantity]]*sales[[#This Row],[price]]</f>
        <v>648</v>
      </c>
      <c r="M344" s="9">
        <f>sales[[#This Row],[Total Price]]*3%</f>
        <v>19.439999999999998</v>
      </c>
      <c r="N344" s="171">
        <f>sales[[#This Row],[Total Price]]*2.5%</f>
        <v>16.2</v>
      </c>
      <c r="O344" s="9">
        <f>sales[[#This Row],[Total Price]]*1.5%</f>
        <v>9.7199999999999989</v>
      </c>
      <c r="R344" s="5" t="str">
        <f>_xlfn.CONCAT(sales[[#This Row],[Shop]]," ",sales[[#This Row],[Location]])</f>
        <v>Tai Po Yata</v>
      </c>
    </row>
    <row r="345" spans="1:18" ht="16.5" customHeight="1">
      <c r="A345" s="7">
        <v>343</v>
      </c>
      <c r="B345" s="2" t="s">
        <v>998</v>
      </c>
      <c r="C345" s="5" t="s">
        <v>1000</v>
      </c>
      <c r="D345" s="2" t="str">
        <f ca="1">OFFSET(Roster!$B$7, MATCH(B345&amp;" "&amp;C345&amp;"*",Roster!$B$8:$B$20,0),DAY(sales[[#This Row],[date]]),1, 1)</f>
        <v>Joe</v>
      </c>
      <c r="E345" s="2">
        <f>MONTH(sales[[#This Row],[date]])</f>
        <v>6</v>
      </c>
      <c r="F345" s="233">
        <v>46194</v>
      </c>
      <c r="G345" s="3" t="str">
        <f>VLOOKUP("*"&amp;sales[[#This Row],[Input]]&amp;"*",'Ref-List'!$A:$C,1,0)</f>
        <v>6920WH</v>
      </c>
      <c r="H345" s="2" t="str">
        <f>VLOOKUP("*"&amp;G345&amp;"*",'Ref-List'!$A:$C,3,0)</f>
        <v>升級製冰版</v>
      </c>
      <c r="I345" s="2">
        <v>6920</v>
      </c>
      <c r="J345" s="2">
        <v>2</v>
      </c>
      <c r="K345" s="2">
        <v>3688</v>
      </c>
      <c r="L345" s="2">
        <f>sales[[#This Row],[quantity]]*sales[[#This Row],[price]]</f>
        <v>7376</v>
      </c>
      <c r="M345" s="9">
        <f>sales[[#This Row],[Total Price]]*3%</f>
        <v>221.28</v>
      </c>
      <c r="N345" s="171">
        <f>sales[[#This Row],[Total Price]]*2.5%</f>
        <v>184.4</v>
      </c>
      <c r="O345" s="9">
        <f>sales[[#This Row],[Total Price]]*1.5%</f>
        <v>110.64</v>
      </c>
      <c r="R345" s="5" t="str">
        <f>_xlfn.CONCAT(sales[[#This Row],[Shop]]," ",sales[[#This Row],[Location]])</f>
        <v>Tai Po Yata</v>
      </c>
    </row>
    <row r="346" spans="1:18" ht="16.5" customHeight="1">
      <c r="A346" s="7">
        <v>344</v>
      </c>
      <c r="B346" s="2" t="s">
        <v>998</v>
      </c>
      <c r="C346" s="5" t="s">
        <v>1000</v>
      </c>
      <c r="D346" s="2" t="str">
        <f ca="1">OFFSET(Roster!$B$7, MATCH(B346&amp;" "&amp;C346&amp;"*",Roster!$B$8:$B$20,0),DAY(sales[[#This Row],[date]]),1, 1)</f>
        <v>Joe</v>
      </c>
      <c r="E346" s="2">
        <f>MONTH(sales[[#This Row],[date]])</f>
        <v>6</v>
      </c>
      <c r="F346" s="233">
        <v>46194</v>
      </c>
      <c r="G346" s="3" t="str">
        <f>VLOOKUP("*"&amp;sales[[#This Row],[Input]]&amp;"*",'Ref-List'!$A:$C,1,0)</f>
        <v>6901+541</v>
      </c>
      <c r="H346" s="2" t="str">
        <f>VLOOKUP("*"&amp;G346&amp;"*",'Ref-List'!$A:$C,3,0)</f>
        <v>RO純淨飲水機 + 濾芯</v>
      </c>
      <c r="I346" s="2">
        <v>541</v>
      </c>
      <c r="J346" s="2">
        <v>1</v>
      </c>
      <c r="K346" s="2">
        <v>598</v>
      </c>
      <c r="L346" s="2">
        <f>sales[[#This Row],[quantity]]*sales[[#This Row],[price]]</f>
        <v>598</v>
      </c>
      <c r="M346" s="9">
        <f>sales[[#This Row],[Total Price]]*3%</f>
        <v>17.939999999999998</v>
      </c>
      <c r="N346" s="171">
        <f>sales[[#This Row],[Total Price]]*2.5%</f>
        <v>14.950000000000001</v>
      </c>
      <c r="O346" s="9">
        <f>sales[[#This Row],[Total Price]]*1.5%</f>
        <v>8.9699999999999989</v>
      </c>
      <c r="R346" s="5" t="str">
        <f>_xlfn.CONCAT(sales[[#This Row],[Shop]]," ",sales[[#This Row],[Location]])</f>
        <v>Tai Po Yata</v>
      </c>
    </row>
    <row r="347" spans="1:18" ht="16.5" customHeight="1">
      <c r="A347" s="7">
        <v>345</v>
      </c>
      <c r="B347" s="2" t="s">
        <v>998</v>
      </c>
      <c r="C347" s="5" t="s">
        <v>1000</v>
      </c>
      <c r="D347" s="2" t="str">
        <f ca="1">OFFSET(Roster!$B$7, MATCH(B347&amp;" "&amp;C347&amp;"*",Roster!$B$8:$B$20,0),DAY(sales[[#This Row],[date]]),1, 1)</f>
        <v>Joe</v>
      </c>
      <c r="E347" s="2">
        <f>MONTH(sales[[#This Row],[date]])</f>
        <v>6</v>
      </c>
      <c r="F347" s="233">
        <v>46194</v>
      </c>
      <c r="G347" s="3" t="str">
        <f>VLOOKUP("*"&amp;sales[[#This Row],[Input]]&amp;"*",'Ref-List'!$A:$C,1,0)</f>
        <v>3733+3922</v>
      </c>
      <c r="H347" s="2" t="str">
        <f>VLOOKUP("*"&amp;G347&amp;"*",'Ref-List'!$A:$C,3,0)</f>
        <v>超濾龍頭式淨水器組合</v>
      </c>
      <c r="I347" s="2">
        <v>3922</v>
      </c>
      <c r="J347" s="2">
        <v>2</v>
      </c>
      <c r="K347" s="2">
        <v>648</v>
      </c>
      <c r="L347" s="2">
        <f>sales[[#This Row],[quantity]]*sales[[#This Row],[price]]</f>
        <v>1296</v>
      </c>
      <c r="M347" s="9">
        <f>sales[[#This Row],[Total Price]]*3%</f>
        <v>38.879999999999995</v>
      </c>
      <c r="N347" s="171">
        <f>sales[[#This Row],[Total Price]]*2.5%</f>
        <v>32.4</v>
      </c>
      <c r="O347" s="9">
        <f>sales[[#This Row],[Total Price]]*1.5%</f>
        <v>19.439999999999998</v>
      </c>
      <c r="R347" s="5" t="str">
        <f>_xlfn.CONCAT(sales[[#This Row],[Shop]]," ",sales[[#This Row],[Location]])</f>
        <v>Tai Po Yata</v>
      </c>
    </row>
    <row r="348" spans="1:18" ht="16.5" customHeight="1">
      <c r="A348" s="7">
        <v>346</v>
      </c>
      <c r="B348" s="2" t="s">
        <v>998</v>
      </c>
      <c r="C348" s="5" t="s">
        <v>1000</v>
      </c>
      <c r="D348" s="2" t="str">
        <f ca="1">OFFSET(Roster!$B$7, MATCH(B348&amp;" "&amp;C348&amp;"*",Roster!$B$8:$B$20,0),DAY(sales[[#This Row],[date]]),1, 1)</f>
        <v>Joe</v>
      </c>
      <c r="E348" s="2">
        <f>MONTH(sales[[#This Row],[date]])</f>
        <v>6</v>
      </c>
      <c r="F348" s="233">
        <v>46194</v>
      </c>
      <c r="G348" s="3" t="str">
        <f>VLOOKUP("*"&amp;sales[[#This Row],[Input]]&amp;"*",'Ref-List'!$A:$C,1,0)</f>
        <v>3811+3911</v>
      </c>
      <c r="H348" s="2" t="str">
        <f>VLOOKUP("*"&amp;G348&amp;"*",'Ref-List'!$A:$C,3,0)</f>
        <v>超濾淨水器 + 濾芯套裝</v>
      </c>
      <c r="I348" s="2">
        <v>3911</v>
      </c>
      <c r="J348" s="2">
        <v>1</v>
      </c>
      <c r="K348" s="2">
        <v>406.4</v>
      </c>
      <c r="L348" s="2">
        <f>sales[[#This Row],[quantity]]*sales[[#This Row],[price]]</f>
        <v>406.4</v>
      </c>
      <c r="M348" s="9">
        <f>sales[[#This Row],[Total Price]]*3%</f>
        <v>12.191999999999998</v>
      </c>
      <c r="N348" s="171">
        <f>sales[[#This Row],[Total Price]]*2.5%</f>
        <v>10.16</v>
      </c>
      <c r="O348" s="9">
        <f>sales[[#This Row],[Total Price]]*1.5%</f>
        <v>6.0959999999999992</v>
      </c>
      <c r="R348" s="5" t="str">
        <f>_xlfn.CONCAT(sales[[#This Row],[Shop]]," ",sales[[#This Row],[Location]])</f>
        <v>Tai Po Yata</v>
      </c>
    </row>
    <row r="349" spans="1:18" ht="16.5" customHeight="1">
      <c r="A349" s="7">
        <v>347</v>
      </c>
      <c r="B349" s="2" t="s">
        <v>998</v>
      </c>
      <c r="C349" s="5" t="s">
        <v>1000</v>
      </c>
      <c r="D349" s="2" t="str">
        <f ca="1">OFFSET(Roster!$B$7, MATCH(B349&amp;" "&amp;C349&amp;"*",Roster!$B$8:$B$20,0),DAY(sales[[#This Row],[date]]),1, 1)</f>
        <v>Joe</v>
      </c>
      <c r="E349" s="2">
        <f>MONTH(sales[[#This Row],[date]])</f>
        <v>6</v>
      </c>
      <c r="F349" s="233">
        <v>46194</v>
      </c>
      <c r="G349" s="3" t="str">
        <f>VLOOKUP("*"&amp;sales[[#This Row],[Input]]&amp;"*",'Ref-List'!$A:$C,1,0)</f>
        <v>3773+3922</v>
      </c>
      <c r="H349" s="2" t="str">
        <f>VLOOKUP("*"&amp;G349&amp;"*",'Ref-List'!$A:$C,3,0)</f>
        <v>水龍頭過濾器 + 濾心</v>
      </c>
      <c r="I349" s="5" t="s">
        <v>977</v>
      </c>
      <c r="J349" s="2">
        <v>1</v>
      </c>
      <c r="K349" s="2">
        <v>898</v>
      </c>
      <c r="L349" s="2">
        <f>sales[[#This Row],[quantity]]*sales[[#This Row],[price]]</f>
        <v>898</v>
      </c>
      <c r="M349" s="9">
        <f>sales[[#This Row],[Total Price]]*3%</f>
        <v>26.939999999999998</v>
      </c>
      <c r="N349" s="171">
        <f>sales[[#This Row],[Total Price]]*2.5%</f>
        <v>22.450000000000003</v>
      </c>
      <c r="O349" s="9">
        <f>sales[[#This Row],[Total Price]]*1.5%</f>
        <v>13.469999999999999</v>
      </c>
      <c r="R349" s="5" t="str">
        <f>_xlfn.CONCAT(sales[[#This Row],[Shop]]," ",sales[[#This Row],[Location]])</f>
        <v>Tai Po Yata</v>
      </c>
    </row>
    <row r="350" spans="1:18" ht="16.5" customHeight="1">
      <c r="A350" s="7">
        <v>348</v>
      </c>
      <c r="B350" s="2" t="s">
        <v>998</v>
      </c>
      <c r="C350" s="5" t="s">
        <v>1000</v>
      </c>
      <c r="D350" s="2" t="str">
        <f ca="1">OFFSET(Roster!$B$7, MATCH(B350&amp;" "&amp;C350&amp;"*",Roster!$B$8:$B$20,0),DAY(sales[[#This Row],[date]]),1, 1)</f>
        <v>Joe</v>
      </c>
      <c r="E350" s="2">
        <f>MONTH(sales[[#This Row],[date]])</f>
        <v>6</v>
      </c>
      <c r="F350" s="233">
        <v>46194</v>
      </c>
      <c r="G350" s="3" t="str">
        <f>VLOOKUP("*"&amp;sales[[#This Row],[Input]]&amp;"*",'Ref-List'!$A:$C,1,0)</f>
        <v>3773+3922</v>
      </c>
      <c r="H350" s="2" t="str">
        <f>VLOOKUP("*"&amp;G350&amp;"*",'Ref-List'!$A:$C,3,0)</f>
        <v>水龍頭過濾器 + 濾心</v>
      </c>
      <c r="I350" s="5" t="s">
        <v>977</v>
      </c>
      <c r="J350" s="2">
        <v>1</v>
      </c>
      <c r="K350" s="2">
        <v>1498</v>
      </c>
      <c r="L350" s="2">
        <f>sales[[#This Row],[quantity]]*sales[[#This Row],[price]]</f>
        <v>1498</v>
      </c>
      <c r="M350" s="9">
        <f>sales[[#This Row],[Total Price]]*3%</f>
        <v>44.94</v>
      </c>
      <c r="N350" s="171">
        <f>sales[[#This Row],[Total Price]]*2.5%</f>
        <v>37.450000000000003</v>
      </c>
      <c r="O350" s="9">
        <f>sales[[#This Row],[Total Price]]*1.5%</f>
        <v>22.47</v>
      </c>
      <c r="R350" s="5" t="str">
        <f>_xlfn.CONCAT(sales[[#This Row],[Shop]]," ",sales[[#This Row],[Location]])</f>
        <v>Tai Po Yata</v>
      </c>
    </row>
    <row r="351" spans="1:18" ht="16.5" customHeight="1">
      <c r="A351" s="7">
        <v>349</v>
      </c>
      <c r="B351" s="2" t="s">
        <v>998</v>
      </c>
      <c r="C351" s="5" t="s">
        <v>1000</v>
      </c>
      <c r="D351" s="2" t="str">
        <f ca="1">OFFSET(Roster!$B$7, MATCH(B351&amp;" "&amp;C351&amp;"*",Roster!$B$8:$B$20,0),DAY(sales[[#This Row],[date]]),1, 1)</f>
        <v>Joe</v>
      </c>
      <c r="E351" s="2">
        <f>MONTH(sales[[#This Row],[date]])</f>
        <v>6</v>
      </c>
      <c r="F351" s="233">
        <v>46199</v>
      </c>
      <c r="G351" s="3" t="str">
        <f>VLOOKUP("*"&amp;sales[[#This Row],[Input]]&amp;"*",'Ref-List'!$A:$C,1,0)</f>
        <v>3811+3911</v>
      </c>
      <c r="H351" s="2" t="str">
        <f>VLOOKUP("*"&amp;G351&amp;"*",'Ref-List'!$A:$C,3,0)</f>
        <v>超濾淨水器 + 濾芯套裝</v>
      </c>
      <c r="I351" s="2">
        <v>3911</v>
      </c>
      <c r="J351" s="2">
        <v>2</v>
      </c>
      <c r="K351" s="2">
        <v>406.4</v>
      </c>
      <c r="L351" s="2">
        <f>sales[[#This Row],[quantity]]*sales[[#This Row],[price]]</f>
        <v>812.8</v>
      </c>
      <c r="M351" s="9">
        <f>sales[[#This Row],[Total Price]]*3%</f>
        <v>24.383999999999997</v>
      </c>
      <c r="N351" s="171">
        <f>sales[[#This Row],[Total Price]]*2.5%</f>
        <v>20.32</v>
      </c>
      <c r="O351" s="9">
        <f>sales[[#This Row],[Total Price]]*1.5%</f>
        <v>12.191999999999998</v>
      </c>
      <c r="R351" s="5" t="str">
        <f>_xlfn.CONCAT(sales[[#This Row],[Shop]]," ",sales[[#This Row],[Location]])</f>
        <v>Tai Po Yata</v>
      </c>
    </row>
    <row r="352" spans="1:18" ht="16.5" customHeight="1">
      <c r="A352" s="7">
        <v>350</v>
      </c>
      <c r="B352" s="2" t="s">
        <v>998</v>
      </c>
      <c r="C352" s="5" t="s">
        <v>1000</v>
      </c>
      <c r="D352" s="2" t="str">
        <f ca="1">OFFSET(Roster!$B$7, MATCH(B352&amp;" "&amp;C352&amp;"*",Roster!$B$8:$B$20,0),DAY(sales[[#This Row],[date]]),1, 1)</f>
        <v>Joe</v>
      </c>
      <c r="E352" s="2">
        <f>MONTH(sales[[#This Row],[date]])</f>
        <v>6</v>
      </c>
      <c r="F352" s="233">
        <v>46199</v>
      </c>
      <c r="G352" s="3" t="str">
        <f>VLOOKUP("*"&amp;sales[[#This Row],[Input]]&amp;"*",'Ref-List'!$A:$C,1,0)</f>
        <v>604/90</v>
      </c>
      <c r="H352" s="2" t="str">
        <f>VLOOKUP("*"&amp;G352&amp;"*",'Ref-List'!$A:$C,3,0)</f>
        <v>櫥下式濾芯</v>
      </c>
      <c r="I352" s="2">
        <v>604</v>
      </c>
      <c r="J352" s="2">
        <v>1</v>
      </c>
      <c r="K352" s="2">
        <v>398</v>
      </c>
      <c r="L352" s="2">
        <f>sales[[#This Row],[quantity]]*sales[[#This Row],[price]]</f>
        <v>398</v>
      </c>
      <c r="M352" s="9">
        <f>sales[[#This Row],[Total Price]]*3%</f>
        <v>11.94</v>
      </c>
      <c r="N352" s="171">
        <f>sales[[#This Row],[Total Price]]*2.5%</f>
        <v>9.9500000000000011</v>
      </c>
      <c r="O352" s="9">
        <f>sales[[#This Row],[Total Price]]*1.5%</f>
        <v>5.97</v>
      </c>
      <c r="R352" s="5" t="str">
        <f>_xlfn.CONCAT(sales[[#This Row],[Shop]]," ",sales[[#This Row],[Location]])</f>
        <v>Tai Po Yata</v>
      </c>
    </row>
    <row r="353" spans="1:18" ht="16.5" customHeight="1">
      <c r="A353" s="7">
        <v>351</v>
      </c>
      <c r="B353" s="2" t="s">
        <v>998</v>
      </c>
      <c r="C353" s="5" t="s">
        <v>1000</v>
      </c>
      <c r="D353" s="2" t="str">
        <f ca="1">OFFSET(Roster!$B$7, MATCH(B353&amp;" "&amp;C353&amp;"*",Roster!$B$8:$B$20,0),DAY(sales[[#This Row],[date]]),1, 1)</f>
        <v>Joe</v>
      </c>
      <c r="E353" s="2">
        <f>MONTH(sales[[#This Row],[date]])</f>
        <v>6</v>
      </c>
      <c r="F353" s="233">
        <v>46199</v>
      </c>
      <c r="G353" s="3" t="e">
        <f>VLOOKUP("*"&amp;sales[[#This Row],[Input]]&amp;"*",'Ref-List'!$A:$C,1,0)</f>
        <v>#N/A</v>
      </c>
      <c r="H353" s="2" t="e">
        <f>VLOOKUP("*"&amp;G353&amp;"*",'Ref-List'!$A:$C,3,0)</f>
        <v>#N/A</v>
      </c>
      <c r="I353" s="2">
        <v>601</v>
      </c>
      <c r="J353" s="2">
        <v>1</v>
      </c>
      <c r="K353" s="2">
        <v>598</v>
      </c>
      <c r="L353" s="2">
        <f>sales[[#This Row],[quantity]]*sales[[#This Row],[price]]</f>
        <v>598</v>
      </c>
      <c r="M353" s="9">
        <f>sales[[#This Row],[Total Price]]*3%</f>
        <v>17.939999999999998</v>
      </c>
      <c r="N353" s="171">
        <f>sales[[#This Row],[Total Price]]*2.5%</f>
        <v>14.950000000000001</v>
      </c>
      <c r="O353" s="9">
        <f>sales[[#This Row],[Total Price]]*1.5%</f>
        <v>8.9699999999999989</v>
      </c>
      <c r="R353" s="5" t="str">
        <f>_xlfn.CONCAT(sales[[#This Row],[Shop]]," ",sales[[#This Row],[Location]])</f>
        <v>Tai Po Yata</v>
      </c>
    </row>
    <row r="354" spans="1:18" ht="16.5" customHeight="1">
      <c r="A354" s="7">
        <v>352</v>
      </c>
      <c r="B354" s="2" t="s">
        <v>998</v>
      </c>
      <c r="C354" s="5" t="s">
        <v>1000</v>
      </c>
      <c r="D354" s="2" t="str">
        <f ca="1">OFFSET(Roster!$B$7, MATCH(B354&amp;" "&amp;C354&amp;"*",Roster!$B$8:$B$20,0),DAY(sales[[#This Row],[date]]),1, 1)</f>
        <v>Joe</v>
      </c>
      <c r="E354" s="2">
        <f>MONTH(sales[[#This Row],[date]])</f>
        <v>6</v>
      </c>
      <c r="F354" s="233">
        <v>46200</v>
      </c>
      <c r="G354" s="3" t="str">
        <f>VLOOKUP("*"&amp;sales[[#This Row],[Input]]&amp;"*",'Ref-List'!$A:$C,1,0)</f>
        <v>6910+550</v>
      </c>
      <c r="H354" s="2" t="str">
        <f>VLOOKUP("*"&amp;G354&amp;"*",'Ref-List'!$A:$C,3,0)</f>
        <v>冷熱飲水機 + 濾心</v>
      </c>
      <c r="I354" s="2">
        <v>550</v>
      </c>
      <c r="J354" s="2">
        <v>1</v>
      </c>
      <c r="K354" s="2">
        <v>598</v>
      </c>
      <c r="L354" s="2">
        <f>sales[[#This Row],[quantity]]*sales[[#This Row],[price]]</f>
        <v>598</v>
      </c>
      <c r="M354" s="9">
        <f>sales[[#This Row],[Total Price]]*3%</f>
        <v>17.939999999999998</v>
      </c>
      <c r="N354" s="171">
        <f>sales[[#This Row],[Total Price]]*2.5%</f>
        <v>14.950000000000001</v>
      </c>
      <c r="O354" s="9">
        <f>sales[[#This Row],[Total Price]]*1.5%</f>
        <v>8.9699999999999989</v>
      </c>
      <c r="R354" s="5" t="str">
        <f>_xlfn.CONCAT(sales[[#This Row],[Shop]]," ",sales[[#This Row],[Location]])</f>
        <v>Tai Po Yata</v>
      </c>
    </row>
    <row r="355" spans="1:18" ht="16.5" customHeight="1">
      <c r="A355" s="7">
        <v>353</v>
      </c>
      <c r="B355" s="2" t="s">
        <v>998</v>
      </c>
      <c r="C355" s="5" t="s">
        <v>1000</v>
      </c>
      <c r="D355" s="2" t="str">
        <f ca="1">OFFSET(Roster!$B$7, MATCH(B355&amp;" "&amp;C355&amp;"*",Roster!$B$8:$B$20,0),DAY(sales[[#This Row],[date]]),1, 1)</f>
        <v>Joe</v>
      </c>
      <c r="E355" s="2">
        <f>MONTH(sales[[#This Row],[date]])</f>
        <v>6</v>
      </c>
      <c r="F355" s="233">
        <v>46200</v>
      </c>
      <c r="G355" s="3" t="str">
        <f>VLOOKUP("*"&amp;sales[[#This Row],[Input]]&amp;"*",'Ref-List'!$A:$C,1,0)</f>
        <v>6901+541</v>
      </c>
      <c r="H355" s="2" t="str">
        <f>VLOOKUP("*"&amp;G355&amp;"*",'Ref-List'!$A:$C,3,0)</f>
        <v>RO純淨飲水機 + 濾芯</v>
      </c>
      <c r="I355" s="2">
        <v>541</v>
      </c>
      <c r="J355" s="2">
        <v>1</v>
      </c>
      <c r="K355" s="2">
        <v>598</v>
      </c>
      <c r="L355" s="2">
        <f>sales[[#This Row],[quantity]]*sales[[#This Row],[price]]</f>
        <v>598</v>
      </c>
      <c r="M355" s="9">
        <f>sales[[#This Row],[Total Price]]*3%</f>
        <v>17.939999999999998</v>
      </c>
      <c r="N355" s="171">
        <f>sales[[#This Row],[Total Price]]*2.5%</f>
        <v>14.950000000000001</v>
      </c>
      <c r="O355" s="9">
        <f>sales[[#This Row],[Total Price]]*1.5%</f>
        <v>8.9699999999999989</v>
      </c>
      <c r="R355" s="5" t="str">
        <f>_xlfn.CONCAT(sales[[#This Row],[Shop]]," ",sales[[#This Row],[Location]])</f>
        <v>Tai Po Yata</v>
      </c>
    </row>
    <row r="356" spans="1:18" ht="16.5" customHeight="1">
      <c r="A356" s="7">
        <v>354</v>
      </c>
      <c r="B356" s="2" t="s">
        <v>998</v>
      </c>
      <c r="C356" s="5" t="s">
        <v>1000</v>
      </c>
      <c r="D356" s="2" t="str">
        <f ca="1">OFFSET(Roster!$B$7, MATCH(B356&amp;" "&amp;C356&amp;"*",Roster!$B$8:$B$20,0),DAY(sales[[#This Row],[date]]),1, 1)</f>
        <v>Joe</v>
      </c>
      <c r="E356" s="2">
        <f>MONTH(sales[[#This Row],[date]])</f>
        <v>6</v>
      </c>
      <c r="F356" s="233">
        <v>46200</v>
      </c>
      <c r="G356" s="3" t="e">
        <f>VLOOKUP("*"&amp;sales[[#This Row],[Input]]&amp;"*",'Ref-List'!$A:$C,1,0)</f>
        <v>#N/A</v>
      </c>
      <c r="H356" s="2" t="e">
        <f>VLOOKUP("*"&amp;G356&amp;"*",'Ref-List'!$A:$C,3,0)</f>
        <v>#N/A</v>
      </c>
      <c r="I356" s="2">
        <v>1216</v>
      </c>
      <c r="J356" s="2">
        <v>1</v>
      </c>
      <c r="K356" s="2">
        <v>1088</v>
      </c>
      <c r="L356" s="2">
        <f>sales[[#This Row],[quantity]]*sales[[#This Row],[price]]</f>
        <v>1088</v>
      </c>
      <c r="M356" s="9">
        <f>sales[[#This Row],[Total Price]]*3%</f>
        <v>32.64</v>
      </c>
      <c r="N356" s="171">
        <f>sales[[#This Row],[Total Price]]*2.5%</f>
        <v>27.200000000000003</v>
      </c>
      <c r="O356" s="9">
        <f>sales[[#This Row],[Total Price]]*1.5%</f>
        <v>16.32</v>
      </c>
      <c r="R356" s="5" t="str">
        <f>_xlfn.CONCAT(sales[[#This Row],[Shop]]," ",sales[[#This Row],[Location]])</f>
        <v>Tai Po Yata</v>
      </c>
    </row>
    <row r="357" spans="1:18" ht="16.5" customHeight="1">
      <c r="A357" s="7">
        <v>355</v>
      </c>
      <c r="B357" s="2" t="s">
        <v>998</v>
      </c>
      <c r="C357" s="5" t="s">
        <v>1000</v>
      </c>
      <c r="D357" s="2" t="str">
        <f ca="1">OFFSET(Roster!$B$7, MATCH(B357&amp;" "&amp;C357&amp;"*",Roster!$B$8:$B$20,0),DAY(sales[[#This Row],[date]]),1, 1)</f>
        <v>Joe</v>
      </c>
      <c r="E357" s="2">
        <f>MONTH(sales[[#This Row],[date]])</f>
        <v>6</v>
      </c>
      <c r="F357" s="233">
        <v>46201</v>
      </c>
      <c r="G357" s="3" t="str">
        <f>VLOOKUP("*"&amp;sales[[#This Row],[Input]]&amp;"*",'Ref-List'!$A:$C,1,0)</f>
        <v>6901+541</v>
      </c>
      <c r="H357" s="2" t="str">
        <f>VLOOKUP("*"&amp;G357&amp;"*",'Ref-List'!$A:$C,3,0)</f>
        <v>RO純淨飲水機 + 濾芯</v>
      </c>
      <c r="I357" s="2">
        <v>541</v>
      </c>
      <c r="J357" s="2">
        <v>2</v>
      </c>
      <c r="K357" s="2">
        <v>598</v>
      </c>
      <c r="L357" s="2">
        <f>sales[[#This Row],[quantity]]*sales[[#This Row],[price]]</f>
        <v>1196</v>
      </c>
      <c r="M357" s="9">
        <f>sales[[#This Row],[Total Price]]*3%</f>
        <v>35.879999999999995</v>
      </c>
      <c r="N357" s="171">
        <f>sales[[#This Row],[Total Price]]*2.5%</f>
        <v>29.900000000000002</v>
      </c>
      <c r="O357" s="9">
        <f>sales[[#This Row],[Total Price]]*1.5%</f>
        <v>17.939999999999998</v>
      </c>
      <c r="R357" s="5" t="str">
        <f>_xlfn.CONCAT(sales[[#This Row],[Shop]]," ",sales[[#This Row],[Location]])</f>
        <v>Tai Po Yata</v>
      </c>
    </row>
    <row r="358" spans="1:18" ht="16.5" customHeight="1">
      <c r="A358" s="7">
        <v>356</v>
      </c>
      <c r="B358" s="2" t="s">
        <v>998</v>
      </c>
      <c r="C358" s="5" t="s">
        <v>1000</v>
      </c>
      <c r="D358" s="2" t="str">
        <f ca="1">OFFSET(Roster!$B$7, MATCH(B358&amp;" "&amp;C358&amp;"*",Roster!$B$8:$B$20,0),DAY(sales[[#This Row],[date]]),1, 1)</f>
        <v>Joe</v>
      </c>
      <c r="E358" s="2">
        <f>MONTH(sales[[#This Row],[date]])</f>
        <v>6</v>
      </c>
      <c r="F358" s="233">
        <v>46201</v>
      </c>
      <c r="G358" s="3" t="str">
        <f>VLOOKUP("*"&amp;sales[[#This Row],[Input]]&amp;"*",'Ref-List'!$A:$C,1,0)</f>
        <v>3811+3822</v>
      </c>
      <c r="H358" s="2" t="str">
        <f>VLOOKUP("*"&amp;G358&amp;"*",'Ref-List'!$A:$C,3,0)</f>
        <v>水龍頭過濾器 + 濾心</v>
      </c>
      <c r="I358" s="2">
        <v>3822</v>
      </c>
      <c r="J358" s="2">
        <v>1</v>
      </c>
      <c r="K358" s="2">
        <v>648</v>
      </c>
      <c r="L358" s="2">
        <f>sales[[#This Row],[quantity]]*sales[[#This Row],[price]]</f>
        <v>648</v>
      </c>
      <c r="M358" s="9">
        <f>sales[[#This Row],[Total Price]]*3%</f>
        <v>19.439999999999998</v>
      </c>
      <c r="N358" s="171">
        <f>sales[[#This Row],[Total Price]]*2.5%</f>
        <v>16.2</v>
      </c>
      <c r="O358" s="9">
        <f>sales[[#This Row],[Total Price]]*1.5%</f>
        <v>9.7199999999999989</v>
      </c>
      <c r="R358" s="5" t="str">
        <f>_xlfn.CONCAT(sales[[#This Row],[Shop]]," ",sales[[#This Row],[Location]])</f>
        <v>Tai Po Yata</v>
      </c>
    </row>
    <row r="359" spans="1:18" ht="16.5" customHeight="1">
      <c r="A359" s="7">
        <v>357</v>
      </c>
      <c r="B359" s="2" t="s">
        <v>998</v>
      </c>
      <c r="C359" s="5" t="s">
        <v>1000</v>
      </c>
      <c r="D359" s="2" t="str">
        <f ca="1">OFFSET(Roster!$B$7, MATCH(B359&amp;" "&amp;C359&amp;"*",Roster!$B$8:$B$20,0),DAY(sales[[#This Row],[date]]),1, 1)</f>
        <v>Joe</v>
      </c>
      <c r="E359" s="2">
        <f>MONTH(sales[[#This Row],[date]])</f>
        <v>6</v>
      </c>
      <c r="F359" s="233">
        <v>46201</v>
      </c>
      <c r="G359" s="3" t="str">
        <f>VLOOKUP("*"&amp;sales[[#This Row],[Input]]&amp;"*",'Ref-List'!$A:$C,1,0)</f>
        <v>3811+3911</v>
      </c>
      <c r="H359" s="2" t="str">
        <f>VLOOKUP("*"&amp;G359&amp;"*",'Ref-List'!$A:$C,3,0)</f>
        <v>超濾淨水器 + 濾芯套裝</v>
      </c>
      <c r="I359" s="5" t="s">
        <v>981</v>
      </c>
      <c r="J359" s="2">
        <v>1</v>
      </c>
      <c r="K359" s="2">
        <v>528</v>
      </c>
      <c r="L359" s="2">
        <f>sales[[#This Row],[quantity]]*sales[[#This Row],[price]]</f>
        <v>528</v>
      </c>
      <c r="M359" s="9">
        <f>sales[[#This Row],[Total Price]]*3%</f>
        <v>15.84</v>
      </c>
      <c r="N359" s="171">
        <f>sales[[#This Row],[Total Price]]*2.5%</f>
        <v>13.200000000000001</v>
      </c>
      <c r="O359" s="9">
        <f>sales[[#This Row],[Total Price]]*1.5%</f>
        <v>7.92</v>
      </c>
      <c r="R359" s="5" t="str">
        <f>_xlfn.CONCAT(sales[[#This Row],[Shop]]," ",sales[[#This Row],[Location]])</f>
        <v>Tai Po Yata</v>
      </c>
    </row>
    <row r="360" spans="1:18" ht="16.5" customHeight="1">
      <c r="A360" s="7">
        <v>358</v>
      </c>
      <c r="B360" s="2" t="s">
        <v>996</v>
      </c>
      <c r="C360" s="5" t="s">
        <v>1005</v>
      </c>
      <c r="D360" s="2" t="str">
        <f ca="1">OFFSET(Roster!$B$7, MATCH(B360&amp;" "&amp;C360&amp;"*",Roster!$B$8:$B$20,0),DAY(sales[[#This Row],[date]]),1, 1)</f>
        <v>Apple</v>
      </c>
      <c r="E360" s="2">
        <f>MONTH(sales[[#This Row],[date]])</f>
        <v>6</v>
      </c>
      <c r="F360" s="233">
        <v>46193</v>
      </c>
      <c r="G360" s="3" t="str">
        <f>VLOOKUP("*"&amp;sales[[#This Row],[Input]]&amp;"*",'Ref-List'!$A:$C,1,0)</f>
        <v>3733+3922</v>
      </c>
      <c r="H360" s="2" t="str">
        <f>VLOOKUP("*"&amp;G360&amp;"*",'Ref-List'!$A:$C,3,0)</f>
        <v>超濾龍頭式淨水器組合</v>
      </c>
      <c r="I360" s="2">
        <v>3922</v>
      </c>
      <c r="J360" s="2">
        <v>1</v>
      </c>
      <c r="K360" s="2">
        <v>398</v>
      </c>
      <c r="L360" s="2">
        <f>sales[[#This Row],[quantity]]*sales[[#This Row],[price]]</f>
        <v>398</v>
      </c>
      <c r="M360" s="9">
        <f>sales[[#This Row],[Total Price]]*3%</f>
        <v>11.94</v>
      </c>
      <c r="N360" s="171">
        <f>sales[[#This Row],[Total Price]]*2.5%</f>
        <v>9.9500000000000011</v>
      </c>
      <c r="O360" s="9">
        <f>sales[[#This Row],[Total Price]]*1.5%</f>
        <v>5.97</v>
      </c>
      <c r="R360" s="5" t="str">
        <f>_xlfn.CONCAT(sales[[#This Row],[Shop]]," ",sales[[#This Row],[Location]])</f>
        <v>TW Aeon</v>
      </c>
    </row>
    <row r="361" spans="1:18" ht="16.5" customHeight="1">
      <c r="A361" s="7">
        <v>359</v>
      </c>
      <c r="B361" s="2" t="s">
        <v>996</v>
      </c>
      <c r="C361" s="5" t="s">
        <v>1005</v>
      </c>
      <c r="D361" s="2" t="str">
        <f ca="1">OFFSET(Roster!$B$7, MATCH(B361&amp;" "&amp;C361&amp;"*",Roster!$B$8:$B$20,0),DAY(sales[[#This Row],[date]]),1, 1)</f>
        <v>Apple</v>
      </c>
      <c r="E361" s="2">
        <f>MONTH(sales[[#This Row],[date]])</f>
        <v>6</v>
      </c>
      <c r="F361" s="233">
        <v>46193</v>
      </c>
      <c r="G361" s="3" t="e">
        <f>VLOOKUP("*"&amp;sales[[#This Row],[Input]]&amp;"*",'Ref-List'!$A:$C,1,0)</f>
        <v>#N/A</v>
      </c>
      <c r="H361" s="2" t="e">
        <f>VLOOKUP("*"&amp;G361&amp;"*",'Ref-List'!$A:$C,3,0)</f>
        <v>#N/A</v>
      </c>
      <c r="I361" s="2">
        <v>583</v>
      </c>
      <c r="J361" s="2">
        <v>1</v>
      </c>
      <c r="K361" s="2">
        <v>998</v>
      </c>
      <c r="L361" s="2">
        <f>sales[[#This Row],[quantity]]*sales[[#This Row],[price]]</f>
        <v>998</v>
      </c>
      <c r="M361" s="9">
        <f>sales[[#This Row],[Total Price]]*3%</f>
        <v>29.939999999999998</v>
      </c>
      <c r="N361" s="171">
        <f>sales[[#This Row],[Total Price]]*2.5%</f>
        <v>24.950000000000003</v>
      </c>
      <c r="O361" s="9">
        <f>sales[[#This Row],[Total Price]]*1.5%</f>
        <v>14.969999999999999</v>
      </c>
      <c r="R361" s="5" t="str">
        <f>_xlfn.CONCAT(sales[[#This Row],[Shop]]," ",sales[[#This Row],[Location]])</f>
        <v>TW Aeon</v>
      </c>
    </row>
    <row r="362" spans="1:18" ht="16.5" customHeight="1">
      <c r="A362" s="7">
        <v>360</v>
      </c>
      <c r="B362" s="2" t="s">
        <v>996</v>
      </c>
      <c r="C362" s="5" t="s">
        <v>1005</v>
      </c>
      <c r="D362" s="2" t="str">
        <f ca="1">OFFSET(Roster!$B$7, MATCH(B362&amp;" "&amp;C362&amp;"*",Roster!$B$8:$B$20,0),DAY(sales[[#This Row],[date]]),1, 1)</f>
        <v>Apple</v>
      </c>
      <c r="E362" s="2">
        <f>MONTH(sales[[#This Row],[date]])</f>
        <v>6</v>
      </c>
      <c r="F362" s="233">
        <v>46194</v>
      </c>
      <c r="G362" s="3" t="str">
        <f>VLOOKUP("*"&amp;sales[[#This Row],[Input]]&amp;"*",'Ref-List'!$A:$C,1,0)</f>
        <v>3811+3911</v>
      </c>
      <c r="H362" s="2" t="str">
        <f>VLOOKUP("*"&amp;G362&amp;"*",'Ref-List'!$A:$C,3,0)</f>
        <v>超濾淨水器 + 濾芯套裝</v>
      </c>
      <c r="I362" s="2">
        <v>3911</v>
      </c>
      <c r="J362" s="2">
        <v>1</v>
      </c>
      <c r="K362" s="2">
        <v>298</v>
      </c>
      <c r="L362" s="2">
        <f>sales[[#This Row],[quantity]]*sales[[#This Row],[price]]</f>
        <v>298</v>
      </c>
      <c r="M362" s="9">
        <f>sales[[#This Row],[Total Price]]*3%</f>
        <v>8.94</v>
      </c>
      <c r="N362" s="171">
        <f>sales[[#This Row],[Total Price]]*2.5%</f>
        <v>7.45</v>
      </c>
      <c r="O362" s="9">
        <f>sales[[#This Row],[Total Price]]*1.5%</f>
        <v>4.47</v>
      </c>
      <c r="R362" s="5" t="str">
        <f>_xlfn.CONCAT(sales[[#This Row],[Shop]]," ",sales[[#This Row],[Location]])</f>
        <v>TW Aeon</v>
      </c>
    </row>
    <row r="363" spans="1:18" ht="16.5" customHeight="1">
      <c r="A363" s="7">
        <v>361</v>
      </c>
      <c r="B363" s="2" t="s">
        <v>996</v>
      </c>
      <c r="C363" s="5" t="s">
        <v>1005</v>
      </c>
      <c r="D363" s="2" t="str">
        <f ca="1">OFFSET(Roster!$B$7, MATCH(B363&amp;" "&amp;C363&amp;"*",Roster!$B$8:$B$20,0),DAY(sales[[#This Row],[date]]),1, 1)</f>
        <v>Apple</v>
      </c>
      <c r="E363" s="2">
        <f>MONTH(sales[[#This Row],[date]])</f>
        <v>6</v>
      </c>
      <c r="F363" s="233">
        <v>46194</v>
      </c>
      <c r="G363" s="3" t="str">
        <f>VLOOKUP("*"&amp;sales[[#This Row],[Input]]&amp;"*",'Ref-List'!$A:$C,1,0)</f>
        <v>3733+3922</v>
      </c>
      <c r="H363" s="2" t="str">
        <f>VLOOKUP("*"&amp;G363&amp;"*",'Ref-List'!$A:$C,3,0)</f>
        <v>超濾龍頭式淨水器組合</v>
      </c>
      <c r="I363" s="2">
        <v>3922</v>
      </c>
      <c r="J363" s="2">
        <v>1</v>
      </c>
      <c r="K363" s="2">
        <v>398</v>
      </c>
      <c r="L363" s="2">
        <f>sales[[#This Row],[quantity]]*sales[[#This Row],[price]]</f>
        <v>398</v>
      </c>
      <c r="M363" s="9">
        <f>sales[[#This Row],[Total Price]]*3%</f>
        <v>11.94</v>
      </c>
      <c r="N363" s="171">
        <f>sales[[#This Row],[Total Price]]*2.5%</f>
        <v>9.9500000000000011</v>
      </c>
      <c r="O363" s="9">
        <f>sales[[#This Row],[Total Price]]*1.5%</f>
        <v>5.97</v>
      </c>
      <c r="R363" s="5" t="str">
        <f>_xlfn.CONCAT(sales[[#This Row],[Shop]]," ",sales[[#This Row],[Location]])</f>
        <v>TW Aeon</v>
      </c>
    </row>
    <row r="364" spans="1:18" ht="16.5" customHeight="1">
      <c r="A364" s="7">
        <v>362</v>
      </c>
      <c r="B364" s="2" t="s">
        <v>1009</v>
      </c>
      <c r="C364" s="5" t="s">
        <v>975</v>
      </c>
      <c r="D364" s="2" t="str">
        <f ca="1">OFFSET(Roster!$B$7, MATCH(B364&amp;" "&amp;C364&amp;"*",Roster!$B$8:$B$20,0),DAY(sales[[#This Row],[date]]),1, 1)</f>
        <v>Shirley</v>
      </c>
      <c r="E364" s="2">
        <f>MONTH(sales[[#This Row],[date]])</f>
        <v>6</v>
      </c>
      <c r="F364" s="233">
        <v>46179</v>
      </c>
      <c r="G364" s="3" t="str">
        <f>VLOOKUP("*"&amp;sales[[#This Row],[Input]]&amp;"*",'Ref-List'!$A:$C,1,0)</f>
        <v>6901+541</v>
      </c>
      <c r="H364" s="2" t="str">
        <f>VLOOKUP("*"&amp;G364&amp;"*",'Ref-List'!$A:$C,3,0)</f>
        <v>RO純淨飲水機 + 濾芯</v>
      </c>
      <c r="I364" s="2">
        <v>541</v>
      </c>
      <c r="J364" s="2">
        <v>1</v>
      </c>
      <c r="K364" s="2">
        <v>628</v>
      </c>
      <c r="L364" s="2">
        <f>sales[[#This Row],[quantity]]*sales[[#This Row],[price]]</f>
        <v>628</v>
      </c>
      <c r="M364" s="9">
        <f>sales[[#This Row],[Total Price]]*3%</f>
        <v>18.84</v>
      </c>
      <c r="N364" s="171">
        <f>sales[[#This Row],[Total Price]]*2.5%</f>
        <v>15.700000000000001</v>
      </c>
      <c r="O364" s="9">
        <f>sales[[#This Row],[Total Price]]*1.5%</f>
        <v>9.42</v>
      </c>
      <c r="R364" s="5" t="str">
        <f>_xlfn.CONCAT(sales[[#This Row],[Shop]]," ",sales[[#This Row],[Location]])</f>
        <v>Festival Walk Fortress</v>
      </c>
    </row>
    <row r="365" spans="1:18" ht="16.5" customHeight="1">
      <c r="A365" s="7">
        <v>363</v>
      </c>
      <c r="B365" s="2" t="s">
        <v>1009</v>
      </c>
      <c r="C365" s="5" t="s">
        <v>975</v>
      </c>
      <c r="D365" s="2" t="str">
        <f ca="1">OFFSET(Roster!$B$7, MATCH(B365&amp;" "&amp;C365&amp;"*",Roster!$B$8:$B$20,0),DAY(sales[[#This Row],[date]]),1, 1)</f>
        <v>Shirley</v>
      </c>
      <c r="E365" s="2">
        <f>MONTH(sales[[#This Row],[date]])</f>
        <v>6</v>
      </c>
      <c r="F365" s="233">
        <v>46179</v>
      </c>
      <c r="G365" s="3" t="str">
        <f>VLOOKUP("*"&amp;sales[[#This Row],[Input]]&amp;"*",'Ref-List'!$A:$C,1,0)</f>
        <v>6901+541</v>
      </c>
      <c r="H365" s="2" t="str">
        <f>VLOOKUP("*"&amp;G365&amp;"*",'Ref-List'!$A:$C,3,0)</f>
        <v>RO純淨飲水機 + 濾芯</v>
      </c>
      <c r="I365" s="2">
        <v>690</v>
      </c>
      <c r="J365" s="2">
        <v>1</v>
      </c>
      <c r="K365" s="2">
        <v>168</v>
      </c>
      <c r="L365" s="2">
        <f>sales[[#This Row],[quantity]]*sales[[#This Row],[price]]</f>
        <v>168</v>
      </c>
      <c r="M365" s="9">
        <f>sales[[#This Row],[Total Price]]*3%</f>
        <v>5.04</v>
      </c>
      <c r="N365" s="171">
        <f>sales[[#This Row],[Total Price]]*2.5%</f>
        <v>4.2</v>
      </c>
      <c r="O365" s="9">
        <f>sales[[#This Row],[Total Price]]*1.5%</f>
        <v>2.52</v>
      </c>
      <c r="R365" s="5" t="str">
        <f>_xlfn.CONCAT(sales[[#This Row],[Shop]]," ",sales[[#This Row],[Location]])</f>
        <v>Festival Walk Fortress</v>
      </c>
    </row>
    <row r="366" spans="1:18" ht="16.5" customHeight="1">
      <c r="A366" s="7">
        <v>364</v>
      </c>
      <c r="B366" s="2" t="s">
        <v>1009</v>
      </c>
      <c r="C366" s="5" t="s">
        <v>975</v>
      </c>
      <c r="D366" s="2" t="str">
        <f ca="1">OFFSET(Roster!$B$7, MATCH(B366&amp;" "&amp;C366&amp;"*",Roster!$B$8:$B$20,0),DAY(sales[[#This Row],[date]]),1, 1)</f>
        <v>Shirley</v>
      </c>
      <c r="E366" s="2">
        <f>MONTH(sales[[#This Row],[date]])</f>
        <v>6</v>
      </c>
      <c r="F366" s="233">
        <v>46180</v>
      </c>
      <c r="G366" s="3" t="str">
        <f>VLOOKUP("*"&amp;sales[[#This Row],[Input]]&amp;"*",'Ref-List'!$A:$C,1,0)</f>
        <v>3733+3922</v>
      </c>
      <c r="H366" s="2" t="str">
        <f>VLOOKUP("*"&amp;G366&amp;"*",'Ref-List'!$A:$C,3,0)</f>
        <v>超濾龍頭式淨水器組合</v>
      </c>
      <c r="I366" s="2">
        <v>3922</v>
      </c>
      <c r="J366" s="2">
        <v>1</v>
      </c>
      <c r="K366" s="2">
        <v>598</v>
      </c>
      <c r="L366" s="2">
        <f>sales[[#This Row],[quantity]]*sales[[#This Row],[price]]</f>
        <v>598</v>
      </c>
      <c r="M366" s="9">
        <f>sales[[#This Row],[Total Price]]*3%</f>
        <v>17.939999999999998</v>
      </c>
      <c r="N366" s="171">
        <f>sales[[#This Row],[Total Price]]*2.5%</f>
        <v>14.950000000000001</v>
      </c>
      <c r="O366" s="9">
        <f>sales[[#This Row],[Total Price]]*1.5%</f>
        <v>8.9699999999999989</v>
      </c>
      <c r="R366" s="5" t="str">
        <f>_xlfn.CONCAT(sales[[#This Row],[Shop]]," ",sales[[#This Row],[Location]])</f>
        <v>Festival Walk Fortress</v>
      </c>
    </row>
    <row r="367" spans="1:18" ht="16.5" customHeight="1">
      <c r="A367" s="7">
        <v>365</v>
      </c>
      <c r="B367" s="2" t="s">
        <v>1009</v>
      </c>
      <c r="C367" s="5" t="s">
        <v>975</v>
      </c>
      <c r="D367" s="2" t="str">
        <f ca="1">OFFSET(Roster!$B$7, MATCH(B367&amp;" "&amp;C367&amp;"*",Roster!$B$8:$B$20,0),DAY(sales[[#This Row],[date]]),1, 1)</f>
        <v>Shirley</v>
      </c>
      <c r="E367" s="2">
        <f>MONTH(sales[[#This Row],[date]])</f>
        <v>6</v>
      </c>
      <c r="F367" s="233">
        <v>46180</v>
      </c>
      <c r="G367" s="3" t="str">
        <f>VLOOKUP("*"&amp;sales[[#This Row],[Input]]&amp;"*",'Ref-List'!$A:$C,1,0)</f>
        <v>3733+3922</v>
      </c>
      <c r="H367" s="2" t="str">
        <f>VLOOKUP("*"&amp;G367&amp;"*",'Ref-List'!$A:$C,3,0)</f>
        <v>超濾龍頭式淨水器組合</v>
      </c>
      <c r="I367" s="2">
        <v>3922</v>
      </c>
      <c r="J367" s="2">
        <v>1</v>
      </c>
      <c r="K367" s="2">
        <v>598</v>
      </c>
      <c r="L367" s="2">
        <f>sales[[#This Row],[quantity]]*sales[[#This Row],[price]]</f>
        <v>598</v>
      </c>
      <c r="M367" s="9">
        <f>sales[[#This Row],[Total Price]]*3%</f>
        <v>17.939999999999998</v>
      </c>
      <c r="N367" s="171">
        <f>sales[[#This Row],[Total Price]]*2.5%</f>
        <v>14.950000000000001</v>
      </c>
      <c r="O367" s="9">
        <f>sales[[#This Row],[Total Price]]*1.5%</f>
        <v>8.9699999999999989</v>
      </c>
      <c r="R367" s="5" t="str">
        <f>_xlfn.CONCAT(sales[[#This Row],[Shop]]," ",sales[[#This Row],[Location]])</f>
        <v>Festival Walk Fortress</v>
      </c>
    </row>
    <row r="368" spans="1:18" ht="16.5" customHeight="1">
      <c r="A368" s="7">
        <v>366</v>
      </c>
      <c r="B368" s="2" t="s">
        <v>1009</v>
      </c>
      <c r="C368" s="5" t="s">
        <v>975</v>
      </c>
      <c r="D368" s="2" t="str">
        <f ca="1">OFFSET(Roster!$B$7, MATCH(B368&amp;" "&amp;C368&amp;"*",Roster!$B$8:$B$20,0),DAY(sales[[#This Row],[date]]),1, 1)</f>
        <v>Shirley</v>
      </c>
      <c r="E368" s="2">
        <f>MONTH(sales[[#This Row],[date]])</f>
        <v>6</v>
      </c>
      <c r="F368" s="233">
        <v>46180</v>
      </c>
      <c r="G368" s="3" t="str">
        <f>VLOOKUP("*"&amp;sales[[#This Row],[Input]]&amp;"*",'Ref-List'!$A:$C,1,0)</f>
        <v>A3983</v>
      </c>
      <c r="H368" s="2" t="str">
        <f>VLOOKUP("*"&amp;G368&amp;"*",'Ref-List'!$A:$C,3,0)</f>
        <v>超濾複合濾水芯</v>
      </c>
      <c r="I368" s="2">
        <v>3983</v>
      </c>
      <c r="J368" s="2">
        <v>1</v>
      </c>
      <c r="K368" s="2">
        <v>898</v>
      </c>
      <c r="L368" s="2">
        <f>sales[[#This Row],[quantity]]*sales[[#This Row],[price]]</f>
        <v>898</v>
      </c>
      <c r="M368" s="9">
        <f>sales[[#This Row],[Total Price]]*3%</f>
        <v>26.939999999999998</v>
      </c>
      <c r="N368" s="171">
        <f>sales[[#This Row],[Total Price]]*2.5%</f>
        <v>22.450000000000003</v>
      </c>
      <c r="O368" s="9">
        <f>sales[[#This Row],[Total Price]]*1.5%</f>
        <v>13.469999999999999</v>
      </c>
      <c r="R368" s="5" t="str">
        <f>_xlfn.CONCAT(sales[[#This Row],[Shop]]," ",sales[[#This Row],[Location]])</f>
        <v>Festival Walk Fortress</v>
      </c>
    </row>
    <row r="369" spans="1:18" ht="16.5" customHeight="1">
      <c r="A369" s="7">
        <v>367</v>
      </c>
      <c r="B369" s="2" t="s">
        <v>1012</v>
      </c>
      <c r="C369" s="2" t="s">
        <v>975</v>
      </c>
      <c r="D369" s="2" t="str">
        <f ca="1">OFFSET(Roster!$B$7, MATCH(B369&amp;" "&amp;C369&amp;"*",Roster!$B$8:$B$20,0),DAY(sales[[#This Row],[date]]),1, 1)</f>
        <v>Margaret</v>
      </c>
      <c r="E369" s="2">
        <f>MONTH(sales[[#This Row],[date]])</f>
        <v>6</v>
      </c>
      <c r="F369" s="233">
        <v>46178</v>
      </c>
      <c r="G369" s="3" t="str">
        <f>VLOOKUP("*"&amp;sales[[#This Row],[Input]]&amp;"*",'Ref-List'!$A:$C,1,0)</f>
        <v>Model-Input-Ref</v>
      </c>
      <c r="H369" s="2" t="str">
        <f>VLOOKUP("*"&amp;G369&amp;"*",'Ref-List'!$A:$C,3,0)</f>
        <v>Product Line</v>
      </c>
      <c r="J369" s="2">
        <v>1</v>
      </c>
      <c r="K369" s="2">
        <v>848</v>
      </c>
      <c r="L369" s="2">
        <f>sales[[#This Row],[quantity]]*sales[[#This Row],[price]]</f>
        <v>848</v>
      </c>
      <c r="M369" s="9">
        <f>sales[[#This Row],[Total Price]]*3%</f>
        <v>25.439999999999998</v>
      </c>
      <c r="N369" s="171">
        <f>sales[[#This Row],[Total Price]]*2.5%</f>
        <v>21.200000000000003</v>
      </c>
      <c r="O369" s="9">
        <f>sales[[#This Row],[Total Price]]*1.5%</f>
        <v>12.719999999999999</v>
      </c>
      <c r="Q369" s="2">
        <v>1</v>
      </c>
      <c r="R369" s="5" t="str">
        <f>_xlfn.CONCAT(sales[[#This Row],[Shop]]," ",sales[[#This Row],[Location]])</f>
        <v>Shatin Fortress</v>
      </c>
    </row>
    <row r="370" spans="1:18" ht="16.5" customHeight="1">
      <c r="A370" s="7">
        <v>368</v>
      </c>
      <c r="B370" s="2" t="s">
        <v>1012</v>
      </c>
      <c r="C370" s="2" t="s">
        <v>975</v>
      </c>
      <c r="D370" s="2" t="str">
        <f ca="1">OFFSET(Roster!$B$7, MATCH(B370&amp;" "&amp;C370&amp;"*",Roster!$B$8:$B$20,0),DAY(sales[[#This Row],[date]]),1, 1)</f>
        <v>Margaret</v>
      </c>
      <c r="E370" s="2">
        <f>MONTH(sales[[#This Row],[date]])</f>
        <v>6</v>
      </c>
      <c r="F370" s="233">
        <v>46178</v>
      </c>
      <c r="G370" s="3" t="str">
        <f>VLOOKUP("*"&amp;sales[[#This Row],[Input]]&amp;"*",'Ref-List'!$A:$C,1,0)</f>
        <v>Model-Input-Ref</v>
      </c>
      <c r="H370" s="2" t="str">
        <f>VLOOKUP("*"&amp;G370&amp;"*",'Ref-List'!$A:$C,3,0)</f>
        <v>Product Line</v>
      </c>
      <c r="J370" s="2">
        <v>1</v>
      </c>
      <c r="K370" s="2">
        <v>1798</v>
      </c>
      <c r="L370" s="2">
        <f>sales[[#This Row],[quantity]]*sales[[#This Row],[price]]</f>
        <v>1798</v>
      </c>
      <c r="M370" s="9">
        <f>sales[[#This Row],[Total Price]]*3%</f>
        <v>53.94</v>
      </c>
      <c r="N370" s="171">
        <f>sales[[#This Row],[Total Price]]*2.5%</f>
        <v>44.95</v>
      </c>
      <c r="O370" s="9">
        <f>sales[[#This Row],[Total Price]]*1.5%</f>
        <v>26.97</v>
      </c>
      <c r="Q370" s="2">
        <v>1</v>
      </c>
      <c r="R370" s="5" t="str">
        <f>_xlfn.CONCAT(sales[[#This Row],[Shop]]," ",sales[[#This Row],[Location]])</f>
        <v>Shatin Fortress</v>
      </c>
    </row>
    <row r="371" spans="1:18" ht="16.5" customHeight="1">
      <c r="A371" s="7">
        <v>369</v>
      </c>
      <c r="B371" s="2" t="s">
        <v>1012</v>
      </c>
      <c r="C371" s="2" t="s">
        <v>975</v>
      </c>
      <c r="D371" s="2" t="str">
        <f ca="1">OFFSET(Roster!$B$7, MATCH(B371&amp;" "&amp;C371&amp;"*",Roster!$B$8:$B$20,0),DAY(sales[[#This Row],[date]]),1, 1)</f>
        <v>Margaret</v>
      </c>
      <c r="E371" s="2">
        <f>MONTH(sales[[#This Row],[date]])</f>
        <v>6</v>
      </c>
      <c r="F371" s="233">
        <v>46178</v>
      </c>
      <c r="G371" s="3" t="str">
        <f>VLOOKUP("*"&amp;sales[[#This Row],[Input]]&amp;"*",'Ref-List'!$A:$C,1,0)</f>
        <v>Model-Input-Ref</v>
      </c>
      <c r="H371" s="2" t="str">
        <f>VLOOKUP("*"&amp;G371&amp;"*",'Ref-List'!$A:$C,3,0)</f>
        <v>Product Line</v>
      </c>
      <c r="J371" s="2">
        <v>1</v>
      </c>
      <c r="K371" s="2">
        <v>848</v>
      </c>
      <c r="L371" s="2">
        <f>sales[[#This Row],[quantity]]*sales[[#This Row],[price]]</f>
        <v>848</v>
      </c>
      <c r="M371" s="9">
        <f>sales[[#This Row],[Total Price]]*3%</f>
        <v>25.439999999999998</v>
      </c>
      <c r="N371" s="171">
        <f>sales[[#This Row],[Total Price]]*2.5%</f>
        <v>21.200000000000003</v>
      </c>
      <c r="O371" s="9">
        <f>sales[[#This Row],[Total Price]]*1.5%</f>
        <v>12.719999999999999</v>
      </c>
      <c r="Q371" s="2">
        <v>1</v>
      </c>
      <c r="R371" s="5" t="str">
        <f>_xlfn.CONCAT(sales[[#This Row],[Shop]]," ",sales[[#This Row],[Location]])</f>
        <v>Shatin Fortress</v>
      </c>
    </row>
    <row r="372" spans="1:18" ht="16.5" customHeight="1">
      <c r="A372" s="7">
        <v>370</v>
      </c>
      <c r="B372" s="2" t="s">
        <v>1012</v>
      </c>
      <c r="C372" s="2" t="s">
        <v>975</v>
      </c>
      <c r="D372" s="2" t="str">
        <f ca="1">OFFSET(Roster!$B$7, MATCH(B372&amp;" "&amp;C372&amp;"*",Roster!$B$8:$B$20,0),DAY(sales[[#This Row],[date]]),1, 1)</f>
        <v>Margaret</v>
      </c>
      <c r="E372" s="2">
        <f>MONTH(sales[[#This Row],[date]])</f>
        <v>6</v>
      </c>
      <c r="F372" s="233">
        <v>46178</v>
      </c>
      <c r="G372" s="3" t="str">
        <f>VLOOKUP("*"&amp;sales[[#This Row],[Input]]&amp;"*",'Ref-List'!$A:$C,1,0)</f>
        <v>Model-Input-Ref</v>
      </c>
      <c r="H372" s="2" t="str">
        <f>VLOOKUP("*"&amp;G372&amp;"*",'Ref-List'!$A:$C,3,0)</f>
        <v>Product Line</v>
      </c>
      <c r="J372" s="2">
        <v>1</v>
      </c>
      <c r="K372" s="2">
        <v>598</v>
      </c>
      <c r="L372" s="2">
        <f>sales[[#This Row],[quantity]]*sales[[#This Row],[price]]</f>
        <v>598</v>
      </c>
      <c r="M372" s="9">
        <f>sales[[#This Row],[Total Price]]*3%</f>
        <v>17.939999999999998</v>
      </c>
      <c r="N372" s="171">
        <f>sales[[#This Row],[Total Price]]*2.5%</f>
        <v>14.950000000000001</v>
      </c>
      <c r="O372" s="9">
        <f>sales[[#This Row],[Total Price]]*1.5%</f>
        <v>8.9699999999999989</v>
      </c>
      <c r="Q372" s="2">
        <v>1</v>
      </c>
      <c r="R372" s="5" t="str">
        <f>_xlfn.CONCAT(sales[[#This Row],[Shop]]," ",sales[[#This Row],[Location]])</f>
        <v>Shatin Fortress</v>
      </c>
    </row>
    <row r="373" spans="1:18" ht="16.5" customHeight="1">
      <c r="A373" s="7">
        <v>371</v>
      </c>
      <c r="B373" s="2" t="s">
        <v>1012</v>
      </c>
      <c r="C373" s="2" t="s">
        <v>975</v>
      </c>
      <c r="D373" s="2" t="str">
        <f ca="1">OFFSET(Roster!$B$7, MATCH(B373&amp;" "&amp;C373&amp;"*",Roster!$B$8:$B$20,0),DAY(sales[[#This Row],[date]]),1, 1)</f>
        <v>Margaret</v>
      </c>
      <c r="E373" s="2">
        <f>MONTH(sales[[#This Row],[date]])</f>
        <v>6</v>
      </c>
      <c r="F373" s="233">
        <v>46178</v>
      </c>
      <c r="G373" s="3" t="str">
        <f>VLOOKUP("*"&amp;sales[[#This Row],[Input]]&amp;"*",'Ref-List'!$A:$C,1,0)</f>
        <v>Model-Input-Ref</v>
      </c>
      <c r="H373" s="2" t="str">
        <f>VLOOKUP("*"&amp;G373&amp;"*",'Ref-List'!$A:$C,3,0)</f>
        <v>Product Line</v>
      </c>
      <c r="J373" s="2">
        <v>1</v>
      </c>
      <c r="K373" s="2">
        <v>598</v>
      </c>
      <c r="L373" s="2">
        <f>sales[[#This Row],[quantity]]*sales[[#This Row],[price]]</f>
        <v>598</v>
      </c>
      <c r="M373" s="9">
        <f>sales[[#This Row],[Total Price]]*3%</f>
        <v>17.939999999999998</v>
      </c>
      <c r="N373" s="171">
        <f>sales[[#This Row],[Total Price]]*2.5%</f>
        <v>14.950000000000001</v>
      </c>
      <c r="O373" s="9">
        <f>sales[[#This Row],[Total Price]]*1.5%</f>
        <v>8.9699999999999989</v>
      </c>
      <c r="Q373" s="2">
        <v>1</v>
      </c>
      <c r="R373" s="5" t="str">
        <f>_xlfn.CONCAT(sales[[#This Row],[Shop]]," ",sales[[#This Row],[Location]])</f>
        <v>Shatin Fortress</v>
      </c>
    </row>
    <row r="374" spans="1:18" ht="16.5" customHeight="1">
      <c r="A374" s="7">
        <v>372</v>
      </c>
      <c r="B374" s="2" t="s">
        <v>1012</v>
      </c>
      <c r="C374" s="2" t="s">
        <v>975</v>
      </c>
      <c r="D374" s="2" t="str">
        <f ca="1">OFFSET(Roster!$B$7, MATCH(B374&amp;" "&amp;C374&amp;"*",Roster!$B$8:$B$20,0),DAY(sales[[#This Row],[date]]),1, 1)</f>
        <v>Margaret</v>
      </c>
      <c r="E374" s="2">
        <f>MONTH(sales[[#This Row],[date]])</f>
        <v>6</v>
      </c>
      <c r="F374" s="233">
        <v>46178</v>
      </c>
      <c r="G374" s="3" t="str">
        <f>VLOOKUP("*"&amp;sales[[#This Row],[Input]]&amp;"*",'Ref-List'!$A:$C,1,0)</f>
        <v>Model-Input-Ref</v>
      </c>
      <c r="H374" s="2" t="str">
        <f>VLOOKUP("*"&amp;G374&amp;"*",'Ref-List'!$A:$C,3,0)</f>
        <v>Product Line</v>
      </c>
      <c r="J374" s="2">
        <v>1</v>
      </c>
      <c r="K374" s="2">
        <v>598</v>
      </c>
      <c r="L374" s="2">
        <f>sales[[#This Row],[quantity]]*sales[[#This Row],[price]]</f>
        <v>598</v>
      </c>
      <c r="M374" s="9">
        <f>sales[[#This Row],[Total Price]]*3%</f>
        <v>17.939999999999998</v>
      </c>
      <c r="N374" s="171">
        <f>sales[[#This Row],[Total Price]]*2.5%</f>
        <v>14.950000000000001</v>
      </c>
      <c r="O374" s="9">
        <f>sales[[#This Row],[Total Price]]*1.5%</f>
        <v>8.9699999999999989</v>
      </c>
      <c r="Q374" s="2">
        <v>1</v>
      </c>
      <c r="R374" s="5" t="str">
        <f>_xlfn.CONCAT(sales[[#This Row],[Shop]]," ",sales[[#This Row],[Location]])</f>
        <v>Shatin Fortress</v>
      </c>
    </row>
    <row r="375" spans="1:18" ht="16.5" customHeight="1">
      <c r="A375" s="7">
        <v>373</v>
      </c>
      <c r="B375" s="2" t="s">
        <v>1012</v>
      </c>
      <c r="C375" s="2" t="s">
        <v>975</v>
      </c>
      <c r="D375" s="2" t="str">
        <f ca="1">OFFSET(Roster!$B$7, MATCH(B375&amp;" "&amp;C375&amp;"*",Roster!$B$8:$B$20,0),DAY(sales[[#This Row],[date]]),1, 1)</f>
        <v>Margaret</v>
      </c>
      <c r="E375" s="2">
        <f>MONTH(sales[[#This Row],[date]])</f>
        <v>6</v>
      </c>
      <c r="F375" s="233">
        <v>46178</v>
      </c>
      <c r="G375" s="3" t="str">
        <f>VLOOKUP("*"&amp;sales[[#This Row],[Input]]&amp;"*",'Ref-List'!$A:$C,1,0)</f>
        <v>Model-Input-Ref</v>
      </c>
      <c r="H375" s="2" t="str">
        <f>VLOOKUP("*"&amp;G375&amp;"*",'Ref-List'!$A:$C,3,0)</f>
        <v>Product Line</v>
      </c>
      <c r="J375" s="2">
        <v>1</v>
      </c>
      <c r="K375" s="2">
        <v>598</v>
      </c>
      <c r="L375" s="2">
        <f>sales[[#This Row],[quantity]]*sales[[#This Row],[price]]</f>
        <v>598</v>
      </c>
      <c r="M375" s="9">
        <f>sales[[#This Row],[Total Price]]*3%</f>
        <v>17.939999999999998</v>
      </c>
      <c r="N375" s="171">
        <f>sales[[#This Row],[Total Price]]*2.5%</f>
        <v>14.950000000000001</v>
      </c>
      <c r="O375" s="9">
        <f>sales[[#This Row],[Total Price]]*1.5%</f>
        <v>8.9699999999999989</v>
      </c>
      <c r="Q375" s="2">
        <v>1</v>
      </c>
      <c r="R375" s="5" t="str">
        <f>_xlfn.CONCAT(sales[[#This Row],[Shop]]," ",sales[[#This Row],[Location]])</f>
        <v>Shatin Fortress</v>
      </c>
    </row>
    <row r="376" spans="1:18" ht="15.6" customHeight="1">
      <c r="A376" s="7">
        <v>374</v>
      </c>
      <c r="B376" s="2" t="s">
        <v>1012</v>
      </c>
      <c r="C376" s="2" t="s">
        <v>975</v>
      </c>
      <c r="D376" s="2" t="str">
        <f ca="1">OFFSET(Roster!$B$7, MATCH(B376&amp;" "&amp;C376&amp;"*",Roster!$B$8:$B$20,0),DAY(sales[[#This Row],[date]]),1, 1)</f>
        <v>Margaret</v>
      </c>
      <c r="E376" s="2">
        <f>MONTH(sales[[#This Row],[date]])</f>
        <v>6</v>
      </c>
      <c r="F376" s="233">
        <v>46178</v>
      </c>
      <c r="G376" s="3" t="str">
        <f>VLOOKUP("*"&amp;sales[[#This Row],[Input]]&amp;"*",'Ref-List'!$A:$C,1,0)</f>
        <v>Model-Input-Ref</v>
      </c>
      <c r="H376" s="2" t="str">
        <f>VLOOKUP("*"&amp;G376&amp;"*",'Ref-List'!$A:$C,3,0)</f>
        <v>Product Line</v>
      </c>
      <c r="J376" s="2">
        <v>1</v>
      </c>
      <c r="K376" s="2">
        <v>8988</v>
      </c>
      <c r="L376" s="2">
        <f>sales[[#This Row],[quantity]]*sales[[#This Row],[price]]</f>
        <v>8988</v>
      </c>
      <c r="M376" s="9">
        <f>sales[[#This Row],[Total Price]]*3%</f>
        <v>269.64</v>
      </c>
      <c r="N376" s="171">
        <f>sales[[#This Row],[Total Price]]*2.5%</f>
        <v>224.70000000000002</v>
      </c>
      <c r="O376" s="9">
        <f>sales[[#This Row],[Total Price]]*1.5%</f>
        <v>134.82</v>
      </c>
      <c r="Q376" s="2">
        <v>1</v>
      </c>
      <c r="R376" s="5" t="str">
        <f>_xlfn.CONCAT(sales[[#This Row],[Shop]]," ",sales[[#This Row],[Location]])</f>
        <v>Shatin Fortress</v>
      </c>
    </row>
    <row r="377" spans="1:18" ht="15.6" customHeight="1">
      <c r="A377" s="7">
        <v>375</v>
      </c>
      <c r="B377" s="2" t="s">
        <v>1012</v>
      </c>
      <c r="C377" s="2" t="s">
        <v>975</v>
      </c>
      <c r="D377" s="2" t="str">
        <f ca="1">OFFSET(Roster!$B$7, MATCH(B377&amp;" "&amp;C377&amp;"*",Roster!$B$8:$B$20,0),DAY(sales[[#This Row],[date]]),1, 1)</f>
        <v>Margaret</v>
      </c>
      <c r="E377" s="2">
        <f>MONTH(sales[[#This Row],[date]])</f>
        <v>6</v>
      </c>
      <c r="F377" s="233">
        <v>46178</v>
      </c>
      <c r="G377" s="3" t="str">
        <f>VLOOKUP("*"&amp;sales[[#This Row],[Input]]&amp;"*",'Ref-List'!$A:$C,1,0)</f>
        <v>Model-Input-Ref</v>
      </c>
      <c r="H377" s="2" t="str">
        <f>VLOOKUP("*"&amp;G377&amp;"*",'Ref-List'!$A:$C,3,0)</f>
        <v>Product Line</v>
      </c>
      <c r="J377" s="2">
        <v>1</v>
      </c>
      <c r="K377" s="2">
        <v>598</v>
      </c>
      <c r="L377" s="2">
        <f>sales[[#This Row],[quantity]]*sales[[#This Row],[price]]</f>
        <v>598</v>
      </c>
      <c r="M377" s="9">
        <f>sales[[#This Row],[Total Price]]*3%</f>
        <v>17.939999999999998</v>
      </c>
      <c r="N377" s="171">
        <f>sales[[#This Row],[Total Price]]*2.5%</f>
        <v>14.950000000000001</v>
      </c>
      <c r="O377" s="9">
        <f>sales[[#This Row],[Total Price]]*1.5%</f>
        <v>8.9699999999999989</v>
      </c>
      <c r="Q377" s="2">
        <v>1</v>
      </c>
      <c r="R377" s="5" t="str">
        <f>_xlfn.CONCAT(sales[[#This Row],[Shop]]," ",sales[[#This Row],[Location]])</f>
        <v>Shatin Fortress</v>
      </c>
    </row>
    <row r="378" spans="1:18" ht="15.6" customHeight="1">
      <c r="A378" s="7">
        <v>376</v>
      </c>
      <c r="B378" s="2" t="s">
        <v>1012</v>
      </c>
      <c r="C378" s="2" t="s">
        <v>975</v>
      </c>
      <c r="D378" s="2" t="str">
        <f ca="1">OFFSET(Roster!$B$7, MATCH(B378&amp;" "&amp;C378&amp;"*",Roster!$B$8:$B$20,0),DAY(sales[[#This Row],[date]]),1, 1)</f>
        <v>Margaret</v>
      </c>
      <c r="E378" s="2">
        <f>MONTH(sales[[#This Row],[date]])</f>
        <v>6</v>
      </c>
      <c r="F378" s="233">
        <v>46178</v>
      </c>
      <c r="G378" s="3" t="str">
        <f>VLOOKUP("*"&amp;sales[[#This Row],[Input]]&amp;"*",'Ref-List'!$A:$C,1,0)</f>
        <v>Model-Input-Ref</v>
      </c>
      <c r="H378" s="2" t="str">
        <f>VLOOKUP("*"&amp;G378&amp;"*",'Ref-List'!$A:$C,3,0)</f>
        <v>Product Line</v>
      </c>
      <c r="J378" s="2">
        <v>1</v>
      </c>
      <c r="K378" s="2">
        <v>848</v>
      </c>
      <c r="L378" s="2">
        <f>sales[[#This Row],[quantity]]*sales[[#This Row],[price]]</f>
        <v>848</v>
      </c>
      <c r="M378" s="9">
        <f>sales[[#This Row],[Total Price]]*3%</f>
        <v>25.439999999999998</v>
      </c>
      <c r="N378" s="171">
        <f>sales[[#This Row],[Total Price]]*2.5%</f>
        <v>21.200000000000003</v>
      </c>
      <c r="O378" s="9">
        <f>sales[[#This Row],[Total Price]]*1.5%</f>
        <v>12.719999999999999</v>
      </c>
      <c r="Q378" s="2">
        <v>1</v>
      </c>
      <c r="R378" s="5" t="str">
        <f>_xlfn.CONCAT(sales[[#This Row],[Shop]]," ",sales[[#This Row],[Location]])</f>
        <v>Shatin Fortress</v>
      </c>
    </row>
    <row r="379" spans="1:18" ht="16.5" customHeight="1">
      <c r="A379" s="7">
        <v>377</v>
      </c>
      <c r="B379" s="2" t="s">
        <v>1012</v>
      </c>
      <c r="C379" s="2" t="s">
        <v>975</v>
      </c>
      <c r="D379" s="2" t="str">
        <f ca="1">OFFSET(Roster!$B$7, MATCH(B379&amp;" "&amp;C379&amp;"*",Roster!$B$8:$B$20,0),DAY(sales[[#This Row],[date]]),1, 1)</f>
        <v>Margaret</v>
      </c>
      <c r="E379" s="2">
        <f>MONTH(sales[[#This Row],[date]])</f>
        <v>6</v>
      </c>
      <c r="F379" s="233">
        <v>46179</v>
      </c>
      <c r="G379" s="3" t="str">
        <f>VLOOKUP("*"&amp;sales[[#This Row],[Input]]&amp;"*",'Ref-List'!$A:$C,1,0)</f>
        <v>Model-Input-Ref</v>
      </c>
      <c r="H379" s="2" t="str">
        <f>VLOOKUP("*"&amp;G379&amp;"*",'Ref-List'!$A:$C,3,0)</f>
        <v>Product Line</v>
      </c>
      <c r="J379" s="2">
        <v>1</v>
      </c>
      <c r="K379" s="2">
        <v>598</v>
      </c>
      <c r="L379" s="2">
        <f>sales[[#This Row],[quantity]]*sales[[#This Row],[price]]</f>
        <v>598</v>
      </c>
      <c r="M379" s="9">
        <f>sales[[#This Row],[Total Price]]*3%</f>
        <v>17.939999999999998</v>
      </c>
      <c r="N379" s="171">
        <f>sales[[#This Row],[Total Price]]*2.5%</f>
        <v>14.950000000000001</v>
      </c>
      <c r="O379" s="9">
        <f>sales[[#This Row],[Total Price]]*1.5%</f>
        <v>8.9699999999999989</v>
      </c>
      <c r="Q379" s="2">
        <v>1</v>
      </c>
      <c r="R379" s="5" t="str">
        <f>_xlfn.CONCAT(sales[[#This Row],[Shop]]," ",sales[[#This Row],[Location]])</f>
        <v>Shatin Fortress</v>
      </c>
    </row>
    <row r="380" spans="1:18" ht="16.5" customHeight="1">
      <c r="A380" s="7">
        <v>378</v>
      </c>
      <c r="B380" s="2" t="s">
        <v>1012</v>
      </c>
      <c r="C380" s="2" t="s">
        <v>975</v>
      </c>
      <c r="D380" s="2" t="str">
        <f ca="1">OFFSET(Roster!$B$7, MATCH(B380&amp;" "&amp;C380&amp;"*",Roster!$B$8:$B$20,0),DAY(sales[[#This Row],[date]]),1, 1)</f>
        <v>Margaret</v>
      </c>
      <c r="E380" s="2">
        <f>MONTH(sales[[#This Row],[date]])</f>
        <v>6</v>
      </c>
      <c r="F380" s="233">
        <v>46179</v>
      </c>
      <c r="G380" s="3" t="str">
        <f>VLOOKUP("*"&amp;sales[[#This Row],[Input]]&amp;"*",'Ref-List'!$A:$C,1,0)</f>
        <v>Model-Input-Ref</v>
      </c>
      <c r="H380" s="2" t="str">
        <f>VLOOKUP("*"&amp;G380&amp;"*",'Ref-List'!$A:$C,3,0)</f>
        <v>Product Line</v>
      </c>
      <c r="J380" s="2">
        <v>1</v>
      </c>
      <c r="K380" s="2">
        <v>598</v>
      </c>
      <c r="L380" s="2">
        <f>sales[[#This Row],[quantity]]*sales[[#This Row],[price]]</f>
        <v>598</v>
      </c>
      <c r="M380" s="9">
        <f>sales[[#This Row],[Total Price]]*3%</f>
        <v>17.939999999999998</v>
      </c>
      <c r="N380" s="171">
        <f>sales[[#This Row],[Total Price]]*2.5%</f>
        <v>14.950000000000001</v>
      </c>
      <c r="O380" s="9">
        <f>sales[[#This Row],[Total Price]]*1.5%</f>
        <v>8.9699999999999989</v>
      </c>
      <c r="Q380" s="2">
        <v>1</v>
      </c>
      <c r="R380" s="5" t="str">
        <f>_xlfn.CONCAT(sales[[#This Row],[Shop]]," ",sales[[#This Row],[Location]])</f>
        <v>Shatin Fortress</v>
      </c>
    </row>
    <row r="381" spans="1:18" ht="16.5" customHeight="1">
      <c r="A381" s="7">
        <v>379</v>
      </c>
      <c r="B381" s="2" t="s">
        <v>1012</v>
      </c>
      <c r="C381" s="2" t="s">
        <v>975</v>
      </c>
      <c r="D381" s="2" t="str">
        <f ca="1">OFFSET(Roster!$B$7, MATCH(B381&amp;" "&amp;C381&amp;"*",Roster!$B$8:$B$20,0),DAY(sales[[#This Row],[date]]),1, 1)</f>
        <v>Margaret</v>
      </c>
      <c r="E381" s="2">
        <f>MONTH(sales[[#This Row],[date]])</f>
        <v>6</v>
      </c>
      <c r="F381" s="233">
        <v>46179</v>
      </c>
      <c r="G381" s="3" t="str">
        <f>VLOOKUP("*"&amp;sales[[#This Row],[Input]]&amp;"*",'Ref-List'!$A:$C,1,0)</f>
        <v>Model-Input-Ref</v>
      </c>
      <c r="H381" s="2" t="str">
        <f>VLOOKUP("*"&amp;G381&amp;"*",'Ref-List'!$A:$C,3,0)</f>
        <v>Product Line</v>
      </c>
      <c r="J381" s="2">
        <v>1</v>
      </c>
      <c r="K381" s="2">
        <v>1899</v>
      </c>
      <c r="L381" s="2">
        <f>sales[[#This Row],[quantity]]*sales[[#This Row],[price]]</f>
        <v>1899</v>
      </c>
      <c r="M381" s="9">
        <f>sales[[#This Row],[Total Price]]*3%</f>
        <v>56.97</v>
      </c>
      <c r="N381" s="171">
        <f>sales[[#This Row],[Total Price]]*2.5%</f>
        <v>47.475000000000001</v>
      </c>
      <c r="O381" s="9">
        <f>sales[[#This Row],[Total Price]]*1.5%</f>
        <v>28.484999999999999</v>
      </c>
      <c r="Q381" s="2">
        <v>1</v>
      </c>
      <c r="R381" s="5" t="str">
        <f>_xlfn.CONCAT(sales[[#This Row],[Shop]]," ",sales[[#This Row],[Location]])</f>
        <v>Shatin Fortress</v>
      </c>
    </row>
    <row r="382" spans="1:18" ht="16.5" customHeight="1">
      <c r="A382" s="7">
        <v>380</v>
      </c>
      <c r="B382" s="2" t="s">
        <v>1012</v>
      </c>
      <c r="C382" s="2" t="s">
        <v>975</v>
      </c>
      <c r="D382" s="2" t="str">
        <f ca="1">OFFSET(Roster!$B$7, MATCH(B382&amp;" "&amp;C382&amp;"*",Roster!$B$8:$B$20,0),DAY(sales[[#This Row],[date]]),1, 1)</f>
        <v>Margaret</v>
      </c>
      <c r="E382" s="2">
        <f>MONTH(sales[[#This Row],[date]])</f>
        <v>6</v>
      </c>
      <c r="F382" s="233">
        <v>46179</v>
      </c>
      <c r="G382" s="3" t="str">
        <f>VLOOKUP("*"&amp;sales[[#This Row],[Input]]&amp;"*",'Ref-List'!$A:$C,1,0)</f>
        <v>Model-Input-Ref</v>
      </c>
      <c r="H382" s="2" t="str">
        <f>VLOOKUP("*"&amp;G382&amp;"*",'Ref-List'!$A:$C,3,0)</f>
        <v>Product Line</v>
      </c>
      <c r="J382" s="2">
        <v>1</v>
      </c>
      <c r="K382" s="2">
        <v>1899</v>
      </c>
      <c r="L382" s="2">
        <f>sales[[#This Row],[quantity]]*sales[[#This Row],[price]]</f>
        <v>1899</v>
      </c>
      <c r="M382" s="9">
        <f>sales[[#This Row],[Total Price]]*3%</f>
        <v>56.97</v>
      </c>
      <c r="N382" s="171">
        <f>sales[[#This Row],[Total Price]]*2.5%</f>
        <v>47.475000000000001</v>
      </c>
      <c r="O382" s="9">
        <f>sales[[#This Row],[Total Price]]*1.5%</f>
        <v>28.484999999999999</v>
      </c>
      <c r="Q382" s="2">
        <v>1</v>
      </c>
      <c r="R382" s="5" t="str">
        <f>_xlfn.CONCAT(sales[[#This Row],[Shop]]," ",sales[[#This Row],[Location]])</f>
        <v>Shatin Fortress</v>
      </c>
    </row>
    <row r="383" spans="1:18" ht="16.5" customHeight="1">
      <c r="A383" s="7">
        <v>381</v>
      </c>
      <c r="B383" s="2" t="s">
        <v>1012</v>
      </c>
      <c r="C383" s="2" t="s">
        <v>975</v>
      </c>
      <c r="D383" s="2" t="str">
        <f ca="1">OFFSET(Roster!$B$7, MATCH(B383&amp;" "&amp;C383&amp;"*",Roster!$B$8:$B$20,0),DAY(sales[[#This Row],[date]]),1, 1)</f>
        <v>Margaret</v>
      </c>
      <c r="E383" s="2">
        <f>MONTH(sales[[#This Row],[date]])</f>
        <v>6</v>
      </c>
      <c r="F383" s="233">
        <v>46179</v>
      </c>
      <c r="G383" s="3" t="str">
        <f>VLOOKUP("*"&amp;sales[[#This Row],[Input]]&amp;"*",'Ref-List'!$A:$C,1,0)</f>
        <v>Model-Input-Ref</v>
      </c>
      <c r="H383" s="2" t="str">
        <f>VLOOKUP("*"&amp;G383&amp;"*",'Ref-List'!$A:$C,3,0)</f>
        <v>Product Line</v>
      </c>
      <c r="J383" s="2">
        <v>1</v>
      </c>
      <c r="K383" s="2">
        <v>798</v>
      </c>
      <c r="L383" s="2">
        <f>sales[[#This Row],[quantity]]*sales[[#This Row],[price]]</f>
        <v>798</v>
      </c>
      <c r="M383" s="9">
        <f>sales[[#This Row],[Total Price]]*3%</f>
        <v>23.939999999999998</v>
      </c>
      <c r="N383" s="171">
        <f>sales[[#This Row],[Total Price]]*2.5%</f>
        <v>19.950000000000003</v>
      </c>
      <c r="O383" s="9">
        <f>sales[[#This Row],[Total Price]]*1.5%</f>
        <v>11.969999999999999</v>
      </c>
      <c r="Q383" s="2">
        <v>1</v>
      </c>
      <c r="R383" s="5" t="str">
        <f>_xlfn.CONCAT(sales[[#This Row],[Shop]]," ",sales[[#This Row],[Location]])</f>
        <v>Shatin Fortress</v>
      </c>
    </row>
    <row r="384" spans="1:18" ht="16.5" customHeight="1">
      <c r="A384" s="7">
        <v>382</v>
      </c>
      <c r="B384" s="2" t="s">
        <v>1012</v>
      </c>
      <c r="C384" s="2" t="s">
        <v>975</v>
      </c>
      <c r="D384" s="2" t="str">
        <f ca="1">OFFSET(Roster!$B$7, MATCH(B384&amp;" "&amp;C384&amp;"*",Roster!$B$8:$B$20,0),DAY(sales[[#This Row],[date]]),1, 1)</f>
        <v>Margaret</v>
      </c>
      <c r="E384" s="2">
        <f>MONTH(sales[[#This Row],[date]])</f>
        <v>6</v>
      </c>
      <c r="F384" s="233">
        <v>46179</v>
      </c>
      <c r="G384" s="3" t="str">
        <f>VLOOKUP("*"&amp;sales[[#This Row],[Input]]&amp;"*",'Ref-List'!$A:$C,1,0)</f>
        <v>Model-Input-Ref</v>
      </c>
      <c r="H384" s="2" t="str">
        <f>VLOOKUP("*"&amp;G384&amp;"*",'Ref-List'!$A:$C,3,0)</f>
        <v>Product Line</v>
      </c>
      <c r="J384" s="2">
        <v>1</v>
      </c>
      <c r="K384" s="2">
        <v>598</v>
      </c>
      <c r="L384" s="2">
        <f>sales[[#This Row],[quantity]]*sales[[#This Row],[price]]</f>
        <v>598</v>
      </c>
      <c r="M384" s="9">
        <f>sales[[#This Row],[Total Price]]*3%</f>
        <v>17.939999999999998</v>
      </c>
      <c r="N384" s="171">
        <f>sales[[#This Row],[Total Price]]*2.5%</f>
        <v>14.950000000000001</v>
      </c>
      <c r="O384" s="9">
        <f>sales[[#This Row],[Total Price]]*1.5%</f>
        <v>8.9699999999999989</v>
      </c>
      <c r="Q384" s="2">
        <v>1</v>
      </c>
      <c r="R384" s="5" t="str">
        <f>_xlfn.CONCAT(sales[[#This Row],[Shop]]," ",sales[[#This Row],[Location]])</f>
        <v>Shatin Fortress</v>
      </c>
    </row>
    <row r="385" spans="1:18" ht="16.5" customHeight="1">
      <c r="A385" s="7">
        <v>383</v>
      </c>
      <c r="B385" s="2" t="s">
        <v>1012</v>
      </c>
      <c r="C385" s="2" t="s">
        <v>975</v>
      </c>
      <c r="D385" s="2" t="str">
        <f ca="1">OFFSET(Roster!$B$7, MATCH(B385&amp;" "&amp;C385&amp;"*",Roster!$B$8:$B$20,0),DAY(sales[[#This Row],[date]]),1, 1)</f>
        <v>Margaret</v>
      </c>
      <c r="E385" s="2">
        <f>MONTH(sales[[#This Row],[date]])</f>
        <v>6</v>
      </c>
      <c r="F385" s="233">
        <v>46179</v>
      </c>
      <c r="G385" s="3" t="str">
        <f>VLOOKUP("*"&amp;sales[[#This Row],[Input]]&amp;"*",'Ref-List'!$A:$C,1,0)</f>
        <v>Model-Input-Ref</v>
      </c>
      <c r="H385" s="2" t="str">
        <f>VLOOKUP("*"&amp;G385&amp;"*",'Ref-List'!$A:$C,3,0)</f>
        <v>Product Line</v>
      </c>
      <c r="J385" s="2">
        <v>1</v>
      </c>
      <c r="K385" s="2">
        <v>1899</v>
      </c>
      <c r="L385" s="2">
        <f>sales[[#This Row],[quantity]]*sales[[#This Row],[price]]</f>
        <v>1899</v>
      </c>
      <c r="M385" s="9">
        <f>sales[[#This Row],[Total Price]]*3%</f>
        <v>56.97</v>
      </c>
      <c r="N385" s="171">
        <f>sales[[#This Row],[Total Price]]*2.5%</f>
        <v>47.475000000000001</v>
      </c>
      <c r="O385" s="9">
        <f>sales[[#This Row],[Total Price]]*1.5%</f>
        <v>28.484999999999999</v>
      </c>
      <c r="Q385" s="2">
        <v>1</v>
      </c>
      <c r="R385" s="5" t="str">
        <f>_xlfn.CONCAT(sales[[#This Row],[Shop]]," ",sales[[#This Row],[Location]])</f>
        <v>Shatin Fortress</v>
      </c>
    </row>
    <row r="386" spans="1:18" ht="16.5" customHeight="1">
      <c r="A386" s="7">
        <v>384</v>
      </c>
      <c r="B386" s="2" t="s">
        <v>1012</v>
      </c>
      <c r="C386" s="2" t="s">
        <v>975</v>
      </c>
      <c r="D386" s="2" t="str">
        <f ca="1">OFFSET(Roster!$B$7, MATCH(B386&amp;" "&amp;C386&amp;"*",Roster!$B$8:$B$20,0),DAY(sales[[#This Row],[date]]),1, 1)</f>
        <v>Margaret</v>
      </c>
      <c r="E386" s="2">
        <f>MONTH(sales[[#This Row],[date]])</f>
        <v>6</v>
      </c>
      <c r="F386" s="233">
        <v>46179</v>
      </c>
      <c r="G386" s="3" t="str">
        <f>VLOOKUP("*"&amp;sales[[#This Row],[Input]]&amp;"*",'Ref-List'!$A:$C,1,0)</f>
        <v>Model-Input-Ref</v>
      </c>
      <c r="H386" s="2" t="str">
        <f>VLOOKUP("*"&amp;G386&amp;"*",'Ref-List'!$A:$C,3,0)</f>
        <v>Product Line</v>
      </c>
      <c r="J386" s="2">
        <v>1</v>
      </c>
      <c r="K386" s="2">
        <v>1899</v>
      </c>
      <c r="L386" s="2">
        <f>sales[[#This Row],[quantity]]*sales[[#This Row],[price]]</f>
        <v>1899</v>
      </c>
      <c r="M386" s="9">
        <f>sales[[#This Row],[Total Price]]*3%</f>
        <v>56.97</v>
      </c>
      <c r="N386" s="171">
        <f>sales[[#This Row],[Total Price]]*2.5%</f>
        <v>47.475000000000001</v>
      </c>
      <c r="O386" s="9">
        <f>sales[[#This Row],[Total Price]]*1.5%</f>
        <v>28.484999999999999</v>
      </c>
      <c r="Q386" s="2">
        <v>1</v>
      </c>
      <c r="R386" s="5" t="str">
        <f>_xlfn.CONCAT(sales[[#This Row],[Shop]]," ",sales[[#This Row],[Location]])</f>
        <v>Shatin Fortress</v>
      </c>
    </row>
    <row r="387" spans="1:18" ht="16.5" customHeight="1">
      <c r="A387" s="7">
        <v>385</v>
      </c>
      <c r="B387" s="2" t="s">
        <v>1012</v>
      </c>
      <c r="C387" s="2" t="s">
        <v>975</v>
      </c>
      <c r="D387" s="2" t="str">
        <f ca="1">OFFSET(Roster!$B$7, MATCH(B387&amp;" "&amp;C387&amp;"*",Roster!$B$8:$B$20,0),DAY(sales[[#This Row],[date]]),1, 1)</f>
        <v>Margaret</v>
      </c>
      <c r="E387" s="2">
        <f>MONTH(sales[[#This Row],[date]])</f>
        <v>6</v>
      </c>
      <c r="F387" s="233">
        <v>46180</v>
      </c>
      <c r="G387" s="3" t="str">
        <f>VLOOKUP("*"&amp;sales[[#This Row],[Input]]&amp;"*",'Ref-List'!$A:$C,1,0)</f>
        <v>Model-Input-Ref</v>
      </c>
      <c r="H387" s="2" t="str">
        <f>VLOOKUP("*"&amp;G387&amp;"*",'Ref-List'!$A:$C,3,0)</f>
        <v>Product Line</v>
      </c>
      <c r="J387" s="2">
        <v>1</v>
      </c>
      <c r="K387" s="2">
        <v>598</v>
      </c>
      <c r="L387" s="2">
        <f>sales[[#This Row],[quantity]]*sales[[#This Row],[price]]</f>
        <v>598</v>
      </c>
      <c r="M387" s="9">
        <f>sales[[#This Row],[Total Price]]*3%</f>
        <v>17.939999999999998</v>
      </c>
      <c r="N387" s="171">
        <f>sales[[#This Row],[Total Price]]*2.5%</f>
        <v>14.950000000000001</v>
      </c>
      <c r="O387" s="9">
        <f>sales[[#This Row],[Total Price]]*1.5%</f>
        <v>8.9699999999999989</v>
      </c>
      <c r="Q387" s="2">
        <v>1</v>
      </c>
      <c r="R387" s="5" t="str">
        <f>_xlfn.CONCAT(sales[[#This Row],[Shop]]," ",sales[[#This Row],[Location]])</f>
        <v>Shatin Fortress</v>
      </c>
    </row>
    <row r="388" spans="1:18" ht="16.5" customHeight="1">
      <c r="A388" s="7">
        <v>386</v>
      </c>
      <c r="B388" s="2" t="s">
        <v>1012</v>
      </c>
      <c r="C388" s="2" t="s">
        <v>975</v>
      </c>
      <c r="D388" s="2" t="str">
        <f ca="1">OFFSET(Roster!$B$7, MATCH(B388&amp;" "&amp;C388&amp;"*",Roster!$B$8:$B$20,0),DAY(sales[[#This Row],[date]]),1, 1)</f>
        <v>Margaret</v>
      </c>
      <c r="E388" s="2">
        <f>MONTH(sales[[#This Row],[date]])</f>
        <v>6</v>
      </c>
      <c r="F388" s="233">
        <v>46180</v>
      </c>
      <c r="G388" s="3" t="str">
        <f>VLOOKUP("*"&amp;sales[[#This Row],[Input]]&amp;"*",'Ref-List'!$A:$C,1,0)</f>
        <v>Model-Input-Ref</v>
      </c>
      <c r="H388" s="2" t="str">
        <f>VLOOKUP("*"&amp;G388&amp;"*",'Ref-List'!$A:$C,3,0)</f>
        <v>Product Line</v>
      </c>
      <c r="J388" s="2">
        <v>1</v>
      </c>
      <c r="K388" s="2">
        <v>2250</v>
      </c>
      <c r="L388" s="2">
        <f>sales[[#This Row],[quantity]]*sales[[#This Row],[price]]</f>
        <v>2250</v>
      </c>
      <c r="M388" s="9">
        <f>sales[[#This Row],[Total Price]]*3%</f>
        <v>67.5</v>
      </c>
      <c r="N388" s="171">
        <f>sales[[#This Row],[Total Price]]*2.5%</f>
        <v>56.25</v>
      </c>
      <c r="O388" s="9">
        <f>sales[[#This Row],[Total Price]]*1.5%</f>
        <v>33.75</v>
      </c>
      <c r="Q388" s="2">
        <v>1</v>
      </c>
      <c r="R388" s="5" t="str">
        <f>_xlfn.CONCAT(sales[[#This Row],[Shop]]," ",sales[[#This Row],[Location]])</f>
        <v>Shatin Fortress</v>
      </c>
    </row>
    <row r="389" spans="1:18" ht="16.5" customHeight="1">
      <c r="A389" s="7">
        <v>387</v>
      </c>
      <c r="B389" s="2" t="s">
        <v>1012</v>
      </c>
      <c r="C389" s="2" t="s">
        <v>975</v>
      </c>
      <c r="D389" s="2" t="str">
        <f ca="1">OFFSET(Roster!$B$7, MATCH(B389&amp;" "&amp;C389&amp;"*",Roster!$B$8:$B$20,0),DAY(sales[[#This Row],[date]]),1, 1)</f>
        <v>Margaret</v>
      </c>
      <c r="E389" s="2">
        <f>MONTH(sales[[#This Row],[date]])</f>
        <v>6</v>
      </c>
      <c r="F389" s="233">
        <v>46180</v>
      </c>
      <c r="G389" s="3" t="str">
        <f>VLOOKUP("*"&amp;sales[[#This Row],[Input]]&amp;"*",'Ref-List'!$A:$C,1,0)</f>
        <v>Model-Input-Ref</v>
      </c>
      <c r="H389" s="2" t="str">
        <f>VLOOKUP("*"&amp;G389&amp;"*",'Ref-List'!$A:$C,3,0)</f>
        <v>Product Line</v>
      </c>
      <c r="J389" s="2">
        <v>1</v>
      </c>
      <c r="K389" s="2">
        <v>2250</v>
      </c>
      <c r="L389" s="2">
        <f>sales[[#This Row],[quantity]]*sales[[#This Row],[price]]</f>
        <v>2250</v>
      </c>
      <c r="M389" s="9">
        <f>sales[[#This Row],[Total Price]]*3%</f>
        <v>67.5</v>
      </c>
      <c r="N389" s="171">
        <f>sales[[#This Row],[Total Price]]*2.5%</f>
        <v>56.25</v>
      </c>
      <c r="O389" s="9">
        <f>sales[[#This Row],[Total Price]]*1.5%</f>
        <v>33.75</v>
      </c>
      <c r="Q389" s="2">
        <v>1</v>
      </c>
      <c r="R389" s="5" t="str">
        <f>_xlfn.CONCAT(sales[[#This Row],[Shop]]," ",sales[[#This Row],[Location]])</f>
        <v>Shatin Fortress</v>
      </c>
    </row>
    <row r="390" spans="1:18" ht="16.5" customHeight="1">
      <c r="A390" s="7">
        <v>388</v>
      </c>
      <c r="B390" s="2" t="s">
        <v>1012</v>
      </c>
      <c r="C390" s="2" t="s">
        <v>975</v>
      </c>
      <c r="D390" s="2" t="str">
        <f ca="1">OFFSET(Roster!$B$7, MATCH(B390&amp;" "&amp;C390&amp;"*",Roster!$B$8:$B$20,0),DAY(sales[[#This Row],[date]]),1, 1)</f>
        <v>Margaret</v>
      </c>
      <c r="E390" s="2">
        <f>MONTH(sales[[#This Row],[date]])</f>
        <v>6</v>
      </c>
      <c r="F390" s="233">
        <v>46180</v>
      </c>
      <c r="G390" s="3" t="str">
        <f>VLOOKUP("*"&amp;sales[[#This Row],[Input]]&amp;"*",'Ref-List'!$A:$C,1,0)</f>
        <v>Model-Input-Ref</v>
      </c>
      <c r="H390" s="2" t="str">
        <f>VLOOKUP("*"&amp;G390&amp;"*",'Ref-List'!$A:$C,3,0)</f>
        <v>Product Line</v>
      </c>
      <c r="J390" s="2">
        <v>1</v>
      </c>
      <c r="K390" s="2">
        <v>1188</v>
      </c>
      <c r="L390" s="2">
        <f>sales[[#This Row],[quantity]]*sales[[#This Row],[price]]</f>
        <v>1188</v>
      </c>
      <c r="M390" s="9">
        <f>sales[[#This Row],[Total Price]]*3%</f>
        <v>35.64</v>
      </c>
      <c r="N390" s="171">
        <f>sales[[#This Row],[Total Price]]*2.5%</f>
        <v>29.700000000000003</v>
      </c>
      <c r="O390" s="9">
        <f>sales[[#This Row],[Total Price]]*1.5%</f>
        <v>17.82</v>
      </c>
      <c r="Q390" s="2">
        <v>1</v>
      </c>
      <c r="R390" s="5" t="str">
        <f>_xlfn.CONCAT(sales[[#This Row],[Shop]]," ",sales[[#This Row],[Location]])</f>
        <v>Shatin Fortress</v>
      </c>
    </row>
    <row r="391" spans="1:18" ht="16.5" customHeight="1">
      <c r="A391" s="7">
        <v>389</v>
      </c>
      <c r="B391" s="2" t="s">
        <v>1012</v>
      </c>
      <c r="C391" s="2" t="s">
        <v>975</v>
      </c>
      <c r="D391" s="2" t="str">
        <f ca="1">OFFSET(Roster!$B$7, MATCH(B391&amp;" "&amp;C391&amp;"*",Roster!$B$8:$B$20,0),DAY(sales[[#This Row],[date]]),1, 1)</f>
        <v>Margaret</v>
      </c>
      <c r="E391" s="2">
        <f>MONTH(sales[[#This Row],[date]])</f>
        <v>6</v>
      </c>
      <c r="F391" s="233">
        <v>46180</v>
      </c>
      <c r="G391" s="3" t="str">
        <f>VLOOKUP("*"&amp;sales[[#This Row],[Input]]&amp;"*",'Ref-List'!$A:$C,1,0)</f>
        <v>Model-Input-Ref</v>
      </c>
      <c r="H391" s="2" t="str">
        <f>VLOOKUP("*"&amp;G391&amp;"*",'Ref-List'!$A:$C,3,0)</f>
        <v>Product Line</v>
      </c>
      <c r="J391" s="2">
        <v>1</v>
      </c>
      <c r="K391" s="2">
        <v>2688</v>
      </c>
      <c r="L391" s="2">
        <f>sales[[#This Row],[quantity]]*sales[[#This Row],[price]]</f>
        <v>2688</v>
      </c>
      <c r="M391" s="9">
        <f>sales[[#This Row],[Total Price]]*3%</f>
        <v>80.64</v>
      </c>
      <c r="N391" s="171">
        <f>sales[[#This Row],[Total Price]]*2.5%</f>
        <v>67.2</v>
      </c>
      <c r="O391" s="9">
        <f>sales[[#This Row],[Total Price]]*1.5%</f>
        <v>40.32</v>
      </c>
      <c r="Q391" s="2">
        <v>1</v>
      </c>
      <c r="R391" s="5" t="str">
        <f>_xlfn.CONCAT(sales[[#This Row],[Shop]]," ",sales[[#This Row],[Location]])</f>
        <v>Shatin Fortress</v>
      </c>
    </row>
    <row r="392" spans="1:18" ht="16.5" customHeight="1">
      <c r="A392" s="7">
        <v>390</v>
      </c>
      <c r="B392" s="2" t="s">
        <v>1012</v>
      </c>
      <c r="C392" s="2" t="s">
        <v>975</v>
      </c>
      <c r="D392" s="2" t="str">
        <f ca="1">OFFSET(Roster!$B$7, MATCH(B392&amp;" "&amp;C392&amp;"*",Roster!$B$8:$B$20,0),DAY(sales[[#This Row],[date]]),1, 1)</f>
        <v>Margaret</v>
      </c>
      <c r="E392" s="2">
        <f>MONTH(sales[[#This Row],[date]])</f>
        <v>6</v>
      </c>
      <c r="F392" s="233">
        <v>46180</v>
      </c>
      <c r="G392" s="3" t="str">
        <f>VLOOKUP("*"&amp;sales[[#This Row],[Input]]&amp;"*",'Ref-List'!$A:$C,1,0)</f>
        <v>Model-Input-Ref</v>
      </c>
      <c r="H392" s="2" t="str">
        <f>VLOOKUP("*"&amp;G392&amp;"*",'Ref-List'!$A:$C,3,0)</f>
        <v>Product Line</v>
      </c>
      <c r="J392" s="2">
        <v>1</v>
      </c>
      <c r="K392" s="2">
        <v>848</v>
      </c>
      <c r="L392" s="2">
        <f>sales[[#This Row],[quantity]]*sales[[#This Row],[price]]</f>
        <v>848</v>
      </c>
      <c r="M392" s="9">
        <f>sales[[#This Row],[Total Price]]*3%</f>
        <v>25.439999999999998</v>
      </c>
      <c r="N392" s="171">
        <f>sales[[#This Row],[Total Price]]*2.5%</f>
        <v>21.200000000000003</v>
      </c>
      <c r="O392" s="9">
        <f>sales[[#This Row],[Total Price]]*1.5%</f>
        <v>12.719999999999999</v>
      </c>
      <c r="Q392" s="2">
        <v>1</v>
      </c>
      <c r="R392" s="5" t="str">
        <f>_xlfn.CONCAT(sales[[#This Row],[Shop]]," ",sales[[#This Row],[Location]])</f>
        <v>Shatin Fortress</v>
      </c>
    </row>
    <row r="393" spans="1:18" ht="16.5" customHeight="1">
      <c r="A393" s="7">
        <v>391</v>
      </c>
      <c r="B393" s="2" t="s">
        <v>1012</v>
      </c>
      <c r="C393" s="2" t="s">
        <v>975</v>
      </c>
      <c r="D393" s="2" t="str">
        <f ca="1">OFFSET(Roster!$B$7, MATCH(B393&amp;" "&amp;C393&amp;"*",Roster!$B$8:$B$20,0),DAY(sales[[#This Row],[date]]),1, 1)</f>
        <v>Margaret</v>
      </c>
      <c r="E393" s="2">
        <f>MONTH(sales[[#This Row],[date]])</f>
        <v>6</v>
      </c>
      <c r="F393" s="233">
        <v>46180</v>
      </c>
      <c r="G393" s="3" t="str">
        <f>VLOOKUP("*"&amp;sales[[#This Row],[Input]]&amp;"*",'Ref-List'!$A:$C,1,0)</f>
        <v>Model-Input-Ref</v>
      </c>
      <c r="H393" s="2" t="str">
        <f>VLOOKUP("*"&amp;G393&amp;"*",'Ref-List'!$A:$C,3,0)</f>
        <v>Product Line</v>
      </c>
      <c r="J393" s="2">
        <v>2</v>
      </c>
      <c r="K393" s="2">
        <f>1256/2</f>
        <v>628</v>
      </c>
      <c r="L393" s="2">
        <f>sales[[#This Row],[quantity]]*sales[[#This Row],[price]]</f>
        <v>1256</v>
      </c>
      <c r="M393" s="9">
        <f>sales[[#This Row],[Total Price]]*3%</f>
        <v>37.68</v>
      </c>
      <c r="N393" s="171">
        <f>sales[[#This Row],[Total Price]]*2.5%</f>
        <v>31.400000000000002</v>
      </c>
      <c r="O393" s="9">
        <f>sales[[#This Row],[Total Price]]*1.5%</f>
        <v>18.84</v>
      </c>
      <c r="Q393" s="2">
        <v>2</v>
      </c>
      <c r="R393" s="5" t="str">
        <f>_xlfn.CONCAT(sales[[#This Row],[Shop]]," ",sales[[#This Row],[Location]])</f>
        <v>Shatin Fortress</v>
      </c>
    </row>
    <row r="394" spans="1:18" ht="16.5" customHeight="1">
      <c r="A394" s="7">
        <v>392</v>
      </c>
      <c r="B394" s="2" t="s">
        <v>1012</v>
      </c>
      <c r="C394" s="2" t="s">
        <v>975</v>
      </c>
      <c r="D394" s="2" t="str">
        <f ca="1">OFFSET(Roster!$B$7, MATCH(B394&amp;" "&amp;C394&amp;"*",Roster!$B$8:$B$20,0),DAY(sales[[#This Row],[date]]),1, 1)</f>
        <v>Margaret</v>
      </c>
      <c r="E394" s="2">
        <f>MONTH(sales[[#This Row],[date]])</f>
        <v>6</v>
      </c>
      <c r="F394" s="233">
        <v>46180</v>
      </c>
      <c r="G394" s="3" t="str">
        <f>VLOOKUP("*"&amp;sales[[#This Row],[Input]]&amp;"*",'Ref-List'!$A:$C,1,0)</f>
        <v>Model-Input-Ref</v>
      </c>
      <c r="H394" s="2" t="str">
        <f>VLOOKUP("*"&amp;G394&amp;"*",'Ref-List'!$A:$C,3,0)</f>
        <v>Product Line</v>
      </c>
      <c r="J394" s="2">
        <v>1</v>
      </c>
      <c r="K394" s="2">
        <v>3688</v>
      </c>
      <c r="L394" s="2">
        <f>sales[[#This Row],[quantity]]*sales[[#This Row],[price]]</f>
        <v>3688</v>
      </c>
      <c r="M394" s="9">
        <f>sales[[#This Row],[Total Price]]*3%</f>
        <v>110.64</v>
      </c>
      <c r="N394" s="171">
        <f>sales[[#This Row],[Total Price]]*2.5%</f>
        <v>92.2</v>
      </c>
      <c r="O394" s="9">
        <f>sales[[#This Row],[Total Price]]*1.5%</f>
        <v>55.32</v>
      </c>
      <c r="Q394" s="2">
        <v>2</v>
      </c>
      <c r="R394" s="5" t="str">
        <f>_xlfn.CONCAT(sales[[#This Row],[Shop]]," ",sales[[#This Row],[Location]])</f>
        <v>Shatin Fortress</v>
      </c>
    </row>
    <row r="395" spans="1:18" ht="16.5" customHeight="1">
      <c r="A395" s="7">
        <v>393</v>
      </c>
      <c r="B395" s="2" t="s">
        <v>1012</v>
      </c>
      <c r="C395" s="2" t="s">
        <v>975</v>
      </c>
      <c r="D395" s="2" t="str">
        <f ca="1">OFFSET(Roster!$B$7, MATCH(B395&amp;" "&amp;C395&amp;"*",Roster!$B$8:$B$20,0),DAY(sales[[#This Row],[date]]),1, 1)</f>
        <v>Margaret</v>
      </c>
      <c r="E395" s="2">
        <f>MONTH(sales[[#This Row],[date]])</f>
        <v>6</v>
      </c>
      <c r="F395" s="233">
        <v>46180</v>
      </c>
      <c r="G395" s="3" t="str">
        <f>VLOOKUP("*"&amp;sales[[#This Row],[Input]]&amp;"*",'Ref-List'!$A:$C,1,0)</f>
        <v>Model-Input-Ref</v>
      </c>
      <c r="H395" s="2" t="str">
        <f>VLOOKUP("*"&amp;G395&amp;"*",'Ref-List'!$A:$C,3,0)</f>
        <v>Product Line</v>
      </c>
      <c r="J395" s="2">
        <v>1</v>
      </c>
      <c r="K395" s="2">
        <v>1590</v>
      </c>
      <c r="L395" s="2">
        <f>sales[[#This Row],[quantity]]*sales[[#This Row],[price]]</f>
        <v>1590</v>
      </c>
      <c r="M395" s="9">
        <f>sales[[#This Row],[Total Price]]*3%</f>
        <v>47.699999999999996</v>
      </c>
      <c r="N395" s="171">
        <f>sales[[#This Row],[Total Price]]*2.5%</f>
        <v>39.75</v>
      </c>
      <c r="O395" s="9">
        <f>sales[[#This Row],[Total Price]]*1.5%</f>
        <v>23.849999999999998</v>
      </c>
      <c r="Q395" s="2">
        <v>2</v>
      </c>
      <c r="R395" s="5" t="str">
        <f>_xlfn.CONCAT(sales[[#This Row],[Shop]]," ",sales[[#This Row],[Location]])</f>
        <v>Shatin Fortress</v>
      </c>
    </row>
    <row r="396" spans="1:18" ht="16.5" customHeight="1">
      <c r="A396" s="7">
        <v>394</v>
      </c>
      <c r="B396" s="2" t="s">
        <v>1012</v>
      </c>
      <c r="C396" s="2" t="s">
        <v>975</v>
      </c>
      <c r="D396" s="2" t="str">
        <f ca="1">OFFSET(Roster!$B$7, MATCH(B396&amp;" "&amp;C396&amp;"*",Roster!$B$8:$B$20,0),DAY(sales[[#This Row],[date]]),1, 1)</f>
        <v>Margaret</v>
      </c>
      <c r="E396" s="2">
        <f>MONTH(sales[[#This Row],[date]])</f>
        <v>6</v>
      </c>
      <c r="F396" s="233">
        <v>46180</v>
      </c>
      <c r="G396" s="3" t="str">
        <f>VLOOKUP("*"&amp;sales[[#This Row],[Input]]&amp;"*",'Ref-List'!$A:$C,1,0)</f>
        <v>Model-Input-Ref</v>
      </c>
      <c r="H396" s="2" t="str">
        <f>VLOOKUP("*"&amp;G396&amp;"*",'Ref-List'!$A:$C,3,0)</f>
        <v>Product Line</v>
      </c>
      <c r="J396" s="2">
        <v>1</v>
      </c>
      <c r="K396" s="2">
        <v>1899</v>
      </c>
      <c r="L396" s="2">
        <f>sales[[#This Row],[quantity]]*sales[[#This Row],[price]]</f>
        <v>1899</v>
      </c>
      <c r="M396" s="9">
        <f>sales[[#This Row],[Total Price]]*3%</f>
        <v>56.97</v>
      </c>
      <c r="N396" s="171">
        <f>sales[[#This Row],[Total Price]]*2.5%</f>
        <v>47.475000000000001</v>
      </c>
      <c r="O396" s="9">
        <f>sales[[#This Row],[Total Price]]*1.5%</f>
        <v>28.484999999999999</v>
      </c>
      <c r="Q396" s="2">
        <v>2</v>
      </c>
      <c r="R396" s="5" t="str">
        <f>_xlfn.CONCAT(sales[[#This Row],[Shop]]," ",sales[[#This Row],[Location]])</f>
        <v>Shatin Fortress</v>
      </c>
    </row>
    <row r="397" spans="1:18" ht="16.5" customHeight="1">
      <c r="A397" s="7">
        <v>395</v>
      </c>
      <c r="B397" s="2" t="s">
        <v>1012</v>
      </c>
      <c r="C397" s="2" t="s">
        <v>975</v>
      </c>
      <c r="D397" s="2" t="str">
        <f ca="1">OFFSET(Roster!$B$7, MATCH(B397&amp;" "&amp;C397&amp;"*",Roster!$B$8:$B$20,0),DAY(sales[[#This Row],[date]]),1, 1)</f>
        <v>Margaret</v>
      </c>
      <c r="E397" s="2">
        <f>MONTH(sales[[#This Row],[date]])</f>
        <v>6</v>
      </c>
      <c r="F397" s="233">
        <v>46185</v>
      </c>
      <c r="G397" s="3" t="str">
        <f>VLOOKUP("*"&amp;sales[[#This Row],[Input]]&amp;"*",'Ref-List'!$A:$C,1,0)</f>
        <v>Model-Input-Ref</v>
      </c>
      <c r="H397" s="2" t="str">
        <f>VLOOKUP("*"&amp;G397&amp;"*",'Ref-List'!$A:$C,3,0)</f>
        <v>Product Line</v>
      </c>
      <c r="J397" s="2">
        <v>1</v>
      </c>
      <c r="K397" s="2">
        <v>598</v>
      </c>
      <c r="L397" s="2">
        <f>sales[[#This Row],[quantity]]*sales[[#This Row],[price]]</f>
        <v>598</v>
      </c>
      <c r="M397" s="9">
        <f>sales[[#This Row],[Total Price]]*3%</f>
        <v>17.939999999999998</v>
      </c>
      <c r="N397" s="171">
        <f>sales[[#This Row],[Total Price]]*2.5%</f>
        <v>14.950000000000001</v>
      </c>
      <c r="O397" s="9">
        <f>sales[[#This Row],[Total Price]]*1.5%</f>
        <v>8.9699999999999989</v>
      </c>
      <c r="Q397" s="2">
        <v>2</v>
      </c>
      <c r="R397" s="5" t="str">
        <f>_xlfn.CONCAT(sales[[#This Row],[Shop]]," ",sales[[#This Row],[Location]])</f>
        <v>Shatin Fortress</v>
      </c>
    </row>
    <row r="398" spans="1:18" ht="16.5" customHeight="1">
      <c r="A398" s="7">
        <v>396</v>
      </c>
      <c r="B398" s="2" t="s">
        <v>1012</v>
      </c>
      <c r="C398" s="2" t="s">
        <v>975</v>
      </c>
      <c r="D398" s="2" t="str">
        <f ca="1">OFFSET(Roster!$B$7, MATCH(B398&amp;" "&amp;C398&amp;"*",Roster!$B$8:$B$20,0),DAY(sales[[#This Row],[date]]),1, 1)</f>
        <v>Margaret</v>
      </c>
      <c r="E398" s="2">
        <f>MONTH(sales[[#This Row],[date]])</f>
        <v>6</v>
      </c>
      <c r="F398" s="233">
        <v>46185</v>
      </c>
      <c r="G398" s="3" t="str">
        <f>VLOOKUP("*"&amp;sales[[#This Row],[Input]]&amp;"*",'Ref-List'!$A:$C,1,0)</f>
        <v>Model-Input-Ref</v>
      </c>
      <c r="H398" s="2" t="str">
        <f>VLOOKUP("*"&amp;G398&amp;"*",'Ref-List'!$A:$C,3,0)</f>
        <v>Product Line</v>
      </c>
      <c r="J398" s="2">
        <v>1</v>
      </c>
      <c r="K398" s="2">
        <v>868</v>
      </c>
      <c r="L398" s="2">
        <f>sales[[#This Row],[quantity]]*sales[[#This Row],[price]]</f>
        <v>868</v>
      </c>
      <c r="M398" s="9">
        <f>sales[[#This Row],[Total Price]]*3%</f>
        <v>26.04</v>
      </c>
      <c r="N398" s="171">
        <f>sales[[#This Row],[Total Price]]*2.5%</f>
        <v>21.700000000000003</v>
      </c>
      <c r="O398" s="9">
        <f>sales[[#This Row],[Total Price]]*1.5%</f>
        <v>13.02</v>
      </c>
      <c r="Q398" s="2">
        <v>2</v>
      </c>
      <c r="R398" s="5" t="str">
        <f>_xlfn.CONCAT(sales[[#This Row],[Shop]]," ",sales[[#This Row],[Location]])</f>
        <v>Shatin Fortress</v>
      </c>
    </row>
    <row r="399" spans="1:18" ht="16.5" customHeight="1">
      <c r="A399" s="7">
        <v>397</v>
      </c>
      <c r="B399" s="2" t="s">
        <v>1012</v>
      </c>
      <c r="C399" s="2" t="s">
        <v>975</v>
      </c>
      <c r="D399" s="2" t="str">
        <f ca="1">OFFSET(Roster!$B$7, MATCH(B399&amp;" "&amp;C399&amp;"*",Roster!$B$8:$B$20,0),DAY(sales[[#This Row],[date]]),1, 1)</f>
        <v>Margaret</v>
      </c>
      <c r="E399" s="2">
        <f>MONTH(sales[[#This Row],[date]])</f>
        <v>6</v>
      </c>
      <c r="F399" s="233">
        <v>46185</v>
      </c>
      <c r="G399" s="3" t="str">
        <f>VLOOKUP("*"&amp;sales[[#This Row],[Input]]&amp;"*",'Ref-List'!$A:$C,1,0)</f>
        <v>Model-Input-Ref</v>
      </c>
      <c r="H399" s="2" t="str">
        <f>VLOOKUP("*"&amp;G399&amp;"*",'Ref-List'!$A:$C,3,0)</f>
        <v>Product Line</v>
      </c>
      <c r="J399" s="2">
        <v>1</v>
      </c>
      <c r="K399" s="2">
        <v>598</v>
      </c>
      <c r="L399" s="2">
        <f>sales[[#This Row],[quantity]]*sales[[#This Row],[price]]</f>
        <v>598</v>
      </c>
      <c r="M399" s="9">
        <f>sales[[#This Row],[Total Price]]*3%</f>
        <v>17.939999999999998</v>
      </c>
      <c r="N399" s="171">
        <f>sales[[#This Row],[Total Price]]*2.5%</f>
        <v>14.950000000000001</v>
      </c>
      <c r="O399" s="9">
        <f>sales[[#This Row],[Total Price]]*1.5%</f>
        <v>8.9699999999999989</v>
      </c>
      <c r="Q399" s="2">
        <v>2</v>
      </c>
      <c r="R399" s="5" t="str">
        <f>_xlfn.CONCAT(sales[[#This Row],[Shop]]," ",sales[[#This Row],[Location]])</f>
        <v>Shatin Fortress</v>
      </c>
    </row>
    <row r="400" spans="1:18" ht="16.5" customHeight="1">
      <c r="A400" s="7">
        <v>398</v>
      </c>
      <c r="B400" s="2" t="s">
        <v>1012</v>
      </c>
      <c r="C400" s="2" t="s">
        <v>975</v>
      </c>
      <c r="D400" s="2" t="str">
        <f ca="1">OFFSET(Roster!$B$7, MATCH(B400&amp;" "&amp;C400&amp;"*",Roster!$B$8:$B$20,0),DAY(sales[[#This Row],[date]]),1, 1)</f>
        <v>Margaret</v>
      </c>
      <c r="E400" s="2">
        <f>MONTH(sales[[#This Row],[date]])</f>
        <v>6</v>
      </c>
      <c r="F400" s="233">
        <v>46185</v>
      </c>
      <c r="G400" s="3" t="str">
        <f>VLOOKUP("*"&amp;sales[[#This Row],[Input]]&amp;"*",'Ref-List'!$A:$C,1,0)</f>
        <v>Model-Input-Ref</v>
      </c>
      <c r="H400" s="2" t="str">
        <f>VLOOKUP("*"&amp;G400&amp;"*",'Ref-List'!$A:$C,3,0)</f>
        <v>Product Line</v>
      </c>
      <c r="J400" s="2">
        <v>1</v>
      </c>
      <c r="K400" s="2">
        <v>5388</v>
      </c>
      <c r="L400" s="2">
        <f>sales[[#This Row],[quantity]]*sales[[#This Row],[price]]</f>
        <v>5388</v>
      </c>
      <c r="M400" s="9">
        <f>sales[[#This Row],[Total Price]]*3%</f>
        <v>161.63999999999999</v>
      </c>
      <c r="N400" s="171">
        <f>sales[[#This Row],[Total Price]]*2.5%</f>
        <v>134.70000000000002</v>
      </c>
      <c r="O400" s="9">
        <f>sales[[#This Row],[Total Price]]*1.5%</f>
        <v>80.819999999999993</v>
      </c>
      <c r="Q400" s="2">
        <v>2</v>
      </c>
      <c r="R400" s="5" t="str">
        <f>_xlfn.CONCAT(sales[[#This Row],[Shop]]," ",sales[[#This Row],[Location]])</f>
        <v>Shatin Fortress</v>
      </c>
    </row>
    <row r="401" spans="1:18" ht="16.5" customHeight="1">
      <c r="A401" s="7">
        <v>399</v>
      </c>
      <c r="B401" s="2" t="s">
        <v>1012</v>
      </c>
      <c r="C401" s="2" t="s">
        <v>975</v>
      </c>
      <c r="D401" s="2" t="str">
        <f ca="1">OFFSET(Roster!$B$7, MATCH(B401&amp;" "&amp;C401&amp;"*",Roster!$B$8:$B$20,0),DAY(sales[[#This Row],[date]]),1, 1)</f>
        <v>Margaret</v>
      </c>
      <c r="E401" s="2">
        <f>MONTH(sales[[#This Row],[date]])</f>
        <v>6</v>
      </c>
      <c r="F401" s="233">
        <v>46185</v>
      </c>
      <c r="G401" s="3" t="str">
        <f>VLOOKUP("*"&amp;sales[[#This Row],[Input]]&amp;"*",'Ref-List'!$A:$C,1,0)</f>
        <v>Model-Input-Ref</v>
      </c>
      <c r="H401" s="2" t="str">
        <f>VLOOKUP("*"&amp;G401&amp;"*",'Ref-List'!$A:$C,3,0)</f>
        <v>Product Line</v>
      </c>
      <c r="J401" s="2">
        <v>1</v>
      </c>
      <c r="K401" s="2">
        <v>1899</v>
      </c>
      <c r="L401" s="2">
        <f>sales[[#This Row],[quantity]]*sales[[#This Row],[price]]</f>
        <v>1899</v>
      </c>
      <c r="M401" s="9">
        <f>sales[[#This Row],[Total Price]]*3%</f>
        <v>56.97</v>
      </c>
      <c r="N401" s="171">
        <f>sales[[#This Row],[Total Price]]*2.5%</f>
        <v>47.475000000000001</v>
      </c>
      <c r="O401" s="9">
        <f>sales[[#This Row],[Total Price]]*1.5%</f>
        <v>28.484999999999999</v>
      </c>
      <c r="Q401" s="2">
        <v>2</v>
      </c>
      <c r="R401" s="5" t="str">
        <f>_xlfn.CONCAT(sales[[#This Row],[Shop]]," ",sales[[#This Row],[Location]])</f>
        <v>Shatin Fortress</v>
      </c>
    </row>
    <row r="402" spans="1:18" ht="16.5" customHeight="1">
      <c r="A402" s="7">
        <v>400</v>
      </c>
      <c r="B402" s="2" t="s">
        <v>1012</v>
      </c>
      <c r="C402" s="2" t="s">
        <v>975</v>
      </c>
      <c r="D402" s="2" t="str">
        <f ca="1">OFFSET(Roster!$B$7, MATCH(B402&amp;" "&amp;C402&amp;"*",Roster!$B$8:$B$20,0),DAY(sales[[#This Row],[date]]),1, 1)</f>
        <v>Margaret</v>
      </c>
      <c r="E402" s="2">
        <f>MONTH(sales[[#This Row],[date]])</f>
        <v>6</v>
      </c>
      <c r="F402" s="233">
        <v>46185</v>
      </c>
      <c r="G402" s="3" t="str">
        <f>VLOOKUP("*"&amp;sales[[#This Row],[Input]]&amp;"*",'Ref-List'!$A:$C,1,0)</f>
        <v>Model-Input-Ref</v>
      </c>
      <c r="H402" s="2" t="str">
        <f>VLOOKUP("*"&amp;G402&amp;"*",'Ref-List'!$A:$C,3,0)</f>
        <v>Product Line</v>
      </c>
      <c r="J402" s="2">
        <v>1</v>
      </c>
      <c r="K402" s="2">
        <v>1899</v>
      </c>
      <c r="L402" s="2">
        <f>sales[[#This Row],[quantity]]*sales[[#This Row],[price]]</f>
        <v>1899</v>
      </c>
      <c r="M402" s="9">
        <f>sales[[#This Row],[Total Price]]*3%</f>
        <v>56.97</v>
      </c>
      <c r="N402" s="171">
        <f>sales[[#This Row],[Total Price]]*2.5%</f>
        <v>47.475000000000001</v>
      </c>
      <c r="O402" s="9">
        <f>sales[[#This Row],[Total Price]]*1.5%</f>
        <v>28.484999999999999</v>
      </c>
      <c r="Q402" s="2">
        <v>2</v>
      </c>
      <c r="R402" s="5" t="str">
        <f>_xlfn.CONCAT(sales[[#This Row],[Shop]]," ",sales[[#This Row],[Location]])</f>
        <v>Shatin Fortress</v>
      </c>
    </row>
    <row r="403" spans="1:18" ht="16.5" customHeight="1">
      <c r="A403" s="7">
        <v>401</v>
      </c>
      <c r="B403" s="2" t="s">
        <v>1012</v>
      </c>
      <c r="C403" s="2" t="s">
        <v>975</v>
      </c>
      <c r="D403" s="2" t="str">
        <f ca="1">OFFSET(Roster!$B$7, MATCH(B403&amp;" "&amp;C403&amp;"*",Roster!$B$8:$B$20,0),DAY(sales[[#This Row],[date]]),1, 1)</f>
        <v>Margaret</v>
      </c>
      <c r="E403" s="2">
        <f>MONTH(sales[[#This Row],[date]])</f>
        <v>6</v>
      </c>
      <c r="F403" s="233">
        <v>46186</v>
      </c>
      <c r="G403" s="3" t="str">
        <f>VLOOKUP("*"&amp;sales[[#This Row],[Input]]&amp;"*",'Ref-List'!$A:$C,1,0)</f>
        <v>Model-Input-Ref</v>
      </c>
      <c r="H403" s="2" t="str">
        <f>VLOOKUP("*"&amp;G403&amp;"*",'Ref-List'!$A:$C,3,0)</f>
        <v>Product Line</v>
      </c>
      <c r="J403" s="2">
        <v>1</v>
      </c>
      <c r="K403" s="2">
        <v>848</v>
      </c>
      <c r="L403" s="2">
        <f>sales[[#This Row],[quantity]]*sales[[#This Row],[price]]</f>
        <v>848</v>
      </c>
      <c r="M403" s="9">
        <f>sales[[#This Row],[Total Price]]*3%</f>
        <v>25.439999999999998</v>
      </c>
      <c r="N403" s="171">
        <f>sales[[#This Row],[Total Price]]*2.5%</f>
        <v>21.200000000000003</v>
      </c>
      <c r="O403" s="9">
        <f>sales[[#This Row],[Total Price]]*1.5%</f>
        <v>12.719999999999999</v>
      </c>
      <c r="Q403" s="2">
        <v>2</v>
      </c>
      <c r="R403" s="5" t="str">
        <f>_xlfn.CONCAT(sales[[#This Row],[Shop]]," ",sales[[#This Row],[Location]])</f>
        <v>Shatin Fortress</v>
      </c>
    </row>
    <row r="404" spans="1:18" ht="16.5" customHeight="1">
      <c r="A404" s="7">
        <v>402</v>
      </c>
      <c r="B404" s="2" t="s">
        <v>1012</v>
      </c>
      <c r="C404" s="2" t="s">
        <v>975</v>
      </c>
      <c r="D404" s="2" t="str">
        <f ca="1">OFFSET(Roster!$B$7, MATCH(B404&amp;" "&amp;C404&amp;"*",Roster!$B$8:$B$20,0),DAY(sales[[#This Row],[date]]),1, 1)</f>
        <v>Margaret</v>
      </c>
      <c r="E404" s="2">
        <f>MONTH(sales[[#This Row],[date]])</f>
        <v>6</v>
      </c>
      <c r="F404" s="233">
        <v>46186</v>
      </c>
      <c r="G404" s="3" t="str">
        <f>VLOOKUP("*"&amp;sales[[#This Row],[Input]]&amp;"*",'Ref-List'!$A:$C,1,0)</f>
        <v>Model-Input-Ref</v>
      </c>
      <c r="H404" s="2" t="str">
        <f>VLOOKUP("*"&amp;G404&amp;"*",'Ref-List'!$A:$C,3,0)</f>
        <v>Product Line</v>
      </c>
      <c r="J404" s="2">
        <v>1</v>
      </c>
      <c r="K404" s="2">
        <v>868</v>
      </c>
      <c r="L404" s="2">
        <f>sales[[#This Row],[quantity]]*sales[[#This Row],[price]]</f>
        <v>868</v>
      </c>
      <c r="M404" s="9">
        <f>sales[[#This Row],[Total Price]]*3%</f>
        <v>26.04</v>
      </c>
      <c r="N404" s="171">
        <f>sales[[#This Row],[Total Price]]*2.5%</f>
        <v>21.700000000000003</v>
      </c>
      <c r="O404" s="9">
        <f>sales[[#This Row],[Total Price]]*1.5%</f>
        <v>13.02</v>
      </c>
      <c r="Q404" s="2">
        <v>2</v>
      </c>
      <c r="R404" s="5" t="str">
        <f>_xlfn.CONCAT(sales[[#This Row],[Shop]]," ",sales[[#This Row],[Location]])</f>
        <v>Shatin Fortress</v>
      </c>
    </row>
    <row r="405" spans="1:18" ht="16.5" customHeight="1">
      <c r="A405" s="7">
        <v>403</v>
      </c>
      <c r="B405" s="2" t="s">
        <v>1012</v>
      </c>
      <c r="C405" s="2" t="s">
        <v>975</v>
      </c>
      <c r="D405" s="2" t="str">
        <f ca="1">OFFSET(Roster!$B$7, MATCH(B405&amp;" "&amp;C405&amp;"*",Roster!$B$8:$B$20,0),DAY(sales[[#This Row],[date]]),1, 1)</f>
        <v>Margaret</v>
      </c>
      <c r="E405" s="2">
        <f>MONTH(sales[[#This Row],[date]])</f>
        <v>6</v>
      </c>
      <c r="F405" s="233">
        <v>46186</v>
      </c>
      <c r="G405" s="3" t="str">
        <f>VLOOKUP("*"&amp;sales[[#This Row],[Input]]&amp;"*",'Ref-List'!$A:$C,1,0)</f>
        <v>Model-Input-Ref</v>
      </c>
      <c r="H405" s="2" t="str">
        <f>VLOOKUP("*"&amp;G405&amp;"*",'Ref-List'!$A:$C,3,0)</f>
        <v>Product Line</v>
      </c>
      <c r="J405" s="2">
        <v>1</v>
      </c>
      <c r="K405" s="2">
        <v>1899</v>
      </c>
      <c r="L405" s="2">
        <f>sales[[#This Row],[quantity]]*sales[[#This Row],[price]]</f>
        <v>1899</v>
      </c>
      <c r="M405" s="9">
        <f>sales[[#This Row],[Total Price]]*3%</f>
        <v>56.97</v>
      </c>
      <c r="N405" s="171">
        <f>sales[[#This Row],[Total Price]]*2.5%</f>
        <v>47.475000000000001</v>
      </c>
      <c r="O405" s="9">
        <f>sales[[#This Row],[Total Price]]*1.5%</f>
        <v>28.484999999999999</v>
      </c>
      <c r="Q405" s="2">
        <v>2</v>
      </c>
      <c r="R405" s="5" t="str">
        <f>_xlfn.CONCAT(sales[[#This Row],[Shop]]," ",sales[[#This Row],[Location]])</f>
        <v>Shatin Fortress</v>
      </c>
    </row>
    <row r="406" spans="1:18" ht="16.5" customHeight="1">
      <c r="A406" s="7">
        <v>404</v>
      </c>
      <c r="B406" s="2" t="s">
        <v>1012</v>
      </c>
      <c r="C406" s="2" t="s">
        <v>975</v>
      </c>
      <c r="D406" s="2" t="str">
        <f ca="1">OFFSET(Roster!$B$7, MATCH(B406&amp;" "&amp;C406&amp;"*",Roster!$B$8:$B$20,0),DAY(sales[[#This Row],[date]]),1, 1)</f>
        <v>Margaret</v>
      </c>
      <c r="E406" s="2">
        <f>MONTH(sales[[#This Row],[date]])</f>
        <v>6</v>
      </c>
      <c r="F406" s="233">
        <v>46186</v>
      </c>
      <c r="G406" s="3" t="str">
        <f>VLOOKUP("*"&amp;sales[[#This Row],[Input]]&amp;"*",'Ref-List'!$A:$C,1,0)</f>
        <v>Model-Input-Ref</v>
      </c>
      <c r="H406" s="2" t="str">
        <f>VLOOKUP("*"&amp;G406&amp;"*",'Ref-List'!$A:$C,3,0)</f>
        <v>Product Line</v>
      </c>
      <c r="J406" s="2">
        <v>1</v>
      </c>
      <c r="K406" s="2">
        <v>598</v>
      </c>
      <c r="L406" s="2">
        <f>sales[[#This Row],[quantity]]*sales[[#This Row],[price]]</f>
        <v>598</v>
      </c>
      <c r="M406" s="9">
        <f>sales[[#This Row],[Total Price]]*3%</f>
        <v>17.939999999999998</v>
      </c>
      <c r="N406" s="171">
        <f>sales[[#This Row],[Total Price]]*2.5%</f>
        <v>14.950000000000001</v>
      </c>
      <c r="O406" s="9">
        <f>sales[[#This Row],[Total Price]]*1.5%</f>
        <v>8.9699999999999989</v>
      </c>
      <c r="Q406" s="2">
        <v>2</v>
      </c>
      <c r="R406" s="5" t="str">
        <f>_xlfn.CONCAT(sales[[#This Row],[Shop]]," ",sales[[#This Row],[Location]])</f>
        <v>Shatin Fortress</v>
      </c>
    </row>
    <row r="407" spans="1:18" ht="16.5" customHeight="1">
      <c r="A407" s="7">
        <v>405</v>
      </c>
      <c r="B407" s="2" t="s">
        <v>1012</v>
      </c>
      <c r="C407" s="2" t="s">
        <v>975</v>
      </c>
      <c r="D407" s="2" t="str">
        <f ca="1">OFFSET(Roster!$B$7, MATCH(B407&amp;" "&amp;C407&amp;"*",Roster!$B$8:$B$20,0),DAY(sales[[#This Row],[date]]),1, 1)</f>
        <v>Margaret</v>
      </c>
      <c r="E407" s="2">
        <f>MONTH(sales[[#This Row],[date]])</f>
        <v>6</v>
      </c>
      <c r="F407" s="233">
        <v>46186</v>
      </c>
      <c r="G407" s="3" t="str">
        <f>VLOOKUP("*"&amp;sales[[#This Row],[Input]]&amp;"*",'Ref-List'!$A:$C,1,0)</f>
        <v>Model-Input-Ref</v>
      </c>
      <c r="H407" s="2" t="str">
        <f>VLOOKUP("*"&amp;G407&amp;"*",'Ref-List'!$A:$C,3,0)</f>
        <v>Product Line</v>
      </c>
      <c r="J407" s="2">
        <v>1</v>
      </c>
      <c r="K407" s="2">
        <v>598</v>
      </c>
      <c r="L407" s="2">
        <f>sales[[#This Row],[quantity]]*sales[[#This Row],[price]]</f>
        <v>598</v>
      </c>
      <c r="M407" s="9">
        <f>sales[[#This Row],[Total Price]]*3%</f>
        <v>17.939999999999998</v>
      </c>
      <c r="N407" s="171">
        <f>sales[[#This Row],[Total Price]]*2.5%</f>
        <v>14.950000000000001</v>
      </c>
      <c r="O407" s="9">
        <f>sales[[#This Row],[Total Price]]*1.5%</f>
        <v>8.9699999999999989</v>
      </c>
      <c r="Q407" s="2">
        <v>2</v>
      </c>
      <c r="R407" s="5" t="str">
        <f>_xlfn.CONCAT(sales[[#This Row],[Shop]]," ",sales[[#This Row],[Location]])</f>
        <v>Shatin Fortress</v>
      </c>
    </row>
    <row r="408" spans="1:18" ht="16.5" customHeight="1">
      <c r="A408" s="7">
        <v>406</v>
      </c>
      <c r="B408" s="2" t="s">
        <v>1012</v>
      </c>
      <c r="C408" s="2" t="s">
        <v>975</v>
      </c>
      <c r="D408" s="2" t="str">
        <f ca="1">OFFSET(Roster!$B$7, MATCH(B408&amp;" "&amp;C408&amp;"*",Roster!$B$8:$B$20,0),DAY(sales[[#This Row],[date]]),1, 1)</f>
        <v>Margaret</v>
      </c>
      <c r="E408" s="2">
        <f>MONTH(sales[[#This Row],[date]])</f>
        <v>6</v>
      </c>
      <c r="F408" s="233">
        <v>46186</v>
      </c>
      <c r="G408" s="3" t="str">
        <f>VLOOKUP("*"&amp;sales[[#This Row],[Input]]&amp;"*",'Ref-List'!$A:$C,1,0)</f>
        <v>Model-Input-Ref</v>
      </c>
      <c r="H408" s="2" t="str">
        <f>VLOOKUP("*"&amp;G408&amp;"*",'Ref-List'!$A:$C,3,0)</f>
        <v>Product Line</v>
      </c>
      <c r="J408" s="2">
        <v>1</v>
      </c>
      <c r="K408" s="2">
        <v>598</v>
      </c>
      <c r="L408" s="2">
        <f>sales[[#This Row],[quantity]]*sales[[#This Row],[price]]</f>
        <v>598</v>
      </c>
      <c r="M408" s="9">
        <f>sales[[#This Row],[Total Price]]*3%</f>
        <v>17.939999999999998</v>
      </c>
      <c r="N408" s="171">
        <f>sales[[#This Row],[Total Price]]*2.5%</f>
        <v>14.950000000000001</v>
      </c>
      <c r="O408" s="9">
        <f>sales[[#This Row],[Total Price]]*1.5%</f>
        <v>8.9699999999999989</v>
      </c>
      <c r="Q408" s="2">
        <v>2</v>
      </c>
      <c r="R408" s="5" t="str">
        <f>_xlfn.CONCAT(sales[[#This Row],[Shop]]," ",sales[[#This Row],[Location]])</f>
        <v>Shatin Fortress</v>
      </c>
    </row>
    <row r="409" spans="1:18" ht="16.5" customHeight="1">
      <c r="A409" s="7">
        <v>407</v>
      </c>
      <c r="B409" s="2" t="s">
        <v>1012</v>
      </c>
      <c r="C409" s="2" t="s">
        <v>975</v>
      </c>
      <c r="D409" s="2" t="str">
        <f ca="1">OFFSET(Roster!$B$7, MATCH(B409&amp;" "&amp;C409&amp;"*",Roster!$B$8:$B$20,0),DAY(sales[[#This Row],[date]]),1, 1)</f>
        <v>Margaret</v>
      </c>
      <c r="E409" s="2">
        <f>MONTH(sales[[#This Row],[date]])</f>
        <v>6</v>
      </c>
      <c r="F409" s="233">
        <v>46186</v>
      </c>
      <c r="G409" s="3" t="str">
        <f>VLOOKUP("*"&amp;sales[[#This Row],[Input]]&amp;"*",'Ref-List'!$A:$C,1,0)</f>
        <v>Model-Input-Ref</v>
      </c>
      <c r="H409" s="2" t="str">
        <f>VLOOKUP("*"&amp;G409&amp;"*",'Ref-List'!$A:$C,3,0)</f>
        <v>Product Line</v>
      </c>
      <c r="J409" s="2">
        <v>1</v>
      </c>
      <c r="K409" s="2">
        <v>868</v>
      </c>
      <c r="L409" s="2">
        <f>sales[[#This Row],[quantity]]*sales[[#This Row],[price]]</f>
        <v>868</v>
      </c>
      <c r="M409" s="9">
        <f>sales[[#This Row],[Total Price]]*3%</f>
        <v>26.04</v>
      </c>
      <c r="N409" s="171">
        <f>sales[[#This Row],[Total Price]]*2.5%</f>
        <v>21.700000000000003</v>
      </c>
      <c r="O409" s="9">
        <f>sales[[#This Row],[Total Price]]*1.5%</f>
        <v>13.02</v>
      </c>
      <c r="Q409" s="2">
        <v>2</v>
      </c>
      <c r="R409" s="5" t="str">
        <f>_xlfn.CONCAT(sales[[#This Row],[Shop]]," ",sales[[#This Row],[Location]])</f>
        <v>Shatin Fortress</v>
      </c>
    </row>
    <row r="410" spans="1:18" ht="16.5" customHeight="1">
      <c r="A410" s="7">
        <v>408</v>
      </c>
      <c r="B410" s="2" t="s">
        <v>1012</v>
      </c>
      <c r="C410" s="2" t="s">
        <v>975</v>
      </c>
      <c r="D410" s="2" t="str">
        <f ca="1">OFFSET(Roster!$B$7, MATCH(B410&amp;" "&amp;C410&amp;"*",Roster!$B$8:$B$20,0),DAY(sales[[#This Row],[date]]),1, 1)</f>
        <v>Margaret</v>
      </c>
      <c r="E410" s="2">
        <f>MONTH(sales[[#This Row],[date]])</f>
        <v>6</v>
      </c>
      <c r="F410" s="233">
        <v>46186</v>
      </c>
      <c r="G410" s="3" t="str">
        <f>VLOOKUP("*"&amp;sales[[#This Row],[Input]]&amp;"*",'Ref-List'!$A:$C,1,0)</f>
        <v>Model-Input-Ref</v>
      </c>
      <c r="H410" s="2" t="str">
        <f>VLOOKUP("*"&amp;G410&amp;"*",'Ref-List'!$A:$C,3,0)</f>
        <v>Product Line</v>
      </c>
      <c r="J410" s="2">
        <v>1</v>
      </c>
      <c r="K410" s="2">
        <v>598</v>
      </c>
      <c r="L410" s="2">
        <f>sales[[#This Row],[quantity]]*sales[[#This Row],[price]]</f>
        <v>598</v>
      </c>
      <c r="M410" s="9">
        <f>sales[[#This Row],[Total Price]]*3%</f>
        <v>17.939999999999998</v>
      </c>
      <c r="N410" s="171">
        <f>sales[[#This Row],[Total Price]]*2.5%</f>
        <v>14.950000000000001</v>
      </c>
      <c r="O410" s="9">
        <f>sales[[#This Row],[Total Price]]*1.5%</f>
        <v>8.9699999999999989</v>
      </c>
      <c r="Q410" s="2">
        <v>2</v>
      </c>
      <c r="R410" s="5" t="str">
        <f>_xlfn.CONCAT(sales[[#This Row],[Shop]]," ",sales[[#This Row],[Location]])</f>
        <v>Shatin Fortress</v>
      </c>
    </row>
    <row r="411" spans="1:18" ht="16.5" customHeight="1">
      <c r="A411" s="7">
        <v>409</v>
      </c>
      <c r="B411" s="2" t="s">
        <v>1012</v>
      </c>
      <c r="C411" s="2" t="s">
        <v>975</v>
      </c>
      <c r="D411" s="2" t="str">
        <f ca="1">OFFSET(Roster!$B$7, MATCH(B411&amp;" "&amp;C411&amp;"*",Roster!$B$8:$B$20,0),DAY(sales[[#This Row],[date]]),1, 1)</f>
        <v>Margaret</v>
      </c>
      <c r="E411" s="2">
        <f>MONTH(sales[[#This Row],[date]])</f>
        <v>6</v>
      </c>
      <c r="F411" s="233">
        <v>46186</v>
      </c>
      <c r="G411" s="3" t="str">
        <f>VLOOKUP("*"&amp;sales[[#This Row],[Input]]&amp;"*",'Ref-List'!$A:$C,1,0)</f>
        <v>Model-Input-Ref</v>
      </c>
      <c r="H411" s="2" t="str">
        <f>VLOOKUP("*"&amp;G411&amp;"*",'Ref-List'!$A:$C,3,0)</f>
        <v>Product Line</v>
      </c>
      <c r="J411" s="2">
        <v>1</v>
      </c>
      <c r="K411" s="2">
        <v>2998</v>
      </c>
      <c r="L411" s="2">
        <f>sales[[#This Row],[quantity]]*sales[[#This Row],[price]]</f>
        <v>2998</v>
      </c>
      <c r="M411" s="9">
        <f>sales[[#This Row],[Total Price]]*3%</f>
        <v>89.94</v>
      </c>
      <c r="N411" s="171">
        <f>sales[[#This Row],[Total Price]]*2.5%</f>
        <v>74.95</v>
      </c>
      <c r="O411" s="9">
        <f>sales[[#This Row],[Total Price]]*1.5%</f>
        <v>44.97</v>
      </c>
      <c r="Q411" s="2">
        <v>2</v>
      </c>
      <c r="R411" s="5" t="str">
        <f>_xlfn.CONCAT(sales[[#This Row],[Shop]]," ",sales[[#This Row],[Location]])</f>
        <v>Shatin Fortress</v>
      </c>
    </row>
    <row r="412" spans="1:18" ht="16.5" customHeight="1">
      <c r="A412" s="7">
        <v>410</v>
      </c>
      <c r="B412" s="2" t="s">
        <v>1012</v>
      </c>
      <c r="C412" s="2" t="s">
        <v>975</v>
      </c>
      <c r="D412" s="2" t="str">
        <f ca="1">OFFSET(Roster!$B$7, MATCH(B412&amp;" "&amp;C412&amp;"*",Roster!$B$8:$B$20,0),DAY(sales[[#This Row],[date]]),1, 1)</f>
        <v>Margaret</v>
      </c>
      <c r="E412" s="2">
        <f>MONTH(sales[[#This Row],[date]])</f>
        <v>6</v>
      </c>
      <c r="F412" s="233">
        <v>46186</v>
      </c>
      <c r="G412" s="3" t="str">
        <f>VLOOKUP("*"&amp;sales[[#This Row],[Input]]&amp;"*",'Ref-List'!$A:$C,1,0)</f>
        <v>Model-Input-Ref</v>
      </c>
      <c r="H412" s="2" t="str">
        <f>VLOOKUP("*"&amp;G412&amp;"*",'Ref-List'!$A:$C,3,0)</f>
        <v>Product Line</v>
      </c>
      <c r="J412" s="2">
        <v>1</v>
      </c>
      <c r="K412" s="2">
        <v>488</v>
      </c>
      <c r="L412" s="2">
        <f>sales[[#This Row],[quantity]]*sales[[#This Row],[price]]</f>
        <v>488</v>
      </c>
      <c r="M412" s="9">
        <f>sales[[#This Row],[Total Price]]*3%</f>
        <v>14.639999999999999</v>
      </c>
      <c r="N412" s="171">
        <f>sales[[#This Row],[Total Price]]*2.5%</f>
        <v>12.200000000000001</v>
      </c>
      <c r="O412" s="9">
        <f>sales[[#This Row],[Total Price]]*1.5%</f>
        <v>7.3199999999999994</v>
      </c>
      <c r="Q412" s="2">
        <v>2</v>
      </c>
      <c r="R412" s="5" t="str">
        <f>_xlfn.CONCAT(sales[[#This Row],[Shop]]," ",sales[[#This Row],[Location]])</f>
        <v>Shatin Fortress</v>
      </c>
    </row>
    <row r="413" spans="1:18" ht="16.5" customHeight="1">
      <c r="A413" s="7">
        <v>411</v>
      </c>
      <c r="B413" s="2" t="s">
        <v>1012</v>
      </c>
      <c r="C413" s="2" t="s">
        <v>975</v>
      </c>
      <c r="D413" s="2" t="str">
        <f ca="1">OFFSET(Roster!$B$7, MATCH(B413&amp;" "&amp;C413&amp;"*",Roster!$B$8:$B$20,0),DAY(sales[[#This Row],[date]]),1, 1)</f>
        <v>Margaret</v>
      </c>
      <c r="E413" s="2">
        <f>MONTH(sales[[#This Row],[date]])</f>
        <v>6</v>
      </c>
      <c r="F413" s="233">
        <v>46186</v>
      </c>
      <c r="G413" s="3" t="str">
        <f>VLOOKUP("*"&amp;sales[[#This Row],[Input]]&amp;"*",'Ref-List'!$A:$C,1,0)</f>
        <v>Model-Input-Ref</v>
      </c>
      <c r="H413" s="2" t="str">
        <f>VLOOKUP("*"&amp;G413&amp;"*",'Ref-List'!$A:$C,3,0)</f>
        <v>Product Line</v>
      </c>
      <c r="J413" s="2">
        <v>1</v>
      </c>
      <c r="K413" s="2">
        <v>598</v>
      </c>
      <c r="L413" s="2">
        <f>sales[[#This Row],[quantity]]*sales[[#This Row],[price]]</f>
        <v>598</v>
      </c>
      <c r="M413" s="9">
        <f>sales[[#This Row],[Total Price]]*3%</f>
        <v>17.939999999999998</v>
      </c>
      <c r="N413" s="171">
        <f>sales[[#This Row],[Total Price]]*2.5%</f>
        <v>14.950000000000001</v>
      </c>
      <c r="O413" s="9">
        <f>sales[[#This Row],[Total Price]]*1.5%</f>
        <v>8.9699999999999989</v>
      </c>
      <c r="Q413" s="2">
        <v>2</v>
      </c>
      <c r="R413" s="5" t="str">
        <f>_xlfn.CONCAT(sales[[#This Row],[Shop]]," ",sales[[#This Row],[Location]])</f>
        <v>Shatin Fortress</v>
      </c>
    </row>
    <row r="414" spans="1:18" ht="16.5" customHeight="1">
      <c r="A414" s="7">
        <v>412</v>
      </c>
      <c r="B414" s="2" t="s">
        <v>1012</v>
      </c>
      <c r="C414" s="2" t="s">
        <v>975</v>
      </c>
      <c r="D414" s="2" t="str">
        <f ca="1">OFFSET(Roster!$B$7, MATCH(B414&amp;" "&amp;C414&amp;"*",Roster!$B$8:$B$20,0),DAY(sales[[#This Row],[date]]),1, 1)</f>
        <v>Margaret</v>
      </c>
      <c r="E414" s="2">
        <f>MONTH(sales[[#This Row],[date]])</f>
        <v>6</v>
      </c>
      <c r="F414" s="233">
        <v>46186</v>
      </c>
      <c r="G414" s="3" t="str">
        <f>VLOOKUP("*"&amp;sales[[#This Row],[Input]]&amp;"*",'Ref-List'!$A:$C,1,0)</f>
        <v>Model-Input-Ref</v>
      </c>
      <c r="H414" s="2" t="str">
        <f>VLOOKUP("*"&amp;G414&amp;"*",'Ref-List'!$A:$C,3,0)</f>
        <v>Product Line</v>
      </c>
      <c r="J414" s="2">
        <v>1</v>
      </c>
      <c r="K414" s="2">
        <v>598</v>
      </c>
      <c r="L414" s="2">
        <f>sales[[#This Row],[quantity]]*sales[[#This Row],[price]]</f>
        <v>598</v>
      </c>
      <c r="M414" s="9">
        <f>sales[[#This Row],[Total Price]]*3%</f>
        <v>17.939999999999998</v>
      </c>
      <c r="N414" s="171">
        <f>sales[[#This Row],[Total Price]]*2.5%</f>
        <v>14.950000000000001</v>
      </c>
      <c r="O414" s="9">
        <f>sales[[#This Row],[Total Price]]*1.5%</f>
        <v>8.9699999999999989</v>
      </c>
      <c r="Q414" s="2">
        <v>2</v>
      </c>
      <c r="R414" s="5" t="str">
        <f>_xlfn.CONCAT(sales[[#This Row],[Shop]]," ",sales[[#This Row],[Location]])</f>
        <v>Shatin Fortress</v>
      </c>
    </row>
    <row r="415" spans="1:18" ht="16.5" customHeight="1">
      <c r="A415" s="7">
        <v>413</v>
      </c>
      <c r="B415" s="2" t="s">
        <v>1012</v>
      </c>
      <c r="C415" s="2" t="s">
        <v>975</v>
      </c>
      <c r="D415" s="2" t="str">
        <f ca="1">OFFSET(Roster!$B$7, MATCH(B415&amp;" "&amp;C415&amp;"*",Roster!$B$8:$B$20,0),DAY(sales[[#This Row],[date]]),1, 1)</f>
        <v>Margaret</v>
      </c>
      <c r="E415" s="2">
        <f>MONTH(sales[[#This Row],[date]])</f>
        <v>6</v>
      </c>
      <c r="F415" s="233">
        <v>46186</v>
      </c>
      <c r="G415" s="3" t="str">
        <f>VLOOKUP("*"&amp;sales[[#This Row],[Input]]&amp;"*",'Ref-List'!$A:$C,1,0)</f>
        <v>Model-Input-Ref</v>
      </c>
      <c r="H415" s="2" t="str">
        <f>VLOOKUP("*"&amp;G415&amp;"*",'Ref-List'!$A:$C,3,0)</f>
        <v>Product Line</v>
      </c>
      <c r="J415" s="2">
        <v>1</v>
      </c>
      <c r="K415" s="2">
        <v>628</v>
      </c>
      <c r="L415" s="2">
        <f>sales[[#This Row],[quantity]]*sales[[#This Row],[price]]</f>
        <v>628</v>
      </c>
      <c r="M415" s="9">
        <f>sales[[#This Row],[Total Price]]*3%</f>
        <v>18.84</v>
      </c>
      <c r="N415" s="171">
        <f>sales[[#This Row],[Total Price]]*2.5%</f>
        <v>15.700000000000001</v>
      </c>
      <c r="O415" s="9">
        <f>sales[[#This Row],[Total Price]]*1.5%</f>
        <v>9.42</v>
      </c>
      <c r="Q415" s="2">
        <v>2</v>
      </c>
      <c r="R415" s="5" t="str">
        <f>_xlfn.CONCAT(sales[[#This Row],[Shop]]," ",sales[[#This Row],[Location]])</f>
        <v>Shatin Fortress</v>
      </c>
    </row>
    <row r="416" spans="1:18" ht="16.5" customHeight="1">
      <c r="A416" s="7">
        <v>414</v>
      </c>
      <c r="B416" s="2" t="s">
        <v>1012</v>
      </c>
      <c r="C416" s="2" t="s">
        <v>975</v>
      </c>
      <c r="D416" s="2" t="str">
        <f ca="1">OFFSET(Roster!$B$7, MATCH(B416&amp;" "&amp;C416&amp;"*",Roster!$B$8:$B$20,0),DAY(sales[[#This Row],[date]]),1, 1)</f>
        <v>Margaret</v>
      </c>
      <c r="E416" s="2">
        <f>MONTH(sales[[#This Row],[date]])</f>
        <v>6</v>
      </c>
      <c r="F416" s="233">
        <v>46187</v>
      </c>
      <c r="G416" s="3" t="str">
        <f>VLOOKUP("*"&amp;sales[[#This Row],[Input]]&amp;"*",'Ref-List'!$A:$C,1,0)</f>
        <v>Model-Input-Ref</v>
      </c>
      <c r="H416" s="2" t="str">
        <f>VLOOKUP("*"&amp;G416&amp;"*",'Ref-List'!$A:$C,3,0)</f>
        <v>Product Line</v>
      </c>
      <c r="J416" s="2">
        <v>1</v>
      </c>
      <c r="K416" s="2">
        <v>628</v>
      </c>
      <c r="L416" s="2">
        <f>sales[[#This Row],[quantity]]*sales[[#This Row],[price]]</f>
        <v>628</v>
      </c>
      <c r="M416" s="9">
        <f>sales[[#This Row],[Total Price]]*3%</f>
        <v>18.84</v>
      </c>
      <c r="N416" s="171">
        <f>sales[[#This Row],[Total Price]]*2.5%</f>
        <v>15.700000000000001</v>
      </c>
      <c r="O416" s="9">
        <f>sales[[#This Row],[Total Price]]*1.5%</f>
        <v>9.42</v>
      </c>
      <c r="Q416" s="2">
        <v>3</v>
      </c>
      <c r="R416" s="5" t="str">
        <f>_xlfn.CONCAT(sales[[#This Row],[Shop]]," ",sales[[#This Row],[Location]])</f>
        <v>Shatin Fortress</v>
      </c>
    </row>
    <row r="417" spans="1:18" ht="16.5" customHeight="1">
      <c r="A417" s="7">
        <v>415</v>
      </c>
      <c r="B417" s="2" t="s">
        <v>1012</v>
      </c>
      <c r="C417" s="2" t="s">
        <v>975</v>
      </c>
      <c r="D417" s="2" t="str">
        <f ca="1">OFFSET(Roster!$B$7, MATCH(B417&amp;" "&amp;C417&amp;"*",Roster!$B$8:$B$20,0),DAY(sales[[#This Row],[date]]),1, 1)</f>
        <v>Margaret</v>
      </c>
      <c r="E417" s="2">
        <f>MONTH(sales[[#This Row],[date]])</f>
        <v>6</v>
      </c>
      <c r="F417" s="233">
        <v>46187</v>
      </c>
      <c r="G417" s="3" t="str">
        <f>VLOOKUP("*"&amp;sales[[#This Row],[Input]]&amp;"*",'Ref-List'!$A:$C,1,0)</f>
        <v>Model-Input-Ref</v>
      </c>
      <c r="H417" s="2" t="str">
        <f>VLOOKUP("*"&amp;G417&amp;"*",'Ref-List'!$A:$C,3,0)</f>
        <v>Product Line</v>
      </c>
      <c r="J417" s="2">
        <v>1</v>
      </c>
      <c r="K417" s="2">
        <v>1796</v>
      </c>
      <c r="L417" s="2">
        <f>sales[[#This Row],[quantity]]*sales[[#This Row],[price]]</f>
        <v>1796</v>
      </c>
      <c r="M417" s="9">
        <f>sales[[#This Row],[Total Price]]*3%</f>
        <v>53.879999999999995</v>
      </c>
      <c r="N417" s="171">
        <f>sales[[#This Row],[Total Price]]*2.5%</f>
        <v>44.900000000000006</v>
      </c>
      <c r="O417" s="9">
        <f>sales[[#This Row],[Total Price]]*1.5%</f>
        <v>26.939999999999998</v>
      </c>
      <c r="Q417" s="2">
        <v>3</v>
      </c>
      <c r="R417" s="5" t="str">
        <f>_xlfn.CONCAT(sales[[#This Row],[Shop]]," ",sales[[#This Row],[Location]])</f>
        <v>Shatin Fortress</v>
      </c>
    </row>
    <row r="418" spans="1:18" ht="16.5" customHeight="1">
      <c r="A418" s="7">
        <v>416</v>
      </c>
      <c r="B418" s="2" t="s">
        <v>1012</v>
      </c>
      <c r="C418" s="2" t="s">
        <v>975</v>
      </c>
      <c r="D418" s="2" t="str">
        <f ca="1">OFFSET(Roster!$B$7, MATCH(B418&amp;" "&amp;C418&amp;"*",Roster!$B$8:$B$20,0),DAY(sales[[#This Row],[date]]),1, 1)</f>
        <v>Margaret</v>
      </c>
      <c r="E418" s="2">
        <f>MONTH(sales[[#This Row],[date]])</f>
        <v>6</v>
      </c>
      <c r="F418" s="233">
        <v>46187</v>
      </c>
      <c r="G418" s="3" t="str">
        <f>VLOOKUP("*"&amp;sales[[#This Row],[Input]]&amp;"*",'Ref-List'!$A:$C,1,0)</f>
        <v>Model-Input-Ref</v>
      </c>
      <c r="H418" s="2" t="str">
        <f>VLOOKUP("*"&amp;G418&amp;"*",'Ref-List'!$A:$C,3,0)</f>
        <v>Product Line</v>
      </c>
      <c r="J418" s="2">
        <v>1</v>
      </c>
      <c r="K418" s="2">
        <v>1899</v>
      </c>
      <c r="L418" s="2">
        <f>sales[[#This Row],[quantity]]*sales[[#This Row],[price]]</f>
        <v>1899</v>
      </c>
      <c r="M418" s="9">
        <f>sales[[#This Row],[Total Price]]*3%</f>
        <v>56.97</v>
      </c>
      <c r="N418" s="171">
        <f>sales[[#This Row],[Total Price]]*2.5%</f>
        <v>47.475000000000001</v>
      </c>
      <c r="O418" s="9">
        <f>sales[[#This Row],[Total Price]]*1.5%</f>
        <v>28.484999999999999</v>
      </c>
      <c r="Q418" s="2">
        <v>3</v>
      </c>
      <c r="R418" s="5" t="str">
        <f>_xlfn.CONCAT(sales[[#This Row],[Shop]]," ",sales[[#This Row],[Location]])</f>
        <v>Shatin Fortress</v>
      </c>
    </row>
    <row r="419" spans="1:18" ht="16.5" customHeight="1">
      <c r="A419" s="7">
        <v>417</v>
      </c>
      <c r="B419" s="2" t="s">
        <v>1012</v>
      </c>
      <c r="C419" s="2" t="s">
        <v>975</v>
      </c>
      <c r="D419" s="2" t="str">
        <f ca="1">OFFSET(Roster!$B$7, MATCH(B419&amp;" "&amp;C419&amp;"*",Roster!$B$8:$B$20,0),DAY(sales[[#This Row],[date]]),1, 1)</f>
        <v>Margaret</v>
      </c>
      <c r="E419" s="2">
        <f>MONTH(sales[[#This Row],[date]])</f>
        <v>6</v>
      </c>
      <c r="F419" s="233">
        <v>46187</v>
      </c>
      <c r="G419" s="3" t="str">
        <f>VLOOKUP("*"&amp;sales[[#This Row],[Input]]&amp;"*",'Ref-List'!$A:$C,1,0)</f>
        <v>Model-Input-Ref</v>
      </c>
      <c r="H419" s="2" t="str">
        <f>VLOOKUP("*"&amp;G419&amp;"*",'Ref-List'!$A:$C,3,0)</f>
        <v>Product Line</v>
      </c>
      <c r="J419" s="2">
        <v>1</v>
      </c>
      <c r="K419" s="2">
        <v>2688</v>
      </c>
      <c r="L419" s="2">
        <f>sales[[#This Row],[quantity]]*sales[[#This Row],[price]]</f>
        <v>2688</v>
      </c>
      <c r="M419" s="9">
        <f>sales[[#This Row],[Total Price]]*3%</f>
        <v>80.64</v>
      </c>
      <c r="N419" s="171">
        <f>sales[[#This Row],[Total Price]]*2.5%</f>
        <v>67.2</v>
      </c>
      <c r="O419" s="9">
        <f>sales[[#This Row],[Total Price]]*1.5%</f>
        <v>40.32</v>
      </c>
      <c r="Q419" s="2">
        <v>3</v>
      </c>
      <c r="R419" s="5" t="str">
        <f>_xlfn.CONCAT(sales[[#This Row],[Shop]]," ",sales[[#This Row],[Location]])</f>
        <v>Shatin Fortress</v>
      </c>
    </row>
    <row r="420" spans="1:18" ht="16.5" customHeight="1">
      <c r="A420" s="7">
        <v>418</v>
      </c>
      <c r="B420" s="2" t="s">
        <v>1012</v>
      </c>
      <c r="C420" s="2" t="s">
        <v>975</v>
      </c>
      <c r="D420" s="2" t="str">
        <f ca="1">OFFSET(Roster!$B$7, MATCH(B420&amp;" "&amp;C420&amp;"*",Roster!$B$8:$B$20,0),DAY(sales[[#This Row],[date]]),1, 1)</f>
        <v>Margaret</v>
      </c>
      <c r="E420" s="2">
        <f>MONTH(sales[[#This Row],[date]])</f>
        <v>6</v>
      </c>
      <c r="F420" s="233">
        <v>46187</v>
      </c>
      <c r="G420" s="3" t="str">
        <f>VLOOKUP("*"&amp;sales[[#This Row],[Input]]&amp;"*",'Ref-List'!$A:$C,1,0)</f>
        <v>Model-Input-Ref</v>
      </c>
      <c r="H420" s="2" t="str">
        <f>VLOOKUP("*"&amp;G420&amp;"*",'Ref-List'!$A:$C,3,0)</f>
        <v>Product Line</v>
      </c>
      <c r="J420" s="2">
        <v>1</v>
      </c>
      <c r="K420" s="2">
        <v>848</v>
      </c>
      <c r="L420" s="2">
        <f>sales[[#This Row],[quantity]]*sales[[#This Row],[price]]</f>
        <v>848</v>
      </c>
      <c r="M420" s="9">
        <f>sales[[#This Row],[Total Price]]*3%</f>
        <v>25.439999999999998</v>
      </c>
      <c r="N420" s="171">
        <f>sales[[#This Row],[Total Price]]*2.5%</f>
        <v>21.200000000000003</v>
      </c>
      <c r="O420" s="9">
        <f>sales[[#This Row],[Total Price]]*1.5%</f>
        <v>12.719999999999999</v>
      </c>
      <c r="Q420" s="2">
        <v>3</v>
      </c>
      <c r="R420" s="5" t="str">
        <f>_xlfn.CONCAT(sales[[#This Row],[Shop]]," ",sales[[#This Row],[Location]])</f>
        <v>Shatin Fortress</v>
      </c>
    </row>
    <row r="421" spans="1:18" ht="17.25" customHeight="1">
      <c r="A421" s="7">
        <v>419</v>
      </c>
      <c r="B421" s="2" t="s">
        <v>1012</v>
      </c>
      <c r="C421" s="2" t="s">
        <v>975</v>
      </c>
      <c r="D421" s="2" t="str">
        <f ca="1">OFFSET(Roster!$B$7, MATCH(B421&amp;" "&amp;C421&amp;"*",Roster!$B$8:$B$20,0),DAY(sales[[#This Row],[date]]),1, 1)</f>
        <v>Margaret</v>
      </c>
      <c r="E421" s="2">
        <f>MONTH(sales[[#This Row],[date]])</f>
        <v>6</v>
      </c>
      <c r="F421" s="233">
        <v>46187</v>
      </c>
      <c r="G421" s="3" t="str">
        <f>VLOOKUP("*"&amp;sales[[#This Row],[Input]]&amp;"*",'Ref-List'!$A:$C,1,0)</f>
        <v>Model-Input-Ref</v>
      </c>
      <c r="H421" s="2" t="str">
        <f>VLOOKUP("*"&amp;G421&amp;"*",'Ref-List'!$A:$C,3,0)</f>
        <v>Product Line</v>
      </c>
      <c r="J421" s="2">
        <v>1</v>
      </c>
      <c r="K421" s="2">
        <v>1338</v>
      </c>
      <c r="L421" s="2">
        <f>sales[[#This Row],[quantity]]*sales[[#This Row],[price]]</f>
        <v>1338</v>
      </c>
      <c r="M421" s="9">
        <f>sales[[#This Row],[Total Price]]*3%</f>
        <v>40.14</v>
      </c>
      <c r="N421" s="171">
        <f>sales[[#This Row],[Total Price]]*2.5%</f>
        <v>33.450000000000003</v>
      </c>
      <c r="O421" s="9">
        <f>sales[[#This Row],[Total Price]]*1.5%</f>
        <v>20.07</v>
      </c>
      <c r="Q421" s="2">
        <v>3</v>
      </c>
      <c r="R421" s="5" t="str">
        <f>_xlfn.CONCAT(sales[[#This Row],[Shop]]," ",sales[[#This Row],[Location]])</f>
        <v>Shatin Fortress</v>
      </c>
    </row>
    <row r="422" spans="1:18" ht="17.25" customHeight="1">
      <c r="A422" s="7">
        <v>420</v>
      </c>
      <c r="B422" s="2" t="s">
        <v>1012</v>
      </c>
      <c r="C422" s="2" t="s">
        <v>975</v>
      </c>
      <c r="D422" s="2" t="str">
        <f ca="1">OFFSET(Roster!$B$7, MATCH(B422&amp;" "&amp;C422&amp;"*",Roster!$B$8:$B$20,0),DAY(sales[[#This Row],[date]]),1, 1)</f>
        <v>Margaret</v>
      </c>
      <c r="E422" s="2">
        <f>MONTH(sales[[#This Row],[date]])</f>
        <v>6</v>
      </c>
      <c r="F422" s="233">
        <v>46187</v>
      </c>
      <c r="G422" s="3" t="str">
        <f>VLOOKUP("*"&amp;sales[[#This Row],[Input]]&amp;"*",'Ref-List'!$A:$C,1,0)</f>
        <v>Model-Input-Ref</v>
      </c>
      <c r="H422" s="2" t="str">
        <f>VLOOKUP("*"&amp;G422&amp;"*",'Ref-List'!$A:$C,3,0)</f>
        <v>Product Line</v>
      </c>
      <c r="J422" s="2">
        <v>1</v>
      </c>
      <c r="K422" s="2">
        <v>1338</v>
      </c>
      <c r="L422" s="2">
        <f>sales[[#This Row],[quantity]]*sales[[#This Row],[price]]</f>
        <v>1338</v>
      </c>
      <c r="M422" s="9">
        <f>sales[[#This Row],[Total Price]]*3%</f>
        <v>40.14</v>
      </c>
      <c r="N422" s="171">
        <f>sales[[#This Row],[Total Price]]*2.5%</f>
        <v>33.450000000000003</v>
      </c>
      <c r="O422" s="9">
        <f>sales[[#This Row],[Total Price]]*1.5%</f>
        <v>20.07</v>
      </c>
      <c r="Q422" s="2">
        <v>3</v>
      </c>
      <c r="R422" s="5" t="str">
        <f>_xlfn.CONCAT(sales[[#This Row],[Shop]]," ",sales[[#This Row],[Location]])</f>
        <v>Shatin Fortress</v>
      </c>
    </row>
    <row r="423" spans="1:18" ht="17.25" customHeight="1">
      <c r="A423" s="7">
        <v>421</v>
      </c>
      <c r="B423" s="2" t="s">
        <v>1012</v>
      </c>
      <c r="C423" s="2" t="s">
        <v>975</v>
      </c>
      <c r="D423" s="2" t="str">
        <f ca="1">OFFSET(Roster!$B$7, MATCH(B423&amp;" "&amp;C423&amp;"*",Roster!$B$8:$B$20,0),DAY(sales[[#This Row],[date]]),1, 1)</f>
        <v>Margaret</v>
      </c>
      <c r="E423" s="2">
        <f>MONTH(sales[[#This Row],[date]])</f>
        <v>6</v>
      </c>
      <c r="F423" s="233">
        <v>46187</v>
      </c>
      <c r="G423" s="3" t="str">
        <f>VLOOKUP("*"&amp;sales[[#This Row],[Input]]&amp;"*",'Ref-List'!$A:$C,1,0)</f>
        <v>Model-Input-Ref</v>
      </c>
      <c r="H423" s="2" t="str">
        <f>VLOOKUP("*"&amp;G423&amp;"*",'Ref-List'!$A:$C,3,0)</f>
        <v>Product Line</v>
      </c>
      <c r="J423" s="2">
        <v>1</v>
      </c>
      <c r="K423" s="2">
        <v>3988</v>
      </c>
      <c r="L423" s="2">
        <f>sales[[#This Row],[quantity]]*sales[[#This Row],[price]]</f>
        <v>3988</v>
      </c>
      <c r="M423" s="9">
        <f>sales[[#This Row],[Total Price]]*3%</f>
        <v>119.64</v>
      </c>
      <c r="N423" s="171">
        <f>sales[[#This Row],[Total Price]]*2.5%</f>
        <v>99.7</v>
      </c>
      <c r="O423" s="9">
        <f>sales[[#This Row],[Total Price]]*1.5%</f>
        <v>59.82</v>
      </c>
      <c r="Q423" s="2">
        <v>3</v>
      </c>
      <c r="R423" s="5" t="str">
        <f>_xlfn.CONCAT(sales[[#This Row],[Shop]]," ",sales[[#This Row],[Location]])</f>
        <v>Shatin Fortress</v>
      </c>
    </row>
    <row r="424" spans="1:18" ht="17.25" customHeight="1">
      <c r="A424" s="7">
        <v>422</v>
      </c>
      <c r="B424" s="2" t="s">
        <v>1012</v>
      </c>
      <c r="C424" s="2" t="s">
        <v>975</v>
      </c>
      <c r="D424" s="2" t="str">
        <f ca="1">OFFSET(Roster!$B$7, MATCH(B424&amp;" "&amp;C424&amp;"*",Roster!$B$8:$B$20,0),DAY(sales[[#This Row],[date]]),1, 1)</f>
        <v>Margaret</v>
      </c>
      <c r="E424" s="2">
        <f>MONTH(sales[[#This Row],[date]])</f>
        <v>6</v>
      </c>
      <c r="F424" s="233">
        <v>46187</v>
      </c>
      <c r="G424" s="3" t="str">
        <f>VLOOKUP("*"&amp;sales[[#This Row],[Input]]&amp;"*",'Ref-List'!$A:$C,1,0)</f>
        <v>Model-Input-Ref</v>
      </c>
      <c r="H424" s="2" t="str">
        <f>VLOOKUP("*"&amp;G424&amp;"*",'Ref-List'!$A:$C,3,0)</f>
        <v>Product Line</v>
      </c>
      <c r="J424" s="2">
        <v>1</v>
      </c>
      <c r="K424" s="2">
        <v>1899</v>
      </c>
      <c r="L424" s="2">
        <f>sales[[#This Row],[quantity]]*sales[[#This Row],[price]]</f>
        <v>1899</v>
      </c>
      <c r="M424" s="9">
        <f>sales[[#This Row],[Total Price]]*3%</f>
        <v>56.97</v>
      </c>
      <c r="N424" s="171">
        <f>sales[[#This Row],[Total Price]]*2.5%</f>
        <v>47.475000000000001</v>
      </c>
      <c r="O424" s="9">
        <f>sales[[#This Row],[Total Price]]*1.5%</f>
        <v>28.484999999999999</v>
      </c>
      <c r="Q424" s="2">
        <v>3</v>
      </c>
      <c r="R424" s="5" t="str">
        <f>_xlfn.CONCAT(sales[[#This Row],[Shop]]," ",sales[[#This Row],[Location]])</f>
        <v>Shatin Fortress</v>
      </c>
    </row>
    <row r="425" spans="1:18" ht="16.5" customHeight="1">
      <c r="A425" s="7">
        <v>423</v>
      </c>
      <c r="B425" s="2" t="s">
        <v>1012</v>
      </c>
      <c r="C425" s="2" t="s">
        <v>975</v>
      </c>
      <c r="D425" s="2" t="str">
        <f ca="1">OFFSET(Roster!$B$7, MATCH(B425&amp;" "&amp;C425&amp;"*",Roster!$B$8:$B$20,0),DAY(sales[[#This Row],[date]]),1, 1)</f>
        <v>Margaret</v>
      </c>
      <c r="E425" s="2">
        <f>MONTH(sales[[#This Row],[date]])</f>
        <v>6</v>
      </c>
      <c r="F425" s="233">
        <v>46187</v>
      </c>
      <c r="G425" s="3" t="str">
        <f>VLOOKUP("*"&amp;sales[[#This Row],[Input]]&amp;"*",'Ref-List'!$A:$C,1,0)</f>
        <v>Model-Input-Ref</v>
      </c>
      <c r="H425" s="2" t="str">
        <f>VLOOKUP("*"&amp;G425&amp;"*",'Ref-List'!$A:$C,3,0)</f>
        <v>Product Line</v>
      </c>
      <c r="J425" s="2">
        <v>1</v>
      </c>
      <c r="K425" s="2">
        <v>3988</v>
      </c>
      <c r="L425" s="2">
        <f>sales[[#This Row],[quantity]]*sales[[#This Row],[price]]</f>
        <v>3988</v>
      </c>
      <c r="M425" s="9">
        <f>sales[[#This Row],[Total Price]]*3%</f>
        <v>119.64</v>
      </c>
      <c r="N425" s="171">
        <f>sales[[#This Row],[Total Price]]*2.5%</f>
        <v>99.7</v>
      </c>
      <c r="O425" s="9">
        <f>sales[[#This Row],[Total Price]]*1.5%</f>
        <v>59.82</v>
      </c>
      <c r="Q425" s="2">
        <v>3</v>
      </c>
      <c r="R425" s="5" t="str">
        <f>_xlfn.CONCAT(sales[[#This Row],[Shop]]," ",sales[[#This Row],[Location]])</f>
        <v>Shatin Fortress</v>
      </c>
    </row>
    <row r="426" spans="1:18" ht="16.5" customHeight="1">
      <c r="A426" s="7">
        <v>424</v>
      </c>
      <c r="B426" s="2" t="s">
        <v>1012</v>
      </c>
      <c r="C426" s="2" t="s">
        <v>975</v>
      </c>
      <c r="D426" s="2" t="str">
        <f ca="1">OFFSET(Roster!$B$7, MATCH(B426&amp;" "&amp;C426&amp;"*",Roster!$B$8:$B$20,0),DAY(sales[[#This Row],[date]]),1, 1)</f>
        <v>Margaret</v>
      </c>
      <c r="E426" s="2">
        <f>MONTH(sales[[#This Row],[date]])</f>
        <v>6</v>
      </c>
      <c r="F426" s="233">
        <v>46187</v>
      </c>
      <c r="G426" s="3" t="str">
        <f>VLOOKUP("*"&amp;sales[[#This Row],[Input]]&amp;"*",'Ref-List'!$A:$C,1,0)</f>
        <v>Model-Input-Ref</v>
      </c>
      <c r="H426" s="2" t="str">
        <f>VLOOKUP("*"&amp;G426&amp;"*",'Ref-List'!$A:$C,3,0)</f>
        <v>Product Line</v>
      </c>
      <c r="J426" s="2">
        <v>1</v>
      </c>
      <c r="K426" s="2">
        <v>3688</v>
      </c>
      <c r="L426" s="2">
        <f>sales[[#This Row],[quantity]]*sales[[#This Row],[price]]</f>
        <v>3688</v>
      </c>
      <c r="M426" s="9">
        <f>sales[[#This Row],[Total Price]]*3%</f>
        <v>110.64</v>
      </c>
      <c r="N426" s="171">
        <f>sales[[#This Row],[Total Price]]*2.5%</f>
        <v>92.2</v>
      </c>
      <c r="O426" s="9">
        <f>sales[[#This Row],[Total Price]]*1.5%</f>
        <v>55.32</v>
      </c>
      <c r="Q426" s="2">
        <v>3</v>
      </c>
      <c r="R426" s="5" t="str">
        <f>_xlfn.CONCAT(sales[[#This Row],[Shop]]," ",sales[[#This Row],[Location]])</f>
        <v>Shatin Fortress</v>
      </c>
    </row>
    <row r="427" spans="1:18" ht="16.5" customHeight="1">
      <c r="A427" s="7">
        <v>425</v>
      </c>
      <c r="B427" s="2" t="s">
        <v>1012</v>
      </c>
      <c r="C427" s="2" t="s">
        <v>975</v>
      </c>
      <c r="D427" s="2" t="str">
        <f ca="1">OFFSET(Roster!$B$7, MATCH(B427&amp;" "&amp;C427&amp;"*",Roster!$B$8:$B$20,0),DAY(sales[[#This Row],[date]]),1, 1)</f>
        <v>Margaret</v>
      </c>
      <c r="E427" s="2">
        <f>MONTH(sales[[#This Row],[date]])</f>
        <v>6</v>
      </c>
      <c r="F427" s="233">
        <v>46192</v>
      </c>
      <c r="G427" s="3" t="str">
        <f>VLOOKUP("*"&amp;sales[[#This Row],[Input]]&amp;"*",'Ref-List'!$A:$C,1,0)</f>
        <v>Model-Input-Ref</v>
      </c>
      <c r="H427" s="2" t="str">
        <f>VLOOKUP("*"&amp;G427&amp;"*",'Ref-List'!$A:$C,3,0)</f>
        <v>Product Line</v>
      </c>
      <c r="J427" s="2">
        <v>1</v>
      </c>
      <c r="K427" s="2">
        <v>1256</v>
      </c>
      <c r="L427" s="2">
        <f>sales[[#This Row],[quantity]]*sales[[#This Row],[price]]</f>
        <v>1256</v>
      </c>
      <c r="M427" s="9">
        <f>sales[[#This Row],[Total Price]]*3%</f>
        <v>37.68</v>
      </c>
      <c r="N427" s="171">
        <f>sales[[#This Row],[Total Price]]*2.5%</f>
        <v>31.400000000000002</v>
      </c>
      <c r="O427" s="9">
        <f>sales[[#This Row],[Total Price]]*1.5%</f>
        <v>18.84</v>
      </c>
      <c r="Q427" s="2">
        <v>3</v>
      </c>
      <c r="R427" s="5" t="str">
        <f>_xlfn.CONCAT(sales[[#This Row],[Shop]]," ",sales[[#This Row],[Location]])</f>
        <v>Shatin Fortress</v>
      </c>
    </row>
    <row r="428" spans="1:18" ht="16.5" customHeight="1">
      <c r="A428" s="7">
        <v>426</v>
      </c>
      <c r="B428" s="2" t="s">
        <v>1012</v>
      </c>
      <c r="C428" s="2" t="s">
        <v>975</v>
      </c>
      <c r="D428" s="2" t="str">
        <f ca="1">OFFSET(Roster!$B$7, MATCH(B428&amp;" "&amp;C428&amp;"*",Roster!$B$8:$B$20,0),DAY(sales[[#This Row],[date]]),1, 1)</f>
        <v>Margaret</v>
      </c>
      <c r="E428" s="2">
        <f>MONTH(sales[[#This Row],[date]])</f>
        <v>6</v>
      </c>
      <c r="F428" s="233">
        <v>46192</v>
      </c>
      <c r="G428" s="3" t="str">
        <f>VLOOKUP("*"&amp;sales[[#This Row],[Input]]&amp;"*",'Ref-List'!$A:$C,1,0)</f>
        <v>Model-Input-Ref</v>
      </c>
      <c r="H428" s="2" t="str">
        <f>VLOOKUP("*"&amp;G428&amp;"*",'Ref-List'!$A:$C,3,0)</f>
        <v>Product Line</v>
      </c>
      <c r="J428" s="2">
        <v>1</v>
      </c>
      <c r="K428" s="2">
        <v>336</v>
      </c>
      <c r="L428" s="2">
        <f>sales[[#This Row],[quantity]]*sales[[#This Row],[price]]</f>
        <v>336</v>
      </c>
      <c r="M428" s="9">
        <f>sales[[#This Row],[Total Price]]*3%</f>
        <v>10.08</v>
      </c>
      <c r="N428" s="171">
        <f>sales[[#This Row],[Total Price]]*2.5%</f>
        <v>8.4</v>
      </c>
      <c r="O428" s="9">
        <f>sales[[#This Row],[Total Price]]*1.5%</f>
        <v>5.04</v>
      </c>
      <c r="Q428" s="2">
        <v>3</v>
      </c>
      <c r="R428" s="5" t="str">
        <f>_xlfn.CONCAT(sales[[#This Row],[Shop]]," ",sales[[#This Row],[Location]])</f>
        <v>Shatin Fortress</v>
      </c>
    </row>
    <row r="429" spans="1:18" ht="16.5" customHeight="1">
      <c r="A429" s="7">
        <v>427</v>
      </c>
      <c r="B429" s="2" t="s">
        <v>1012</v>
      </c>
      <c r="C429" s="2" t="s">
        <v>975</v>
      </c>
      <c r="D429" s="2" t="str">
        <f ca="1">OFFSET(Roster!$B$7, MATCH(B429&amp;" "&amp;C429&amp;"*",Roster!$B$8:$B$20,0),DAY(sales[[#This Row],[date]]),1, 1)</f>
        <v>Margaret</v>
      </c>
      <c r="E429" s="2">
        <f>MONTH(sales[[#This Row],[date]])</f>
        <v>6</v>
      </c>
      <c r="F429" s="233">
        <v>46192</v>
      </c>
      <c r="G429" s="3" t="str">
        <f>VLOOKUP("*"&amp;sales[[#This Row],[Input]]&amp;"*",'Ref-List'!$A:$C,1,0)</f>
        <v>Model-Input-Ref</v>
      </c>
      <c r="H429" s="2" t="str">
        <f>VLOOKUP("*"&amp;G429&amp;"*",'Ref-List'!$A:$C,3,0)</f>
        <v>Product Line</v>
      </c>
      <c r="J429" s="2">
        <v>1</v>
      </c>
      <c r="K429" s="2">
        <v>1899</v>
      </c>
      <c r="L429" s="2">
        <f>sales[[#This Row],[quantity]]*sales[[#This Row],[price]]</f>
        <v>1899</v>
      </c>
      <c r="M429" s="9">
        <f>sales[[#This Row],[Total Price]]*3%</f>
        <v>56.97</v>
      </c>
      <c r="N429" s="171">
        <f>sales[[#This Row],[Total Price]]*2.5%</f>
        <v>47.475000000000001</v>
      </c>
      <c r="O429" s="9">
        <f>sales[[#This Row],[Total Price]]*1.5%</f>
        <v>28.484999999999999</v>
      </c>
      <c r="Q429" s="2">
        <v>3</v>
      </c>
      <c r="R429" s="5" t="str">
        <f>_xlfn.CONCAT(sales[[#This Row],[Shop]]," ",sales[[#This Row],[Location]])</f>
        <v>Shatin Fortress</v>
      </c>
    </row>
    <row r="430" spans="1:18" ht="16.5" customHeight="1">
      <c r="A430" s="7">
        <v>428</v>
      </c>
      <c r="B430" s="2" t="s">
        <v>1012</v>
      </c>
      <c r="C430" s="2" t="s">
        <v>975</v>
      </c>
      <c r="D430" s="2" t="str">
        <f ca="1">OFFSET(Roster!$B$7, MATCH(B430&amp;" "&amp;C430&amp;"*",Roster!$B$8:$B$20,0),DAY(sales[[#This Row],[date]]),1, 1)</f>
        <v>Margaret</v>
      </c>
      <c r="E430" s="2">
        <f>MONTH(sales[[#This Row],[date]])</f>
        <v>6</v>
      </c>
      <c r="F430" s="233">
        <v>46192</v>
      </c>
      <c r="G430" s="3" t="str">
        <f>VLOOKUP("*"&amp;sales[[#This Row],[Input]]&amp;"*",'Ref-List'!$A:$C,1,0)</f>
        <v>Model-Input-Ref</v>
      </c>
      <c r="H430" s="2" t="str">
        <f>VLOOKUP("*"&amp;G430&amp;"*",'Ref-List'!$A:$C,3,0)</f>
        <v>Product Line</v>
      </c>
      <c r="J430" s="2">
        <v>1</v>
      </c>
      <c r="K430" s="2">
        <v>598</v>
      </c>
      <c r="L430" s="2">
        <f>sales[[#This Row],[quantity]]*sales[[#This Row],[price]]</f>
        <v>598</v>
      </c>
      <c r="M430" s="9">
        <f>sales[[#This Row],[Total Price]]*3%</f>
        <v>17.939999999999998</v>
      </c>
      <c r="N430" s="171">
        <f>sales[[#This Row],[Total Price]]*2.5%</f>
        <v>14.950000000000001</v>
      </c>
      <c r="O430" s="9">
        <f>sales[[#This Row],[Total Price]]*1.5%</f>
        <v>8.9699999999999989</v>
      </c>
      <c r="Q430" s="2">
        <v>3</v>
      </c>
      <c r="R430" s="5" t="str">
        <f>_xlfn.CONCAT(sales[[#This Row],[Shop]]," ",sales[[#This Row],[Location]])</f>
        <v>Shatin Fortress</v>
      </c>
    </row>
    <row r="431" spans="1:18" ht="16.5" customHeight="1">
      <c r="A431" s="7">
        <v>429</v>
      </c>
      <c r="B431" s="2" t="s">
        <v>1012</v>
      </c>
      <c r="C431" s="2" t="s">
        <v>975</v>
      </c>
      <c r="D431" s="2" t="str">
        <f ca="1">OFFSET(Roster!$B$7, MATCH(B431&amp;" "&amp;C431&amp;"*",Roster!$B$8:$B$20,0),DAY(sales[[#This Row],[date]]),1, 1)</f>
        <v>Margaret</v>
      </c>
      <c r="E431" s="2">
        <f>MONTH(sales[[#This Row],[date]])</f>
        <v>6</v>
      </c>
      <c r="F431" s="233">
        <v>46192</v>
      </c>
      <c r="G431" s="3" t="str">
        <f>VLOOKUP("*"&amp;sales[[#This Row],[Input]]&amp;"*",'Ref-List'!$A:$C,1,0)</f>
        <v>Model-Input-Ref</v>
      </c>
      <c r="H431" s="2" t="str">
        <f>VLOOKUP("*"&amp;G431&amp;"*",'Ref-List'!$A:$C,3,0)</f>
        <v>Product Line</v>
      </c>
      <c r="J431" s="2">
        <v>1</v>
      </c>
      <c r="K431" s="2">
        <v>598</v>
      </c>
      <c r="L431" s="2">
        <f>sales[[#This Row],[quantity]]*sales[[#This Row],[price]]</f>
        <v>598</v>
      </c>
      <c r="M431" s="9">
        <f>sales[[#This Row],[Total Price]]*3%</f>
        <v>17.939999999999998</v>
      </c>
      <c r="N431" s="171">
        <f>sales[[#This Row],[Total Price]]*2.5%</f>
        <v>14.950000000000001</v>
      </c>
      <c r="O431" s="9">
        <f>sales[[#This Row],[Total Price]]*1.5%</f>
        <v>8.9699999999999989</v>
      </c>
      <c r="Q431" s="2">
        <v>3</v>
      </c>
      <c r="R431" s="5" t="str">
        <f>_xlfn.CONCAT(sales[[#This Row],[Shop]]," ",sales[[#This Row],[Location]])</f>
        <v>Shatin Fortress</v>
      </c>
    </row>
    <row r="432" spans="1:18" ht="16.5" customHeight="1">
      <c r="A432" s="7">
        <v>430</v>
      </c>
      <c r="B432" s="2" t="s">
        <v>1012</v>
      </c>
      <c r="C432" s="2" t="s">
        <v>975</v>
      </c>
      <c r="D432" s="2" t="str">
        <f ca="1">OFFSET(Roster!$B$7, MATCH(B432&amp;" "&amp;C432&amp;"*",Roster!$B$8:$B$20,0),DAY(sales[[#This Row],[date]]),1, 1)</f>
        <v>Margaret</v>
      </c>
      <c r="E432" s="2">
        <f>MONTH(sales[[#This Row],[date]])</f>
        <v>6</v>
      </c>
      <c r="F432" s="233">
        <v>46192</v>
      </c>
      <c r="G432" s="3" t="str">
        <f>VLOOKUP("*"&amp;sales[[#This Row],[Input]]&amp;"*",'Ref-List'!$A:$C,1,0)</f>
        <v>Model-Input-Ref</v>
      </c>
      <c r="H432" s="2" t="str">
        <f>VLOOKUP("*"&amp;G432&amp;"*",'Ref-List'!$A:$C,3,0)</f>
        <v>Product Line</v>
      </c>
      <c r="J432" s="2">
        <v>1</v>
      </c>
      <c r="K432" s="2">
        <v>628</v>
      </c>
      <c r="L432" s="2">
        <f>sales[[#This Row],[quantity]]*sales[[#This Row],[price]]</f>
        <v>628</v>
      </c>
      <c r="M432" s="9">
        <f>sales[[#This Row],[Total Price]]*3%</f>
        <v>18.84</v>
      </c>
      <c r="N432" s="171">
        <f>sales[[#This Row],[Total Price]]*2.5%</f>
        <v>15.700000000000001</v>
      </c>
      <c r="O432" s="9">
        <f>sales[[#This Row],[Total Price]]*1.5%</f>
        <v>9.42</v>
      </c>
      <c r="Q432" s="2">
        <v>3</v>
      </c>
      <c r="R432" s="5" t="str">
        <f>_xlfn.CONCAT(sales[[#This Row],[Shop]]," ",sales[[#This Row],[Location]])</f>
        <v>Shatin Fortress</v>
      </c>
    </row>
    <row r="433" spans="1:18" ht="16.5" customHeight="1">
      <c r="A433" s="7">
        <v>431</v>
      </c>
      <c r="B433" s="2" t="s">
        <v>1012</v>
      </c>
      <c r="C433" s="2" t="s">
        <v>975</v>
      </c>
      <c r="D433" s="2" t="str">
        <f ca="1">OFFSET(Roster!$B$7, MATCH(B433&amp;" "&amp;C433&amp;"*",Roster!$B$8:$B$20,0),DAY(sales[[#This Row],[date]]),1, 1)</f>
        <v>Margaret</v>
      </c>
      <c r="E433" s="2">
        <f>MONTH(sales[[#This Row],[date]])</f>
        <v>6</v>
      </c>
      <c r="F433" s="233">
        <v>46192</v>
      </c>
      <c r="G433" s="3" t="str">
        <f>VLOOKUP("*"&amp;sales[[#This Row],[Input]]&amp;"*",'Ref-List'!$A:$C,1,0)</f>
        <v>Model-Input-Ref</v>
      </c>
      <c r="H433" s="2" t="str">
        <f>VLOOKUP("*"&amp;G433&amp;"*",'Ref-List'!$A:$C,3,0)</f>
        <v>Product Line</v>
      </c>
      <c r="J433" s="2">
        <v>1</v>
      </c>
      <c r="K433" s="2">
        <v>1696</v>
      </c>
      <c r="L433" s="2">
        <f>sales[[#This Row],[quantity]]*sales[[#This Row],[price]]</f>
        <v>1696</v>
      </c>
      <c r="M433" s="9">
        <f>sales[[#This Row],[Total Price]]*3%</f>
        <v>50.879999999999995</v>
      </c>
      <c r="N433" s="171">
        <f>sales[[#This Row],[Total Price]]*2.5%</f>
        <v>42.400000000000006</v>
      </c>
      <c r="O433" s="9">
        <f>sales[[#This Row],[Total Price]]*1.5%</f>
        <v>25.439999999999998</v>
      </c>
      <c r="Q433" s="2">
        <v>3</v>
      </c>
      <c r="R433" s="5" t="str">
        <f>_xlfn.CONCAT(sales[[#This Row],[Shop]]," ",sales[[#This Row],[Location]])</f>
        <v>Shatin Fortress</v>
      </c>
    </row>
    <row r="434" spans="1:18" ht="16.5" customHeight="1">
      <c r="A434" s="7">
        <v>432</v>
      </c>
      <c r="B434" s="2" t="s">
        <v>1012</v>
      </c>
      <c r="C434" s="2" t="s">
        <v>975</v>
      </c>
      <c r="D434" s="2" t="str">
        <f ca="1">OFFSET(Roster!$B$7, MATCH(B434&amp;" "&amp;C434&amp;"*",Roster!$B$8:$B$20,0),DAY(sales[[#This Row],[date]]),1, 1)</f>
        <v>Margaret</v>
      </c>
      <c r="E434" s="2">
        <f>MONTH(sales[[#This Row],[date]])</f>
        <v>6</v>
      </c>
      <c r="F434" s="233">
        <v>46192</v>
      </c>
      <c r="G434" s="3" t="str">
        <f>VLOOKUP("*"&amp;sales[[#This Row],[Input]]&amp;"*",'Ref-List'!$A:$C,1,0)</f>
        <v>Model-Input-Ref</v>
      </c>
      <c r="H434" s="2" t="str">
        <f>VLOOKUP("*"&amp;G434&amp;"*",'Ref-List'!$A:$C,3,0)</f>
        <v>Product Line</v>
      </c>
      <c r="J434" s="2">
        <v>1</v>
      </c>
      <c r="K434" s="2">
        <v>2998</v>
      </c>
      <c r="L434" s="2">
        <f>sales[[#This Row],[quantity]]*sales[[#This Row],[price]]</f>
        <v>2998</v>
      </c>
      <c r="M434" s="9">
        <f>sales[[#This Row],[Total Price]]*3%</f>
        <v>89.94</v>
      </c>
      <c r="N434" s="171">
        <f>sales[[#This Row],[Total Price]]*2.5%</f>
        <v>74.95</v>
      </c>
      <c r="O434" s="9">
        <f>sales[[#This Row],[Total Price]]*1.5%</f>
        <v>44.97</v>
      </c>
      <c r="Q434" s="2">
        <v>3</v>
      </c>
      <c r="R434" s="5" t="str">
        <f>_xlfn.CONCAT(sales[[#This Row],[Shop]]," ",sales[[#This Row],[Location]])</f>
        <v>Shatin Fortress</v>
      </c>
    </row>
    <row r="435" spans="1:18" ht="16.5" customHeight="1">
      <c r="A435" s="7">
        <v>433</v>
      </c>
      <c r="B435" s="2" t="s">
        <v>1012</v>
      </c>
      <c r="C435" s="2" t="s">
        <v>975</v>
      </c>
      <c r="D435" s="2" t="str">
        <f ca="1">OFFSET(Roster!$B$7, MATCH(B435&amp;" "&amp;C435&amp;"*",Roster!$B$8:$B$20,0),DAY(sales[[#This Row],[date]]),1, 1)</f>
        <v>Margaret</v>
      </c>
      <c r="E435" s="2">
        <f>MONTH(sales[[#This Row],[date]])</f>
        <v>6</v>
      </c>
      <c r="F435" s="233">
        <v>46192</v>
      </c>
      <c r="G435" s="3" t="str">
        <f>VLOOKUP("*"&amp;sales[[#This Row],[Input]]&amp;"*",'Ref-List'!$A:$C,1,0)</f>
        <v>Model-Input-Ref</v>
      </c>
      <c r="H435" s="2" t="str">
        <f>VLOOKUP("*"&amp;G435&amp;"*",'Ref-List'!$A:$C,3,0)</f>
        <v>Product Line</v>
      </c>
      <c r="J435" s="2">
        <v>1</v>
      </c>
      <c r="K435" s="2">
        <v>3988</v>
      </c>
      <c r="L435" s="2">
        <f>sales[[#This Row],[quantity]]*sales[[#This Row],[price]]</f>
        <v>3988</v>
      </c>
      <c r="M435" s="9">
        <f>sales[[#This Row],[Total Price]]*3%</f>
        <v>119.64</v>
      </c>
      <c r="N435" s="171">
        <f>sales[[#This Row],[Total Price]]*2.5%</f>
        <v>99.7</v>
      </c>
      <c r="O435" s="9">
        <f>sales[[#This Row],[Total Price]]*1.5%</f>
        <v>59.82</v>
      </c>
      <c r="Q435" s="2">
        <v>3</v>
      </c>
      <c r="R435" s="5" t="str">
        <f>_xlfn.CONCAT(sales[[#This Row],[Shop]]," ",sales[[#This Row],[Location]])</f>
        <v>Shatin Fortress</v>
      </c>
    </row>
    <row r="436" spans="1:18" ht="16.5" customHeight="1">
      <c r="A436" s="7">
        <v>434</v>
      </c>
      <c r="B436" s="2" t="s">
        <v>1012</v>
      </c>
      <c r="C436" s="2" t="s">
        <v>975</v>
      </c>
      <c r="D436" s="2" t="str">
        <f ca="1">OFFSET(Roster!$B$7, MATCH(B436&amp;" "&amp;C436&amp;"*",Roster!$B$8:$B$20,0),DAY(sales[[#This Row],[date]]),1, 1)</f>
        <v>Margaret</v>
      </c>
      <c r="E436" s="2">
        <f>MONTH(sales[[#This Row],[date]])</f>
        <v>6</v>
      </c>
      <c r="F436" s="233">
        <v>46192</v>
      </c>
      <c r="G436" s="3" t="str">
        <f>VLOOKUP("*"&amp;sales[[#This Row],[Input]]&amp;"*",'Ref-List'!$A:$C,1,0)</f>
        <v>Model-Input-Ref</v>
      </c>
      <c r="H436" s="2" t="str">
        <f>VLOOKUP("*"&amp;G436&amp;"*",'Ref-List'!$A:$C,3,0)</f>
        <v>Product Line</v>
      </c>
      <c r="J436" s="2">
        <v>1</v>
      </c>
      <c r="K436" s="2">
        <v>598</v>
      </c>
      <c r="L436" s="2">
        <f>sales[[#This Row],[quantity]]*sales[[#This Row],[price]]</f>
        <v>598</v>
      </c>
      <c r="M436" s="9">
        <f>sales[[#This Row],[Total Price]]*3%</f>
        <v>17.939999999999998</v>
      </c>
      <c r="N436" s="171">
        <f>sales[[#This Row],[Total Price]]*2.5%</f>
        <v>14.950000000000001</v>
      </c>
      <c r="O436" s="9">
        <f>sales[[#This Row],[Total Price]]*1.5%</f>
        <v>8.9699999999999989</v>
      </c>
      <c r="Q436" s="2">
        <v>3</v>
      </c>
      <c r="R436" s="5" t="str">
        <f>_xlfn.CONCAT(sales[[#This Row],[Shop]]," ",sales[[#This Row],[Location]])</f>
        <v>Shatin Fortress</v>
      </c>
    </row>
    <row r="437" spans="1:18" ht="16.5" customHeight="1">
      <c r="A437" s="7">
        <v>435</v>
      </c>
      <c r="B437" s="2" t="s">
        <v>1012</v>
      </c>
      <c r="C437" s="2" t="s">
        <v>975</v>
      </c>
      <c r="D437" s="2" t="str">
        <f ca="1">OFFSET(Roster!$B$7, MATCH(B437&amp;" "&amp;C437&amp;"*",Roster!$B$8:$B$20,0),DAY(sales[[#This Row],[date]]),1, 1)</f>
        <v>Margaret</v>
      </c>
      <c r="E437" s="2">
        <f>MONTH(sales[[#This Row],[date]])</f>
        <v>6</v>
      </c>
      <c r="F437" s="233">
        <v>46193</v>
      </c>
      <c r="G437" s="3" t="str">
        <f>VLOOKUP("*"&amp;sales[[#This Row],[Input]]&amp;"*",'Ref-List'!$A:$C,1,0)</f>
        <v>Model-Input-Ref</v>
      </c>
      <c r="H437" s="2" t="str">
        <f>VLOOKUP("*"&amp;G437&amp;"*",'Ref-List'!$A:$C,3,0)</f>
        <v>Product Line</v>
      </c>
      <c r="J437" s="2">
        <v>1</v>
      </c>
      <c r="K437" s="5">
        <v>628</v>
      </c>
      <c r="L437" s="2">
        <f>sales[[#This Row],[quantity]]*sales[[#This Row],[price]]</f>
        <v>628</v>
      </c>
      <c r="M437" s="9">
        <f>sales[[#This Row],[Total Price]]*3%</f>
        <v>18.84</v>
      </c>
      <c r="N437" s="171">
        <f>sales[[#This Row],[Total Price]]*2.5%</f>
        <v>15.700000000000001</v>
      </c>
      <c r="O437" s="9">
        <f>sales[[#This Row],[Total Price]]*1.5%</f>
        <v>9.42</v>
      </c>
      <c r="Q437" s="2">
        <v>4</v>
      </c>
      <c r="R437" s="5" t="str">
        <f>_xlfn.CONCAT(sales[[#This Row],[Shop]]," ",sales[[#This Row],[Location]])</f>
        <v>Shatin Fortress</v>
      </c>
    </row>
    <row r="438" spans="1:18" ht="16.5" customHeight="1">
      <c r="A438" s="7">
        <v>436</v>
      </c>
      <c r="B438" s="2" t="s">
        <v>1012</v>
      </c>
      <c r="C438" s="2" t="s">
        <v>975</v>
      </c>
      <c r="D438" s="2" t="str">
        <f ca="1">OFFSET(Roster!$B$7, MATCH(B438&amp;" "&amp;C438&amp;"*",Roster!$B$8:$B$20,0),DAY(sales[[#This Row],[date]]),1, 1)</f>
        <v>Margaret</v>
      </c>
      <c r="E438" s="2">
        <f>MONTH(sales[[#This Row],[date]])</f>
        <v>6</v>
      </c>
      <c r="F438" s="233">
        <v>46193</v>
      </c>
      <c r="G438" s="3" t="str">
        <f>VLOOKUP("*"&amp;sales[[#This Row],[Input]]&amp;"*",'Ref-List'!$A:$C,1,0)</f>
        <v>Model-Input-Ref</v>
      </c>
      <c r="H438" s="2" t="str">
        <f>VLOOKUP("*"&amp;G438&amp;"*",'Ref-List'!$A:$C,3,0)</f>
        <v>Product Line</v>
      </c>
      <c r="J438" s="2">
        <v>1</v>
      </c>
      <c r="K438" s="2">
        <v>5588</v>
      </c>
      <c r="L438" s="2">
        <f>sales[[#This Row],[quantity]]*sales[[#This Row],[price]]</f>
        <v>5588</v>
      </c>
      <c r="M438" s="9">
        <f>sales[[#This Row],[Total Price]]*3%</f>
        <v>167.64</v>
      </c>
      <c r="N438" s="171">
        <f>sales[[#This Row],[Total Price]]*2.5%</f>
        <v>139.70000000000002</v>
      </c>
      <c r="O438" s="9">
        <f>sales[[#This Row],[Total Price]]*1.5%</f>
        <v>83.82</v>
      </c>
      <c r="Q438" s="2">
        <v>4</v>
      </c>
      <c r="R438" s="5" t="str">
        <f>_xlfn.CONCAT(sales[[#This Row],[Shop]]," ",sales[[#This Row],[Location]])</f>
        <v>Shatin Fortress</v>
      </c>
    </row>
    <row r="439" spans="1:18" ht="16.5" customHeight="1">
      <c r="A439" s="7">
        <v>437</v>
      </c>
      <c r="B439" s="2" t="s">
        <v>1012</v>
      </c>
      <c r="C439" s="2" t="s">
        <v>975</v>
      </c>
      <c r="D439" s="2" t="str">
        <f ca="1">OFFSET(Roster!$B$7, MATCH(B439&amp;" "&amp;C439&amp;"*",Roster!$B$8:$B$20,0),DAY(sales[[#This Row],[date]]),1, 1)</f>
        <v>Margaret</v>
      </c>
      <c r="E439" s="2">
        <f>MONTH(sales[[#This Row],[date]])</f>
        <v>6</v>
      </c>
      <c r="F439" s="233">
        <v>46193</v>
      </c>
      <c r="G439" s="3" t="str">
        <f>VLOOKUP("*"&amp;sales[[#This Row],[Input]]&amp;"*",'Ref-List'!$A:$C,1,0)</f>
        <v>Model-Input-Ref</v>
      </c>
      <c r="H439" s="2" t="str">
        <f>VLOOKUP("*"&amp;G439&amp;"*",'Ref-List'!$A:$C,3,0)</f>
        <v>Product Line</v>
      </c>
      <c r="J439" s="2">
        <v>1</v>
      </c>
      <c r="K439" s="2">
        <v>3988</v>
      </c>
      <c r="L439" s="2">
        <f>sales[[#This Row],[quantity]]*sales[[#This Row],[price]]</f>
        <v>3988</v>
      </c>
      <c r="M439" s="9">
        <f>sales[[#This Row],[Total Price]]*3%</f>
        <v>119.64</v>
      </c>
      <c r="N439" s="171">
        <f>sales[[#This Row],[Total Price]]*2.5%</f>
        <v>99.7</v>
      </c>
      <c r="O439" s="9">
        <f>sales[[#This Row],[Total Price]]*1.5%</f>
        <v>59.82</v>
      </c>
      <c r="Q439" s="2">
        <v>4</v>
      </c>
      <c r="R439" s="5" t="str">
        <f>_xlfn.CONCAT(sales[[#This Row],[Shop]]," ",sales[[#This Row],[Location]])</f>
        <v>Shatin Fortress</v>
      </c>
    </row>
    <row r="440" spans="1:18" ht="16.5" customHeight="1">
      <c r="A440" s="7">
        <v>438</v>
      </c>
      <c r="B440" s="2" t="s">
        <v>1012</v>
      </c>
      <c r="C440" s="2" t="s">
        <v>975</v>
      </c>
      <c r="D440" s="2" t="str">
        <f ca="1">OFFSET(Roster!$B$7, MATCH(B440&amp;" "&amp;C440&amp;"*",Roster!$B$8:$B$20,0),DAY(sales[[#This Row],[date]]),1, 1)</f>
        <v>Margaret</v>
      </c>
      <c r="E440" s="2">
        <f>MONTH(sales[[#This Row],[date]])</f>
        <v>6</v>
      </c>
      <c r="F440" s="233">
        <v>46193</v>
      </c>
      <c r="G440" s="3" t="str">
        <f>VLOOKUP("*"&amp;sales[[#This Row],[Input]]&amp;"*",'Ref-List'!$A:$C,1,0)</f>
        <v>Model-Input-Ref</v>
      </c>
      <c r="H440" s="2" t="str">
        <f>VLOOKUP("*"&amp;G440&amp;"*",'Ref-List'!$A:$C,3,0)</f>
        <v>Product Line</v>
      </c>
      <c r="J440" s="2">
        <v>1</v>
      </c>
      <c r="K440" s="2">
        <v>2388</v>
      </c>
      <c r="L440" s="2">
        <f>sales[[#This Row],[quantity]]*sales[[#This Row],[price]]</f>
        <v>2388</v>
      </c>
      <c r="M440" s="9">
        <f>sales[[#This Row],[Total Price]]*3%</f>
        <v>71.64</v>
      </c>
      <c r="N440" s="171">
        <f>sales[[#This Row],[Total Price]]*2.5%</f>
        <v>59.7</v>
      </c>
      <c r="O440" s="9">
        <f>sales[[#This Row],[Total Price]]*1.5%</f>
        <v>35.82</v>
      </c>
      <c r="Q440" s="2">
        <v>4</v>
      </c>
      <c r="R440" s="5" t="str">
        <f>_xlfn.CONCAT(sales[[#This Row],[Shop]]," ",sales[[#This Row],[Location]])</f>
        <v>Shatin Fortress</v>
      </c>
    </row>
    <row r="441" spans="1:18" ht="16.5" customHeight="1">
      <c r="A441" s="7">
        <v>439</v>
      </c>
      <c r="B441" s="2" t="s">
        <v>1012</v>
      </c>
      <c r="C441" s="2" t="s">
        <v>975</v>
      </c>
      <c r="D441" s="2" t="str">
        <f ca="1">OFFSET(Roster!$B$7, MATCH(B441&amp;" "&amp;C441&amp;"*",Roster!$B$8:$B$20,0),DAY(sales[[#This Row],[date]]),1, 1)</f>
        <v>Margaret</v>
      </c>
      <c r="E441" s="2">
        <f>MONTH(sales[[#This Row],[date]])</f>
        <v>6</v>
      </c>
      <c r="F441" s="233">
        <v>46193</v>
      </c>
      <c r="G441" s="3" t="str">
        <f>VLOOKUP("*"&amp;sales[[#This Row],[Input]]&amp;"*",'Ref-List'!$A:$C,1,0)</f>
        <v>Model-Input-Ref</v>
      </c>
      <c r="H441" s="2" t="str">
        <f>VLOOKUP("*"&amp;G441&amp;"*",'Ref-List'!$A:$C,3,0)</f>
        <v>Product Line</v>
      </c>
      <c r="J441" s="2">
        <v>1</v>
      </c>
      <c r="K441" s="2">
        <v>598</v>
      </c>
      <c r="L441" s="2">
        <f>sales[[#This Row],[quantity]]*sales[[#This Row],[price]]</f>
        <v>598</v>
      </c>
      <c r="M441" s="9">
        <f>sales[[#This Row],[Total Price]]*3%</f>
        <v>17.939999999999998</v>
      </c>
      <c r="N441" s="171">
        <f>sales[[#This Row],[Total Price]]*2.5%</f>
        <v>14.950000000000001</v>
      </c>
      <c r="O441" s="9">
        <f>sales[[#This Row],[Total Price]]*1.5%</f>
        <v>8.9699999999999989</v>
      </c>
      <c r="Q441" s="2">
        <v>4</v>
      </c>
      <c r="R441" s="5" t="str">
        <f>_xlfn.CONCAT(sales[[#This Row],[Shop]]," ",sales[[#This Row],[Location]])</f>
        <v>Shatin Fortress</v>
      </c>
    </row>
    <row r="442" spans="1:18" ht="16.5" customHeight="1">
      <c r="A442" s="7">
        <v>440</v>
      </c>
      <c r="B442" s="2" t="s">
        <v>1012</v>
      </c>
      <c r="C442" s="2" t="s">
        <v>975</v>
      </c>
      <c r="D442" s="2" t="str">
        <f ca="1">OFFSET(Roster!$B$7, MATCH(B442&amp;" "&amp;C442&amp;"*",Roster!$B$8:$B$20,0),DAY(sales[[#This Row],[date]]),1, 1)</f>
        <v>Margaret</v>
      </c>
      <c r="E442" s="2">
        <f>MONTH(sales[[#This Row],[date]])</f>
        <v>6</v>
      </c>
      <c r="F442" s="233">
        <v>46193</v>
      </c>
      <c r="G442" s="3" t="str">
        <f>VLOOKUP("*"&amp;sales[[#This Row],[Input]]&amp;"*",'Ref-List'!$A:$C,1,0)</f>
        <v>Model-Input-Ref</v>
      </c>
      <c r="H442" s="2" t="str">
        <f>VLOOKUP("*"&amp;G442&amp;"*",'Ref-List'!$A:$C,3,0)</f>
        <v>Product Line</v>
      </c>
      <c r="J442" s="2">
        <v>1</v>
      </c>
      <c r="K442" s="2">
        <v>628</v>
      </c>
      <c r="L442" s="2">
        <f>sales[[#This Row],[quantity]]*sales[[#This Row],[price]]</f>
        <v>628</v>
      </c>
      <c r="M442" s="9">
        <f>sales[[#This Row],[Total Price]]*3%</f>
        <v>18.84</v>
      </c>
      <c r="N442" s="171">
        <f>sales[[#This Row],[Total Price]]*2.5%</f>
        <v>15.700000000000001</v>
      </c>
      <c r="O442" s="9">
        <f>sales[[#This Row],[Total Price]]*1.5%</f>
        <v>9.42</v>
      </c>
      <c r="Q442" s="2">
        <v>4</v>
      </c>
      <c r="R442" s="5" t="str">
        <f>_xlfn.CONCAT(sales[[#This Row],[Shop]]," ",sales[[#This Row],[Location]])</f>
        <v>Shatin Fortress</v>
      </c>
    </row>
    <row r="443" spans="1:18" ht="16.5" customHeight="1">
      <c r="A443" s="7">
        <v>441</v>
      </c>
      <c r="B443" s="2" t="s">
        <v>1012</v>
      </c>
      <c r="C443" s="2" t="s">
        <v>975</v>
      </c>
      <c r="D443" s="2" t="str">
        <f ca="1">OFFSET(Roster!$B$7, MATCH(B443&amp;" "&amp;C443&amp;"*",Roster!$B$8:$B$20,0),DAY(sales[[#This Row],[date]]),1, 1)</f>
        <v>Margaret</v>
      </c>
      <c r="E443" s="2">
        <f>MONTH(sales[[#This Row],[date]])</f>
        <v>6</v>
      </c>
      <c r="F443" s="233">
        <v>46194</v>
      </c>
      <c r="G443" s="3" t="str">
        <f>VLOOKUP("*"&amp;sales[[#This Row],[Input]]&amp;"*",'Ref-List'!$A:$C,1,0)</f>
        <v>Model-Input-Ref</v>
      </c>
      <c r="H443" s="2" t="str">
        <f>VLOOKUP("*"&amp;G443&amp;"*",'Ref-List'!$A:$C,3,0)</f>
        <v>Product Line</v>
      </c>
      <c r="J443" s="2">
        <v>1</v>
      </c>
      <c r="K443" s="2">
        <v>168</v>
      </c>
      <c r="L443" s="2">
        <f>sales[[#This Row],[quantity]]*sales[[#This Row],[price]]</f>
        <v>168</v>
      </c>
      <c r="M443" s="9">
        <f>sales[[#This Row],[Total Price]]*3%</f>
        <v>5.04</v>
      </c>
      <c r="N443" s="171">
        <f>sales[[#This Row],[Total Price]]*2.5%</f>
        <v>4.2</v>
      </c>
      <c r="O443" s="9">
        <f>sales[[#This Row],[Total Price]]*1.5%</f>
        <v>2.52</v>
      </c>
      <c r="Q443" s="2">
        <v>4</v>
      </c>
      <c r="R443" s="5" t="str">
        <f>_xlfn.CONCAT(sales[[#This Row],[Shop]]," ",sales[[#This Row],[Location]])</f>
        <v>Shatin Fortress</v>
      </c>
    </row>
    <row r="444" spans="1:18" ht="16.5" customHeight="1">
      <c r="A444" s="7">
        <v>442</v>
      </c>
      <c r="B444" s="2" t="s">
        <v>1012</v>
      </c>
      <c r="C444" s="2" t="s">
        <v>975</v>
      </c>
      <c r="D444" s="2" t="str">
        <f ca="1">OFFSET(Roster!$B$7, MATCH(B444&amp;" "&amp;C444&amp;"*",Roster!$B$8:$B$20,0),DAY(sales[[#This Row],[date]]),1, 1)</f>
        <v>Margaret</v>
      </c>
      <c r="E444" s="2">
        <f>MONTH(sales[[#This Row],[date]])</f>
        <v>6</v>
      </c>
      <c r="F444" s="233">
        <v>46194</v>
      </c>
      <c r="G444" s="3" t="str">
        <f>VLOOKUP("*"&amp;sales[[#This Row],[Input]]&amp;"*",'Ref-List'!$A:$C,1,0)</f>
        <v>Model-Input-Ref</v>
      </c>
      <c r="H444" s="2" t="str">
        <f>VLOOKUP("*"&amp;G444&amp;"*",'Ref-List'!$A:$C,3,0)</f>
        <v>Product Line</v>
      </c>
      <c r="J444" s="2">
        <v>1</v>
      </c>
      <c r="K444" s="2">
        <v>628</v>
      </c>
      <c r="L444" s="2">
        <f>sales[[#This Row],[quantity]]*sales[[#This Row],[price]]</f>
        <v>628</v>
      </c>
      <c r="M444" s="9">
        <f>sales[[#This Row],[Total Price]]*3%</f>
        <v>18.84</v>
      </c>
      <c r="N444" s="171">
        <f>sales[[#This Row],[Total Price]]*2.5%</f>
        <v>15.700000000000001</v>
      </c>
      <c r="O444" s="9">
        <f>sales[[#This Row],[Total Price]]*1.5%</f>
        <v>9.42</v>
      </c>
      <c r="Q444" s="2">
        <v>4</v>
      </c>
      <c r="R444" s="5" t="str">
        <f>_xlfn.CONCAT(sales[[#This Row],[Shop]]," ",sales[[#This Row],[Location]])</f>
        <v>Shatin Fortress</v>
      </c>
    </row>
    <row r="445" spans="1:18" ht="16.5" customHeight="1">
      <c r="A445" s="7">
        <v>443</v>
      </c>
      <c r="B445" s="2" t="s">
        <v>1012</v>
      </c>
      <c r="C445" s="2" t="s">
        <v>975</v>
      </c>
      <c r="D445" s="2" t="str">
        <f ca="1">OFFSET(Roster!$B$7, MATCH(B445&amp;" "&amp;C445&amp;"*",Roster!$B$8:$B$20,0),DAY(sales[[#This Row],[date]]),1, 1)</f>
        <v>Margaret</v>
      </c>
      <c r="E445" s="2">
        <f>MONTH(sales[[#This Row],[date]])</f>
        <v>6</v>
      </c>
      <c r="F445" s="233">
        <v>46194</v>
      </c>
      <c r="G445" s="3" t="str">
        <f>VLOOKUP("*"&amp;sales[[#This Row],[Input]]&amp;"*",'Ref-List'!$A:$C,1,0)</f>
        <v>Model-Input-Ref</v>
      </c>
      <c r="H445" s="2" t="str">
        <f>VLOOKUP("*"&amp;G445&amp;"*",'Ref-List'!$A:$C,3,0)</f>
        <v>Product Line</v>
      </c>
      <c r="J445" s="2">
        <v>1</v>
      </c>
      <c r="K445" s="2">
        <v>598</v>
      </c>
      <c r="L445" s="2">
        <f>sales[[#This Row],[quantity]]*sales[[#This Row],[price]]</f>
        <v>598</v>
      </c>
      <c r="M445" s="9">
        <f>sales[[#This Row],[Total Price]]*3%</f>
        <v>17.939999999999998</v>
      </c>
      <c r="N445" s="171">
        <f>sales[[#This Row],[Total Price]]*2.5%</f>
        <v>14.950000000000001</v>
      </c>
      <c r="O445" s="9">
        <f>sales[[#This Row],[Total Price]]*1.5%</f>
        <v>8.9699999999999989</v>
      </c>
      <c r="Q445" s="2">
        <v>4</v>
      </c>
      <c r="R445" s="5" t="str">
        <f>_xlfn.CONCAT(sales[[#This Row],[Shop]]," ",sales[[#This Row],[Location]])</f>
        <v>Shatin Fortress</v>
      </c>
    </row>
    <row r="446" spans="1:18" ht="17.25" customHeight="1">
      <c r="A446" s="7">
        <v>444</v>
      </c>
      <c r="B446" s="2" t="s">
        <v>1012</v>
      </c>
      <c r="C446" s="2" t="s">
        <v>975</v>
      </c>
      <c r="D446" s="2" t="str">
        <f ca="1">OFFSET(Roster!$B$7, MATCH(B446&amp;" "&amp;C446&amp;"*",Roster!$B$8:$B$20,0),DAY(sales[[#This Row],[date]]),1, 1)</f>
        <v>Margaret</v>
      </c>
      <c r="E446" s="2">
        <f>MONTH(sales[[#This Row],[date]])</f>
        <v>6</v>
      </c>
      <c r="F446" s="233">
        <v>46194</v>
      </c>
      <c r="G446" s="3" t="str">
        <f>VLOOKUP("*"&amp;sales[[#This Row],[Input]]&amp;"*",'Ref-List'!$A:$C,1,0)</f>
        <v>Model-Input-Ref</v>
      </c>
      <c r="H446" s="2" t="str">
        <f>VLOOKUP("*"&amp;G446&amp;"*",'Ref-List'!$A:$C,3,0)</f>
        <v>Product Line</v>
      </c>
      <c r="J446" s="2">
        <v>1</v>
      </c>
      <c r="K446" s="2">
        <v>628</v>
      </c>
      <c r="L446" s="2">
        <f>sales[[#This Row],[quantity]]*sales[[#This Row],[price]]</f>
        <v>628</v>
      </c>
      <c r="M446" s="9">
        <f>sales[[#This Row],[Total Price]]*3%</f>
        <v>18.84</v>
      </c>
      <c r="N446" s="171">
        <f>sales[[#This Row],[Total Price]]*2.5%</f>
        <v>15.700000000000001</v>
      </c>
      <c r="O446" s="9">
        <f>sales[[#This Row],[Total Price]]*1.5%</f>
        <v>9.42</v>
      </c>
      <c r="Q446" s="2">
        <v>4</v>
      </c>
      <c r="R446" s="5" t="str">
        <f>_xlfn.CONCAT(sales[[#This Row],[Shop]]," ",sales[[#This Row],[Location]])</f>
        <v>Shatin Fortress</v>
      </c>
    </row>
    <row r="447" spans="1:18" ht="17.25" customHeight="1">
      <c r="A447" s="7">
        <v>445</v>
      </c>
      <c r="B447" s="2" t="s">
        <v>1012</v>
      </c>
      <c r="C447" s="2" t="s">
        <v>975</v>
      </c>
      <c r="D447" s="2" t="str">
        <f ca="1">OFFSET(Roster!$B$7, MATCH(B447&amp;" "&amp;C447&amp;"*",Roster!$B$8:$B$20,0),DAY(sales[[#This Row],[date]]),1, 1)</f>
        <v>Margaret</v>
      </c>
      <c r="E447" s="2">
        <f>MONTH(sales[[#This Row],[date]])</f>
        <v>6</v>
      </c>
      <c r="F447" s="233">
        <v>46194</v>
      </c>
      <c r="G447" s="3" t="str">
        <f>VLOOKUP("*"&amp;sales[[#This Row],[Input]]&amp;"*",'Ref-List'!$A:$C,1,0)</f>
        <v>Model-Input-Ref</v>
      </c>
      <c r="H447" s="2" t="str">
        <f>VLOOKUP("*"&amp;G447&amp;"*",'Ref-List'!$A:$C,3,0)</f>
        <v>Product Line</v>
      </c>
      <c r="J447" s="2">
        <v>1</v>
      </c>
      <c r="K447" s="2">
        <v>676</v>
      </c>
      <c r="L447" s="2">
        <f>sales[[#This Row],[quantity]]*sales[[#This Row],[price]]</f>
        <v>676</v>
      </c>
      <c r="M447" s="9">
        <f>sales[[#This Row],[Total Price]]*3%</f>
        <v>20.279999999999998</v>
      </c>
      <c r="N447" s="171">
        <f>sales[[#This Row],[Total Price]]*2.5%</f>
        <v>16.900000000000002</v>
      </c>
      <c r="O447" s="9">
        <f>sales[[#This Row],[Total Price]]*1.5%</f>
        <v>10.139999999999999</v>
      </c>
      <c r="Q447" s="2">
        <v>4</v>
      </c>
      <c r="R447" s="5" t="str">
        <f>_xlfn.CONCAT(sales[[#This Row],[Shop]]," ",sales[[#This Row],[Location]])</f>
        <v>Shatin Fortress</v>
      </c>
    </row>
    <row r="448" spans="1:18" ht="17.25" customHeight="1">
      <c r="A448" s="7">
        <v>446</v>
      </c>
      <c r="B448" s="2" t="s">
        <v>1012</v>
      </c>
      <c r="C448" s="2" t="s">
        <v>975</v>
      </c>
      <c r="D448" s="2" t="str">
        <f ca="1">OFFSET(Roster!$B$7, MATCH(B448&amp;" "&amp;C448&amp;"*",Roster!$B$8:$B$20,0),DAY(sales[[#This Row],[date]]),1, 1)</f>
        <v>Margaret</v>
      </c>
      <c r="E448" s="2">
        <f>MONTH(sales[[#This Row],[date]])</f>
        <v>6</v>
      </c>
      <c r="F448" s="233">
        <v>46194</v>
      </c>
      <c r="G448" s="3" t="str">
        <f>VLOOKUP("*"&amp;sales[[#This Row],[Input]]&amp;"*",'Ref-List'!$A:$C,1,0)</f>
        <v>Model-Input-Ref</v>
      </c>
      <c r="H448" s="2" t="str">
        <f>VLOOKUP("*"&amp;G448&amp;"*",'Ref-List'!$A:$C,3,0)</f>
        <v>Product Line</v>
      </c>
      <c r="J448" s="2">
        <v>1</v>
      </c>
      <c r="K448" s="2">
        <v>1256</v>
      </c>
      <c r="L448" s="2">
        <f>sales[[#This Row],[quantity]]*sales[[#This Row],[price]]</f>
        <v>1256</v>
      </c>
      <c r="M448" s="9">
        <f>sales[[#This Row],[Total Price]]*3%</f>
        <v>37.68</v>
      </c>
      <c r="N448" s="171">
        <f>sales[[#This Row],[Total Price]]*2.5%</f>
        <v>31.400000000000002</v>
      </c>
      <c r="O448" s="9">
        <f>sales[[#This Row],[Total Price]]*1.5%</f>
        <v>18.84</v>
      </c>
      <c r="Q448" s="2">
        <v>4</v>
      </c>
      <c r="R448" s="5" t="str">
        <f>_xlfn.CONCAT(sales[[#This Row],[Shop]]," ",sales[[#This Row],[Location]])</f>
        <v>Shatin Fortress</v>
      </c>
    </row>
    <row r="449" spans="1:18" ht="17.25" customHeight="1">
      <c r="A449" s="7">
        <v>447</v>
      </c>
      <c r="B449" s="2" t="s">
        <v>1012</v>
      </c>
      <c r="C449" s="2" t="s">
        <v>975</v>
      </c>
      <c r="D449" s="2" t="str">
        <f ca="1">OFFSET(Roster!$B$7, MATCH(B449&amp;" "&amp;C449&amp;"*",Roster!$B$8:$B$20,0),DAY(sales[[#This Row],[date]]),1, 1)</f>
        <v>Margaret</v>
      </c>
      <c r="E449" s="2">
        <f>MONTH(sales[[#This Row],[date]])</f>
        <v>6</v>
      </c>
      <c r="F449" s="233">
        <v>46194</v>
      </c>
      <c r="G449" s="3" t="str">
        <f>VLOOKUP("*"&amp;sales[[#This Row],[Input]]&amp;"*",'Ref-List'!$A:$C,1,0)</f>
        <v>Model-Input-Ref</v>
      </c>
      <c r="H449" s="2" t="str">
        <f>VLOOKUP("*"&amp;G449&amp;"*",'Ref-List'!$A:$C,3,0)</f>
        <v>Product Line</v>
      </c>
      <c r="J449" s="2">
        <v>1</v>
      </c>
      <c r="K449" s="2">
        <v>1899</v>
      </c>
      <c r="L449" s="2">
        <f>sales[[#This Row],[quantity]]*sales[[#This Row],[price]]</f>
        <v>1899</v>
      </c>
      <c r="M449" s="9">
        <f>sales[[#This Row],[Total Price]]*3%</f>
        <v>56.97</v>
      </c>
      <c r="N449" s="171">
        <f>sales[[#This Row],[Total Price]]*2.5%</f>
        <v>47.475000000000001</v>
      </c>
      <c r="O449" s="9">
        <f>sales[[#This Row],[Total Price]]*1.5%</f>
        <v>28.484999999999999</v>
      </c>
      <c r="Q449" s="2">
        <v>4</v>
      </c>
      <c r="R449" s="5" t="str">
        <f>_xlfn.CONCAT(sales[[#This Row],[Shop]]," ",sales[[#This Row],[Location]])</f>
        <v>Shatin Fortress</v>
      </c>
    </row>
    <row r="450" spans="1:18" ht="17.25" customHeight="1">
      <c r="A450" s="7">
        <v>448</v>
      </c>
      <c r="B450" s="2" t="s">
        <v>1012</v>
      </c>
      <c r="C450" s="2" t="s">
        <v>975</v>
      </c>
      <c r="D450" s="2" t="str">
        <f ca="1">OFFSET(Roster!$B$7, MATCH(B450&amp;" "&amp;C450&amp;"*",Roster!$B$8:$B$20,0),DAY(sales[[#This Row],[date]]),1, 1)</f>
        <v>Margaret</v>
      </c>
      <c r="E450" s="2">
        <f>MONTH(sales[[#This Row],[date]])</f>
        <v>6</v>
      </c>
      <c r="F450" s="233">
        <v>46194</v>
      </c>
      <c r="G450" s="3" t="str">
        <f>VLOOKUP("*"&amp;sales[[#This Row],[Input]]&amp;"*",'Ref-List'!$A:$C,1,0)</f>
        <v>Model-Input-Ref</v>
      </c>
      <c r="H450" s="2" t="str">
        <f>VLOOKUP("*"&amp;G450&amp;"*",'Ref-List'!$A:$C,3,0)</f>
        <v>Product Line</v>
      </c>
      <c r="J450" s="2">
        <v>1</v>
      </c>
      <c r="K450" s="2">
        <v>1388</v>
      </c>
      <c r="L450" s="2">
        <f>sales[[#This Row],[quantity]]*sales[[#This Row],[price]]</f>
        <v>1388</v>
      </c>
      <c r="M450" s="9">
        <f>sales[[#This Row],[Total Price]]*3%</f>
        <v>41.64</v>
      </c>
      <c r="N450" s="171">
        <f>sales[[#This Row],[Total Price]]*2.5%</f>
        <v>34.700000000000003</v>
      </c>
      <c r="O450" s="9">
        <f>sales[[#This Row],[Total Price]]*1.5%</f>
        <v>20.82</v>
      </c>
      <c r="Q450" s="2">
        <v>4</v>
      </c>
      <c r="R450" s="5" t="str">
        <f>_xlfn.CONCAT(sales[[#This Row],[Shop]]," ",sales[[#This Row],[Location]])</f>
        <v>Shatin Fortress</v>
      </c>
    </row>
    <row r="451" spans="1:18" ht="17.25" customHeight="1">
      <c r="A451" s="7">
        <v>449</v>
      </c>
      <c r="B451" s="2" t="s">
        <v>1012</v>
      </c>
      <c r="C451" s="2" t="s">
        <v>975</v>
      </c>
      <c r="D451" s="2" t="str">
        <f ca="1">OFFSET(Roster!$B$7, MATCH(B451&amp;" "&amp;C451&amp;"*",Roster!$B$8:$B$20,0),DAY(sales[[#This Row],[date]]),1, 1)</f>
        <v>Margaret</v>
      </c>
      <c r="E451" s="2">
        <f>MONTH(sales[[#This Row],[date]])</f>
        <v>6</v>
      </c>
      <c r="F451" s="233">
        <v>46194</v>
      </c>
      <c r="G451" s="3" t="str">
        <f>VLOOKUP("*"&amp;sales[[#This Row],[Input]]&amp;"*",'Ref-List'!$A:$C,1,0)</f>
        <v>Model-Input-Ref</v>
      </c>
      <c r="H451" s="2" t="str">
        <f>VLOOKUP("*"&amp;G451&amp;"*",'Ref-List'!$A:$C,3,0)</f>
        <v>Product Line</v>
      </c>
      <c r="J451" s="2">
        <v>1</v>
      </c>
      <c r="K451" s="2">
        <v>1899</v>
      </c>
      <c r="L451" s="2">
        <f>sales[[#This Row],[quantity]]*sales[[#This Row],[price]]</f>
        <v>1899</v>
      </c>
      <c r="M451" s="9">
        <f>sales[[#This Row],[Total Price]]*3%</f>
        <v>56.97</v>
      </c>
      <c r="N451" s="171">
        <f>sales[[#This Row],[Total Price]]*2.5%</f>
        <v>47.475000000000001</v>
      </c>
      <c r="O451" s="9">
        <f>sales[[#This Row],[Total Price]]*1.5%</f>
        <v>28.484999999999999</v>
      </c>
      <c r="Q451" s="2">
        <v>4</v>
      </c>
      <c r="R451" s="5" t="str">
        <f>_xlfn.CONCAT(sales[[#This Row],[Shop]]," ",sales[[#This Row],[Location]])</f>
        <v>Shatin Fortress</v>
      </c>
    </row>
    <row r="452" spans="1:18" ht="17.25" customHeight="1">
      <c r="A452" s="7">
        <v>450</v>
      </c>
      <c r="B452" s="2" t="s">
        <v>1012</v>
      </c>
      <c r="C452" s="2" t="s">
        <v>975</v>
      </c>
      <c r="D452" s="2" t="str">
        <f ca="1">OFFSET(Roster!$B$7, MATCH(B452&amp;" "&amp;C452&amp;"*",Roster!$B$8:$B$20,0),DAY(sales[[#This Row],[date]]),1, 1)</f>
        <v>Margaret</v>
      </c>
      <c r="E452" s="2">
        <f>MONTH(sales[[#This Row],[date]])</f>
        <v>6</v>
      </c>
      <c r="F452" s="233">
        <v>46194</v>
      </c>
      <c r="G452" s="3" t="str">
        <f>VLOOKUP("*"&amp;sales[[#This Row],[Input]]&amp;"*",'Ref-List'!$A:$C,1,0)</f>
        <v>Model-Input-Ref</v>
      </c>
      <c r="H452" s="2" t="str">
        <f>VLOOKUP("*"&amp;G452&amp;"*",'Ref-List'!$A:$C,3,0)</f>
        <v>Product Line</v>
      </c>
      <c r="J452" s="2">
        <v>1</v>
      </c>
      <c r="K452" s="2">
        <v>1696</v>
      </c>
      <c r="L452" s="2">
        <f>sales[[#This Row],[quantity]]*sales[[#This Row],[price]]</f>
        <v>1696</v>
      </c>
      <c r="M452" s="9">
        <f>sales[[#This Row],[Total Price]]*3%</f>
        <v>50.879999999999995</v>
      </c>
      <c r="N452" s="171">
        <f>sales[[#This Row],[Total Price]]*2.5%</f>
        <v>42.400000000000006</v>
      </c>
      <c r="O452" s="9">
        <f>sales[[#This Row],[Total Price]]*1.5%</f>
        <v>25.439999999999998</v>
      </c>
      <c r="Q452" s="2">
        <v>4</v>
      </c>
      <c r="R452" s="5" t="str">
        <f>_xlfn.CONCAT(sales[[#This Row],[Shop]]," ",sales[[#This Row],[Location]])</f>
        <v>Shatin Fortress</v>
      </c>
    </row>
    <row r="453" spans="1:18" ht="17.25" customHeight="1">
      <c r="A453" s="7">
        <v>451</v>
      </c>
      <c r="B453" s="2" t="s">
        <v>1012</v>
      </c>
      <c r="C453" s="2" t="s">
        <v>975</v>
      </c>
      <c r="D453" s="2" t="str">
        <f ca="1">OFFSET(Roster!$B$7, MATCH(B453&amp;" "&amp;C453&amp;"*",Roster!$B$8:$B$20,0),DAY(sales[[#This Row],[date]]),1, 1)</f>
        <v>Margaret</v>
      </c>
      <c r="E453" s="2">
        <f>MONTH(sales[[#This Row],[date]])</f>
        <v>6</v>
      </c>
      <c r="F453" s="233">
        <v>46194</v>
      </c>
      <c r="G453" s="3" t="str">
        <f>VLOOKUP("*"&amp;sales[[#This Row],[Input]]&amp;"*",'Ref-List'!$A:$C,1,0)</f>
        <v>Model-Input-Ref</v>
      </c>
      <c r="H453" s="2" t="str">
        <f>VLOOKUP("*"&amp;G453&amp;"*",'Ref-List'!$A:$C,3,0)</f>
        <v>Product Line</v>
      </c>
      <c r="J453" s="2">
        <v>1</v>
      </c>
      <c r="K453" s="2">
        <v>848</v>
      </c>
      <c r="L453" s="2">
        <f>sales[[#This Row],[quantity]]*sales[[#This Row],[price]]</f>
        <v>848</v>
      </c>
      <c r="M453" s="9">
        <f>sales[[#This Row],[Total Price]]*3%</f>
        <v>25.439999999999998</v>
      </c>
      <c r="N453" s="171">
        <f>sales[[#This Row],[Total Price]]*2.5%</f>
        <v>21.200000000000003</v>
      </c>
      <c r="O453" s="9">
        <f>sales[[#This Row],[Total Price]]*1.5%</f>
        <v>12.719999999999999</v>
      </c>
      <c r="Q453" s="2">
        <v>4</v>
      </c>
      <c r="R453" s="5" t="str">
        <f>_xlfn.CONCAT(sales[[#This Row],[Shop]]," ",sales[[#This Row],[Location]])</f>
        <v>Shatin Fortress</v>
      </c>
    </row>
    <row r="454" spans="1:18" ht="17.25" customHeight="1">
      <c r="A454" s="7">
        <v>452</v>
      </c>
      <c r="B454" s="2" t="s">
        <v>1012</v>
      </c>
      <c r="C454" s="2" t="s">
        <v>975</v>
      </c>
      <c r="D454" s="2" t="str">
        <f ca="1">OFFSET(Roster!$B$7, MATCH(B454&amp;" "&amp;C454&amp;"*",Roster!$B$8:$B$20,0),DAY(sales[[#This Row],[date]]),1, 1)</f>
        <v>Margaret</v>
      </c>
      <c r="E454" s="2">
        <f>MONTH(sales[[#This Row],[date]])</f>
        <v>6</v>
      </c>
      <c r="F454" s="233">
        <v>46194</v>
      </c>
      <c r="G454" s="3" t="str">
        <f>VLOOKUP("*"&amp;sales[[#This Row],[Input]]&amp;"*",'Ref-List'!$A:$C,1,0)</f>
        <v>Model-Input-Ref</v>
      </c>
      <c r="H454" s="2" t="str">
        <f>VLOOKUP("*"&amp;G454&amp;"*",'Ref-List'!$A:$C,3,0)</f>
        <v>Product Line</v>
      </c>
      <c r="J454" s="2">
        <v>1</v>
      </c>
      <c r="K454" s="2">
        <v>628</v>
      </c>
      <c r="L454" s="2">
        <f>sales[[#This Row],[quantity]]*sales[[#This Row],[price]]</f>
        <v>628</v>
      </c>
      <c r="M454" s="9">
        <f>sales[[#This Row],[Total Price]]*3%</f>
        <v>18.84</v>
      </c>
      <c r="N454" s="171">
        <f>sales[[#This Row],[Total Price]]*2.5%</f>
        <v>15.700000000000001</v>
      </c>
      <c r="O454" s="9">
        <f>sales[[#This Row],[Total Price]]*1.5%</f>
        <v>9.42</v>
      </c>
      <c r="Q454" s="2">
        <v>4</v>
      </c>
      <c r="R454" s="5" t="str">
        <f>_xlfn.CONCAT(sales[[#This Row],[Shop]]," ",sales[[#This Row],[Location]])</f>
        <v>Shatin Fortress</v>
      </c>
    </row>
    <row r="455" spans="1:18" ht="17.25" customHeight="1">
      <c r="A455" s="7">
        <v>453</v>
      </c>
      <c r="B455" s="2" t="s">
        <v>1012</v>
      </c>
      <c r="C455" s="2" t="s">
        <v>975</v>
      </c>
      <c r="D455" s="2" t="str">
        <f ca="1">OFFSET(Roster!$B$7, MATCH(B455&amp;" "&amp;C455&amp;"*",Roster!$B$8:$B$20,0),DAY(sales[[#This Row],[date]]),1, 1)</f>
        <v>Margaret</v>
      </c>
      <c r="E455" s="2">
        <f>MONTH(sales[[#This Row],[date]])</f>
        <v>6</v>
      </c>
      <c r="F455" s="233">
        <v>46194</v>
      </c>
      <c r="G455" s="3" t="str">
        <f>VLOOKUP("*"&amp;sales[[#This Row],[Input]]&amp;"*",'Ref-List'!$A:$C,1,0)</f>
        <v>Model-Input-Ref</v>
      </c>
      <c r="H455" s="2" t="str">
        <f>VLOOKUP("*"&amp;G455&amp;"*",'Ref-List'!$A:$C,3,0)</f>
        <v>Product Line</v>
      </c>
      <c r="J455" s="2">
        <v>1</v>
      </c>
      <c r="K455" s="2">
        <v>848</v>
      </c>
      <c r="L455" s="2">
        <f>sales[[#This Row],[quantity]]*sales[[#This Row],[price]]</f>
        <v>848</v>
      </c>
      <c r="M455" s="9">
        <f>sales[[#This Row],[Total Price]]*3%</f>
        <v>25.439999999999998</v>
      </c>
      <c r="N455" s="171">
        <f>sales[[#This Row],[Total Price]]*2.5%</f>
        <v>21.200000000000003</v>
      </c>
      <c r="O455" s="9">
        <f>sales[[#This Row],[Total Price]]*1.5%</f>
        <v>12.719999999999999</v>
      </c>
      <c r="Q455" s="2">
        <v>4</v>
      </c>
      <c r="R455" s="5" t="str">
        <f>_xlfn.CONCAT(sales[[#This Row],[Shop]]," ",sales[[#This Row],[Location]])</f>
        <v>Shatin Fortress</v>
      </c>
    </row>
    <row r="456" spans="1:18" ht="17.25" customHeight="1">
      <c r="A456" s="7">
        <v>454</v>
      </c>
      <c r="B456" s="2" t="s">
        <v>1012</v>
      </c>
      <c r="C456" s="2" t="s">
        <v>975</v>
      </c>
      <c r="D456" s="2" t="str">
        <f ca="1">OFFSET(Roster!$B$7, MATCH(B456&amp;" "&amp;C456&amp;"*",Roster!$B$8:$B$20,0),DAY(sales[[#This Row],[date]]),1, 1)</f>
        <v>Margaret</v>
      </c>
      <c r="E456" s="2">
        <f>MONTH(sales[[#This Row],[date]])</f>
        <v>6</v>
      </c>
      <c r="F456" s="233">
        <v>46194</v>
      </c>
      <c r="G456" s="3" t="str">
        <f>VLOOKUP("*"&amp;sales[[#This Row],[Input]]&amp;"*",'Ref-List'!$A:$C,1,0)</f>
        <v>Model-Input-Ref</v>
      </c>
      <c r="H456" s="2" t="str">
        <f>VLOOKUP("*"&amp;G456&amp;"*",'Ref-List'!$A:$C,3,0)</f>
        <v>Product Line</v>
      </c>
      <c r="J456" s="2">
        <v>1</v>
      </c>
      <c r="K456" s="2">
        <v>4288</v>
      </c>
      <c r="L456" s="2">
        <f>sales[[#This Row],[quantity]]*sales[[#This Row],[price]]</f>
        <v>4288</v>
      </c>
      <c r="M456" s="9">
        <f>sales[[#This Row],[Total Price]]*3%</f>
        <v>128.63999999999999</v>
      </c>
      <c r="N456" s="171">
        <f>sales[[#This Row],[Total Price]]*2.5%</f>
        <v>107.2</v>
      </c>
      <c r="O456" s="9">
        <f>sales[[#This Row],[Total Price]]*1.5%</f>
        <v>64.319999999999993</v>
      </c>
      <c r="Q456" s="2">
        <v>4</v>
      </c>
      <c r="R456" s="5" t="str">
        <f>_xlfn.CONCAT(sales[[#This Row],[Shop]]," ",sales[[#This Row],[Location]])</f>
        <v>Shatin Fortress</v>
      </c>
    </row>
    <row r="457" spans="1:18" ht="17.25" customHeight="1">
      <c r="A457" s="7">
        <v>455</v>
      </c>
      <c r="B457" s="2" t="s">
        <v>1012</v>
      </c>
      <c r="C457" s="2" t="s">
        <v>975</v>
      </c>
      <c r="D457" s="2" t="str">
        <f ca="1">OFFSET(Roster!$B$7, MATCH(B457&amp;" "&amp;C457&amp;"*",Roster!$B$8:$B$20,0),DAY(sales[[#This Row],[date]]),1, 1)</f>
        <v>Margaret</v>
      </c>
      <c r="E457" s="2">
        <f>MONTH(sales[[#This Row],[date]])</f>
        <v>6</v>
      </c>
      <c r="F457" s="233">
        <v>46194</v>
      </c>
      <c r="G457" s="3" t="str">
        <f>VLOOKUP("*"&amp;sales[[#This Row],[Input]]&amp;"*",'Ref-List'!$A:$C,1,0)</f>
        <v>Model-Input-Ref</v>
      </c>
      <c r="H457" s="2" t="str">
        <f>VLOOKUP("*"&amp;G457&amp;"*",'Ref-List'!$A:$C,3,0)</f>
        <v>Product Line</v>
      </c>
      <c r="J457" s="2">
        <v>1</v>
      </c>
      <c r="K457" s="2">
        <v>848</v>
      </c>
      <c r="L457" s="2">
        <f>sales[[#This Row],[quantity]]*sales[[#This Row],[price]]</f>
        <v>848</v>
      </c>
      <c r="M457" s="9">
        <f>sales[[#This Row],[Total Price]]*3%</f>
        <v>25.439999999999998</v>
      </c>
      <c r="N457" s="171">
        <f>sales[[#This Row],[Total Price]]*2.5%</f>
        <v>21.200000000000003</v>
      </c>
      <c r="O457" s="9">
        <f>sales[[#This Row],[Total Price]]*1.5%</f>
        <v>12.719999999999999</v>
      </c>
      <c r="Q457" s="2">
        <v>4</v>
      </c>
      <c r="R457" s="5" t="str">
        <f>_xlfn.CONCAT(sales[[#This Row],[Shop]]," ",sales[[#This Row],[Location]])</f>
        <v>Shatin Fortress</v>
      </c>
    </row>
    <row r="458" spans="1:18" ht="17.25" customHeight="1">
      <c r="A458" s="7">
        <v>456</v>
      </c>
      <c r="B458" s="2" t="s">
        <v>1012</v>
      </c>
      <c r="C458" s="2" t="s">
        <v>975</v>
      </c>
      <c r="D458" s="2" t="str">
        <f ca="1">OFFSET(Roster!$B$7, MATCH(B458&amp;" "&amp;C458&amp;"*",Roster!$B$8:$B$20,0),DAY(sales[[#This Row],[date]]),1, 1)</f>
        <v>Margaret</v>
      </c>
      <c r="E458" s="2">
        <f>MONTH(sales[[#This Row],[date]])</f>
        <v>6</v>
      </c>
      <c r="F458" s="233">
        <v>46194</v>
      </c>
      <c r="G458" s="3" t="str">
        <f>VLOOKUP("*"&amp;sales[[#This Row],[Input]]&amp;"*",'Ref-List'!$A:$C,1,0)</f>
        <v>Model-Input-Ref</v>
      </c>
      <c r="H458" s="2" t="str">
        <f>VLOOKUP("*"&amp;G458&amp;"*",'Ref-List'!$A:$C,3,0)</f>
        <v>Product Line</v>
      </c>
      <c r="J458" s="2">
        <v>1</v>
      </c>
      <c r="K458" s="2">
        <v>1899</v>
      </c>
      <c r="L458" s="2">
        <f>sales[[#This Row],[quantity]]*sales[[#This Row],[price]]</f>
        <v>1899</v>
      </c>
      <c r="M458" s="9">
        <f>sales[[#This Row],[Total Price]]*3%</f>
        <v>56.97</v>
      </c>
      <c r="N458" s="171">
        <f>sales[[#This Row],[Total Price]]*2.5%</f>
        <v>47.475000000000001</v>
      </c>
      <c r="O458" s="9">
        <f>sales[[#This Row],[Total Price]]*1.5%</f>
        <v>28.484999999999999</v>
      </c>
      <c r="Q458" s="2">
        <v>4</v>
      </c>
      <c r="R458" s="5" t="str">
        <f>_xlfn.CONCAT(sales[[#This Row],[Shop]]," ",sales[[#This Row],[Location]])</f>
        <v>Shatin Fortress</v>
      </c>
    </row>
    <row r="459" spans="1:18" ht="17.25" customHeight="1">
      <c r="A459" s="7">
        <v>457</v>
      </c>
      <c r="B459" s="2" t="s">
        <v>1012</v>
      </c>
      <c r="C459" s="2" t="s">
        <v>975</v>
      </c>
      <c r="D459" s="2" t="str">
        <f ca="1">OFFSET(Roster!$B$7, MATCH(B459&amp;" "&amp;C459&amp;"*",Roster!$B$8:$B$20,0),DAY(sales[[#This Row],[date]]),1, 1)</f>
        <v>Margaret</v>
      </c>
      <c r="E459" s="2">
        <f>MONTH(sales[[#This Row],[date]])</f>
        <v>6</v>
      </c>
      <c r="F459" s="233">
        <v>46194</v>
      </c>
      <c r="G459" s="3" t="str">
        <f>VLOOKUP("*"&amp;sales[[#This Row],[Input]]&amp;"*",'Ref-List'!$A:$C,1,0)</f>
        <v>Model-Input-Ref</v>
      </c>
      <c r="H459" s="2" t="str">
        <f>VLOOKUP("*"&amp;G459&amp;"*",'Ref-List'!$A:$C,3,0)</f>
        <v>Product Line</v>
      </c>
      <c r="J459" s="2">
        <v>1</v>
      </c>
      <c r="K459" s="2">
        <v>2688</v>
      </c>
      <c r="L459" s="2">
        <f>sales[[#This Row],[quantity]]*sales[[#This Row],[price]]</f>
        <v>2688</v>
      </c>
      <c r="M459" s="9">
        <f>sales[[#This Row],[Total Price]]*3%</f>
        <v>80.64</v>
      </c>
      <c r="N459" s="171">
        <f>sales[[#This Row],[Total Price]]*2.5%</f>
        <v>67.2</v>
      </c>
      <c r="O459" s="9">
        <f>sales[[#This Row],[Total Price]]*1.5%</f>
        <v>40.32</v>
      </c>
      <c r="Q459" s="2">
        <v>4</v>
      </c>
      <c r="R459" s="5" t="str">
        <f>_xlfn.CONCAT(sales[[#This Row],[Shop]]," ",sales[[#This Row],[Location]])</f>
        <v>Shatin Fortress</v>
      </c>
    </row>
    <row r="460" spans="1:18" ht="17.25" customHeight="1">
      <c r="A460" s="7">
        <v>458</v>
      </c>
      <c r="B460" s="2" t="s">
        <v>1012</v>
      </c>
      <c r="C460" s="2" t="s">
        <v>975</v>
      </c>
      <c r="D460" s="2" t="str">
        <f ca="1">OFFSET(Roster!$B$7, MATCH(B460&amp;" "&amp;C460&amp;"*",Roster!$B$8:$B$20,0),DAY(sales[[#This Row],[date]]),1, 1)</f>
        <v>Margaret</v>
      </c>
      <c r="E460" s="2">
        <f>MONTH(sales[[#This Row],[date]])</f>
        <v>6</v>
      </c>
      <c r="F460" s="233">
        <v>46194</v>
      </c>
      <c r="G460" s="3" t="str">
        <f>VLOOKUP("*"&amp;sales[[#This Row],[Input]]&amp;"*",'Ref-List'!$A:$C,1,0)</f>
        <v>Model-Input-Ref</v>
      </c>
      <c r="H460" s="2" t="str">
        <f>VLOOKUP("*"&amp;G460&amp;"*",'Ref-List'!$A:$C,3,0)</f>
        <v>Product Line</v>
      </c>
      <c r="J460" s="2">
        <v>1</v>
      </c>
      <c r="K460" s="2">
        <v>868</v>
      </c>
      <c r="L460" s="2">
        <f>sales[[#This Row],[quantity]]*sales[[#This Row],[price]]</f>
        <v>868</v>
      </c>
      <c r="M460" s="9">
        <f>sales[[#This Row],[Total Price]]*3%</f>
        <v>26.04</v>
      </c>
      <c r="N460" s="171">
        <f>sales[[#This Row],[Total Price]]*2.5%</f>
        <v>21.700000000000003</v>
      </c>
      <c r="O460" s="9">
        <f>sales[[#This Row],[Total Price]]*1.5%</f>
        <v>13.02</v>
      </c>
      <c r="Q460" s="2">
        <v>4</v>
      </c>
      <c r="R460" s="5" t="str">
        <f>_xlfn.CONCAT(sales[[#This Row],[Shop]]," ",sales[[#This Row],[Location]])</f>
        <v>Shatin Fortress</v>
      </c>
    </row>
    <row r="461" spans="1:18" ht="17.25" customHeight="1">
      <c r="A461" s="7">
        <v>459</v>
      </c>
      <c r="B461" s="2" t="s">
        <v>1012</v>
      </c>
      <c r="C461" s="2" t="s">
        <v>975</v>
      </c>
      <c r="D461" s="2" t="str">
        <f ca="1">OFFSET(Roster!$B$7, MATCH(B461&amp;" "&amp;C461&amp;"*",Roster!$B$8:$B$20,0),DAY(sales[[#This Row],[date]]),1, 1)</f>
        <v>Margaret</v>
      </c>
      <c r="E461" s="2">
        <f>MONTH(sales[[#This Row],[date]])</f>
        <v>6</v>
      </c>
      <c r="F461" s="233">
        <v>46198</v>
      </c>
      <c r="G461" s="3" t="str">
        <f>VLOOKUP("*"&amp;sales[[#This Row],[Input]]&amp;"*",'Ref-List'!$A:$C,1,0)</f>
        <v>Model-Input-Ref</v>
      </c>
      <c r="H461" s="2" t="str">
        <f>VLOOKUP("*"&amp;G461&amp;"*",'Ref-List'!$A:$C,3,0)</f>
        <v>Product Line</v>
      </c>
      <c r="J461" s="2">
        <v>1</v>
      </c>
      <c r="K461" s="2">
        <v>598</v>
      </c>
      <c r="L461" s="2">
        <f>sales[[#This Row],[quantity]]*sales[[#This Row],[price]]</f>
        <v>598</v>
      </c>
      <c r="M461" s="9">
        <f>sales[[#This Row],[Total Price]]*3%</f>
        <v>17.939999999999998</v>
      </c>
      <c r="N461" s="171">
        <f>sales[[#This Row],[Total Price]]*2.5%</f>
        <v>14.950000000000001</v>
      </c>
      <c r="O461" s="9">
        <f>sales[[#This Row],[Total Price]]*1.5%</f>
        <v>8.9699999999999989</v>
      </c>
      <c r="Q461" s="2">
        <v>5</v>
      </c>
      <c r="R461" s="5" t="str">
        <f>_xlfn.CONCAT(sales[[#This Row],[Shop]]," ",sales[[#This Row],[Location]])</f>
        <v>Shatin Fortress</v>
      </c>
    </row>
    <row r="462" spans="1:18" ht="17.25" customHeight="1">
      <c r="A462" s="7">
        <v>460</v>
      </c>
      <c r="B462" s="2" t="s">
        <v>1012</v>
      </c>
      <c r="C462" s="2" t="s">
        <v>975</v>
      </c>
      <c r="D462" s="2" t="str">
        <f ca="1">OFFSET(Roster!$B$7, MATCH(B462&amp;" "&amp;C462&amp;"*",Roster!$B$8:$B$20,0),DAY(sales[[#This Row],[date]]),1, 1)</f>
        <v>Margaret</v>
      </c>
      <c r="E462" s="2">
        <f>MONTH(sales[[#This Row],[date]])</f>
        <v>6</v>
      </c>
      <c r="F462" s="233">
        <v>46198</v>
      </c>
      <c r="G462" s="3" t="str">
        <f>VLOOKUP("*"&amp;sales[[#This Row],[Input]]&amp;"*",'Ref-List'!$A:$C,1,0)</f>
        <v>Model-Input-Ref</v>
      </c>
      <c r="H462" s="2" t="str">
        <f>VLOOKUP("*"&amp;G462&amp;"*",'Ref-List'!$A:$C,3,0)</f>
        <v>Product Line</v>
      </c>
      <c r="J462" s="2">
        <v>1</v>
      </c>
      <c r="K462" s="2">
        <v>628</v>
      </c>
      <c r="L462" s="2">
        <f>sales[[#This Row],[quantity]]*sales[[#This Row],[price]]</f>
        <v>628</v>
      </c>
      <c r="M462" s="9">
        <f>sales[[#This Row],[Total Price]]*3%</f>
        <v>18.84</v>
      </c>
      <c r="N462" s="171">
        <f>sales[[#This Row],[Total Price]]*2.5%</f>
        <v>15.700000000000001</v>
      </c>
      <c r="O462" s="9">
        <f>sales[[#This Row],[Total Price]]*1.5%</f>
        <v>9.42</v>
      </c>
      <c r="Q462" s="2">
        <v>5</v>
      </c>
      <c r="R462" s="5" t="str">
        <f>_xlfn.CONCAT(sales[[#This Row],[Shop]]," ",sales[[#This Row],[Location]])</f>
        <v>Shatin Fortress</v>
      </c>
    </row>
    <row r="463" spans="1:18" ht="15.75" customHeight="1">
      <c r="A463" s="7">
        <v>461</v>
      </c>
      <c r="B463" s="2" t="s">
        <v>1012</v>
      </c>
      <c r="C463" s="2" t="s">
        <v>975</v>
      </c>
      <c r="D463" s="2" t="str">
        <f ca="1">OFFSET(Roster!$B$7, MATCH(B463&amp;" "&amp;C463&amp;"*",Roster!$B$8:$B$20,0),DAY(sales[[#This Row],[date]]),1, 1)</f>
        <v>Margaret</v>
      </c>
      <c r="E463" s="2">
        <f>MONTH(sales[[#This Row],[date]])</f>
        <v>6</v>
      </c>
      <c r="F463" s="233">
        <v>46198</v>
      </c>
      <c r="G463" s="3" t="str">
        <f>VLOOKUP("*"&amp;sales[[#This Row],[Input]]&amp;"*",'Ref-List'!$A:$C,1,0)</f>
        <v>Model-Input-Ref</v>
      </c>
      <c r="H463" s="2" t="str">
        <f>VLOOKUP("*"&amp;G463&amp;"*",'Ref-List'!$A:$C,3,0)</f>
        <v>Product Line</v>
      </c>
      <c r="J463" s="2">
        <v>1</v>
      </c>
      <c r="K463" s="2">
        <v>848</v>
      </c>
      <c r="L463" s="2">
        <f>sales[[#This Row],[quantity]]*sales[[#This Row],[price]]</f>
        <v>848</v>
      </c>
      <c r="M463" s="9">
        <f>sales[[#This Row],[Total Price]]*3%</f>
        <v>25.439999999999998</v>
      </c>
      <c r="N463" s="171">
        <f>sales[[#This Row],[Total Price]]*2.5%</f>
        <v>21.200000000000003</v>
      </c>
      <c r="O463" s="9">
        <f>sales[[#This Row],[Total Price]]*1.5%</f>
        <v>12.719999999999999</v>
      </c>
      <c r="Q463" s="2">
        <v>5</v>
      </c>
      <c r="R463" s="5" t="str">
        <f>_xlfn.CONCAT(sales[[#This Row],[Shop]]," ",sales[[#This Row],[Location]])</f>
        <v>Shatin Fortress</v>
      </c>
    </row>
    <row r="464" spans="1:18" ht="15.6" customHeight="1">
      <c r="A464" s="7">
        <v>462</v>
      </c>
      <c r="B464" s="2" t="s">
        <v>1012</v>
      </c>
      <c r="C464" s="2" t="s">
        <v>975</v>
      </c>
      <c r="D464" s="2" t="str">
        <f ca="1">OFFSET(Roster!$B$7, MATCH(B464&amp;" "&amp;C464&amp;"*",Roster!$B$8:$B$20,0),DAY(sales[[#This Row],[date]]),1, 1)</f>
        <v>Margaret</v>
      </c>
      <c r="E464" s="2">
        <f>MONTH(sales[[#This Row],[date]])</f>
        <v>6</v>
      </c>
      <c r="F464" s="233">
        <v>46198</v>
      </c>
      <c r="G464" s="3" t="str">
        <f>VLOOKUP("*"&amp;sales[[#This Row],[Input]]&amp;"*",'Ref-List'!$A:$C,1,0)</f>
        <v>Model-Input-Ref</v>
      </c>
      <c r="H464" s="2" t="str">
        <f>VLOOKUP("*"&amp;G464&amp;"*",'Ref-List'!$A:$C,3,0)</f>
        <v>Product Line</v>
      </c>
      <c r="J464" s="2">
        <v>1</v>
      </c>
      <c r="K464" s="2">
        <v>598</v>
      </c>
      <c r="L464" s="2">
        <f>sales[[#This Row],[quantity]]*sales[[#This Row],[price]]</f>
        <v>598</v>
      </c>
      <c r="M464" s="9">
        <f>sales[[#This Row],[Total Price]]*3%</f>
        <v>17.939999999999998</v>
      </c>
      <c r="N464" s="171">
        <f>sales[[#This Row],[Total Price]]*2.5%</f>
        <v>14.950000000000001</v>
      </c>
      <c r="O464" s="9">
        <f>sales[[#This Row],[Total Price]]*1.5%</f>
        <v>8.9699999999999989</v>
      </c>
      <c r="Q464" s="2">
        <v>5</v>
      </c>
      <c r="R464" s="5" t="str">
        <f>_xlfn.CONCAT(sales[[#This Row],[Shop]]," ",sales[[#This Row],[Location]])</f>
        <v>Shatin Fortress</v>
      </c>
    </row>
    <row r="465" spans="1:18" ht="15.6" customHeight="1">
      <c r="A465" s="7">
        <v>463</v>
      </c>
      <c r="B465" s="2" t="s">
        <v>1012</v>
      </c>
      <c r="C465" s="2" t="s">
        <v>975</v>
      </c>
      <c r="D465" s="2" t="str">
        <f ca="1">OFFSET(Roster!$B$7, MATCH(B465&amp;" "&amp;C465&amp;"*",Roster!$B$8:$B$20,0),DAY(sales[[#This Row],[date]]),1, 1)</f>
        <v>Margaret</v>
      </c>
      <c r="E465" s="2">
        <f>MONTH(sales[[#This Row],[date]])</f>
        <v>6</v>
      </c>
      <c r="F465" s="233">
        <v>46198</v>
      </c>
      <c r="G465" s="3" t="str">
        <f>VLOOKUP("*"&amp;sales[[#This Row],[Input]]&amp;"*",'Ref-List'!$A:$C,1,0)</f>
        <v>Model-Input-Ref</v>
      </c>
      <c r="H465" s="2" t="str">
        <f>VLOOKUP("*"&amp;G465&amp;"*",'Ref-List'!$A:$C,3,0)</f>
        <v>Product Line</v>
      </c>
      <c r="J465" s="2">
        <v>1</v>
      </c>
      <c r="K465" s="2">
        <v>598</v>
      </c>
      <c r="L465" s="2">
        <f>sales[[#This Row],[quantity]]*sales[[#This Row],[price]]</f>
        <v>598</v>
      </c>
      <c r="M465" s="9">
        <f>sales[[#This Row],[Total Price]]*3%</f>
        <v>17.939999999999998</v>
      </c>
      <c r="N465" s="171">
        <f>sales[[#This Row],[Total Price]]*2.5%</f>
        <v>14.950000000000001</v>
      </c>
      <c r="O465" s="9">
        <f>sales[[#This Row],[Total Price]]*1.5%</f>
        <v>8.9699999999999989</v>
      </c>
      <c r="Q465" s="2">
        <v>5</v>
      </c>
      <c r="R465" s="5" t="str">
        <f>_xlfn.CONCAT(sales[[#This Row],[Shop]]," ",sales[[#This Row],[Location]])</f>
        <v>Shatin Fortress</v>
      </c>
    </row>
    <row r="466" spans="1:18" ht="15.6" customHeight="1">
      <c r="A466" s="7">
        <v>464</v>
      </c>
      <c r="B466" s="2" t="s">
        <v>1012</v>
      </c>
      <c r="C466" s="2" t="s">
        <v>975</v>
      </c>
      <c r="D466" s="2" t="str">
        <f ca="1">OFFSET(Roster!$B$7, MATCH(B466&amp;" "&amp;C466&amp;"*",Roster!$B$8:$B$20,0),DAY(sales[[#This Row],[date]]),1, 1)</f>
        <v>Margaret</v>
      </c>
      <c r="E466" s="2">
        <f>MONTH(sales[[#This Row],[date]])</f>
        <v>6</v>
      </c>
      <c r="F466" s="233">
        <v>46202</v>
      </c>
      <c r="G466" s="3" t="str">
        <f>VLOOKUP("*"&amp;sales[[#This Row],[Input]]&amp;"*",'Ref-List'!$A:$C,1,0)</f>
        <v>Model-Input-Ref</v>
      </c>
      <c r="H466" s="2" t="str">
        <f>VLOOKUP("*"&amp;G466&amp;"*",'Ref-List'!$A:$C,3,0)</f>
        <v>Product Line</v>
      </c>
      <c r="J466" s="2">
        <v>1</v>
      </c>
      <c r="K466" s="2">
        <v>868</v>
      </c>
      <c r="L466" s="2">
        <f>sales[[#This Row],[quantity]]*sales[[#This Row],[price]]</f>
        <v>868</v>
      </c>
      <c r="M466" s="9">
        <f>sales[[#This Row],[Total Price]]*3%</f>
        <v>26.04</v>
      </c>
      <c r="N466" s="171">
        <f>sales[[#This Row],[Total Price]]*2.5%</f>
        <v>21.700000000000003</v>
      </c>
      <c r="O466" s="9">
        <f>sales[[#This Row],[Total Price]]*1.5%</f>
        <v>13.02</v>
      </c>
      <c r="Q466" s="2">
        <v>5</v>
      </c>
      <c r="R466" s="5" t="str">
        <f>_xlfn.CONCAT(sales[[#This Row],[Shop]]," ",sales[[#This Row],[Location]])</f>
        <v>Shatin Fortress</v>
      </c>
    </row>
    <row r="467" spans="1:18" ht="15.6" customHeight="1">
      <c r="A467" s="7">
        <v>465</v>
      </c>
      <c r="B467" s="2" t="s">
        <v>1012</v>
      </c>
      <c r="C467" s="2" t="s">
        <v>975</v>
      </c>
      <c r="D467" s="2" t="str">
        <f ca="1">OFFSET(Roster!$B$7, MATCH(B467&amp;" "&amp;C467&amp;"*",Roster!$B$8:$B$20,0),DAY(sales[[#This Row],[date]]),1, 1)</f>
        <v>Margaret</v>
      </c>
      <c r="E467" s="2">
        <f>MONTH(sales[[#This Row],[date]])</f>
        <v>6</v>
      </c>
      <c r="F467" s="233">
        <v>46202</v>
      </c>
      <c r="G467" s="3" t="str">
        <f>VLOOKUP("*"&amp;sales[[#This Row],[Input]]&amp;"*",'Ref-List'!$A:$C,1,0)</f>
        <v>Model-Input-Ref</v>
      </c>
      <c r="H467" s="2" t="str">
        <f>VLOOKUP("*"&amp;G467&amp;"*",'Ref-List'!$A:$C,3,0)</f>
        <v>Product Line</v>
      </c>
      <c r="J467" s="2">
        <v>1</v>
      </c>
      <c r="K467" s="2">
        <v>598</v>
      </c>
      <c r="L467" s="2">
        <f>sales[[#This Row],[quantity]]*sales[[#This Row],[price]]</f>
        <v>598</v>
      </c>
      <c r="M467" s="9">
        <f>sales[[#This Row],[Total Price]]*3%</f>
        <v>17.939999999999998</v>
      </c>
      <c r="N467" s="171">
        <f>sales[[#This Row],[Total Price]]*2.5%</f>
        <v>14.950000000000001</v>
      </c>
      <c r="O467" s="9">
        <f>sales[[#This Row],[Total Price]]*1.5%</f>
        <v>8.9699999999999989</v>
      </c>
      <c r="Q467" s="2">
        <v>5</v>
      </c>
      <c r="R467" s="5" t="str">
        <f>_xlfn.CONCAT(sales[[#This Row],[Shop]]," ",sales[[#This Row],[Location]])</f>
        <v>Shatin Fortress</v>
      </c>
    </row>
    <row r="468" spans="1:18" ht="15.6" customHeight="1">
      <c r="A468" s="7">
        <v>466</v>
      </c>
      <c r="B468" s="2" t="s">
        <v>1012</v>
      </c>
      <c r="C468" s="2" t="s">
        <v>975</v>
      </c>
      <c r="D468" s="2" t="str">
        <f ca="1">OFFSET(Roster!$B$7, MATCH(B468&amp;" "&amp;C468&amp;"*",Roster!$B$8:$B$20,0),DAY(sales[[#This Row],[date]]),1, 1)</f>
        <v>Margaret</v>
      </c>
      <c r="E468" s="2">
        <f>MONTH(sales[[#This Row],[date]])</f>
        <v>6</v>
      </c>
      <c r="F468" s="233">
        <v>46202</v>
      </c>
      <c r="G468" s="3" t="str">
        <f>VLOOKUP("*"&amp;sales[[#This Row],[Input]]&amp;"*",'Ref-List'!$A:$C,1,0)</f>
        <v>Model-Input-Ref</v>
      </c>
      <c r="H468" s="2" t="str">
        <f>VLOOKUP("*"&amp;G468&amp;"*",'Ref-List'!$A:$C,3,0)</f>
        <v>Product Line</v>
      </c>
      <c r="J468" s="2">
        <v>1</v>
      </c>
      <c r="K468" s="2">
        <v>1338</v>
      </c>
      <c r="L468" s="2">
        <f>sales[[#This Row],[quantity]]*sales[[#This Row],[price]]</f>
        <v>1338</v>
      </c>
      <c r="M468" s="9">
        <f>sales[[#This Row],[Total Price]]*3%</f>
        <v>40.14</v>
      </c>
      <c r="N468" s="171">
        <f>sales[[#This Row],[Total Price]]*2.5%</f>
        <v>33.450000000000003</v>
      </c>
      <c r="O468" s="9">
        <f>sales[[#This Row],[Total Price]]*1.5%</f>
        <v>20.07</v>
      </c>
      <c r="Q468" s="2">
        <v>5</v>
      </c>
      <c r="R468" s="5" t="str">
        <f>_xlfn.CONCAT(sales[[#This Row],[Shop]]," ",sales[[#This Row],[Location]])</f>
        <v>Shatin Fortress</v>
      </c>
    </row>
    <row r="469" spans="1:18" ht="15.6" customHeight="1">
      <c r="A469" s="7">
        <v>467</v>
      </c>
      <c r="B469" s="2" t="s">
        <v>1012</v>
      </c>
      <c r="C469" s="2" t="s">
        <v>975</v>
      </c>
      <c r="D469" s="2" t="str">
        <f ca="1">OFFSET(Roster!$B$7, MATCH(B469&amp;" "&amp;C469&amp;"*",Roster!$B$8:$B$20,0),DAY(sales[[#This Row],[date]]),1, 1)</f>
        <v>Margaret</v>
      </c>
      <c r="E469" s="2">
        <f>MONTH(sales[[#This Row],[date]])</f>
        <v>6</v>
      </c>
      <c r="F469" s="233">
        <v>46202</v>
      </c>
      <c r="G469" s="3" t="str">
        <f>VLOOKUP("*"&amp;sales[[#This Row],[Input]]&amp;"*",'Ref-List'!$A:$C,1,0)</f>
        <v>Model-Input-Ref</v>
      </c>
      <c r="H469" s="2" t="str">
        <f>VLOOKUP("*"&amp;G469&amp;"*",'Ref-List'!$A:$C,3,0)</f>
        <v>Product Line</v>
      </c>
      <c r="J469" s="2">
        <v>1</v>
      </c>
      <c r="K469" s="2">
        <v>628</v>
      </c>
      <c r="L469" s="2">
        <f>sales[[#This Row],[quantity]]*sales[[#This Row],[price]]</f>
        <v>628</v>
      </c>
      <c r="M469" s="9">
        <f>sales[[#This Row],[Total Price]]*3%</f>
        <v>18.84</v>
      </c>
      <c r="N469" s="171">
        <f>sales[[#This Row],[Total Price]]*2.5%</f>
        <v>15.700000000000001</v>
      </c>
      <c r="O469" s="9">
        <f>sales[[#This Row],[Total Price]]*1.5%</f>
        <v>9.42</v>
      </c>
      <c r="Q469" s="2">
        <v>5</v>
      </c>
      <c r="R469" s="5" t="str">
        <f>_xlfn.CONCAT(sales[[#This Row],[Shop]]," ",sales[[#This Row],[Location]])</f>
        <v>Shatin Fortress</v>
      </c>
    </row>
    <row r="470" spans="1:18" ht="15.6" customHeight="1">
      <c r="A470" s="7">
        <v>468</v>
      </c>
      <c r="B470" s="2" t="s">
        <v>1012</v>
      </c>
      <c r="C470" s="2" t="s">
        <v>975</v>
      </c>
      <c r="D470" s="2" t="str">
        <f ca="1">OFFSET(Roster!$B$7, MATCH(B470&amp;" "&amp;C470&amp;"*",Roster!$B$8:$B$20,0),DAY(sales[[#This Row],[date]]),1, 1)</f>
        <v>Margaret</v>
      </c>
      <c r="E470" s="2">
        <f>MONTH(sales[[#This Row],[date]])</f>
        <v>6</v>
      </c>
      <c r="F470" s="233">
        <v>46202</v>
      </c>
      <c r="G470" s="3" t="str">
        <f>VLOOKUP("*"&amp;sales[[#This Row],[Input]]&amp;"*",'Ref-List'!$A:$C,1,0)</f>
        <v>Model-Input-Ref</v>
      </c>
      <c r="H470" s="2" t="str">
        <f>VLOOKUP("*"&amp;G470&amp;"*",'Ref-List'!$A:$C,3,0)</f>
        <v>Product Line</v>
      </c>
      <c r="J470" s="2">
        <v>1</v>
      </c>
      <c r="K470" s="2">
        <v>868</v>
      </c>
      <c r="L470" s="2">
        <f>sales[[#This Row],[quantity]]*sales[[#This Row],[price]]</f>
        <v>868</v>
      </c>
      <c r="M470" s="9">
        <f>sales[[#This Row],[Total Price]]*3%</f>
        <v>26.04</v>
      </c>
      <c r="N470" s="171">
        <f>sales[[#This Row],[Total Price]]*2.5%</f>
        <v>21.700000000000003</v>
      </c>
      <c r="O470" s="9">
        <f>sales[[#This Row],[Total Price]]*1.5%</f>
        <v>13.02</v>
      </c>
      <c r="Q470" s="2">
        <v>5</v>
      </c>
      <c r="R470" s="5" t="str">
        <f>_xlfn.CONCAT(sales[[#This Row],[Shop]]," ",sales[[#This Row],[Location]])</f>
        <v>Shatin Fortress</v>
      </c>
    </row>
    <row r="471" spans="1:18" ht="15.6" customHeight="1">
      <c r="A471" s="7">
        <v>469</v>
      </c>
      <c r="B471" s="2" t="s">
        <v>1012</v>
      </c>
      <c r="C471" s="2" t="s">
        <v>975</v>
      </c>
      <c r="D471" s="2" t="str">
        <f ca="1">OFFSET(Roster!$B$7, MATCH(B471&amp;" "&amp;C471&amp;"*",Roster!$B$8:$B$20,0),DAY(sales[[#This Row],[date]]),1, 1)</f>
        <v>Margaret</v>
      </c>
      <c r="E471" s="2">
        <f>MONTH(sales[[#This Row],[date]])</f>
        <v>6</v>
      </c>
      <c r="F471" s="233">
        <v>46202</v>
      </c>
      <c r="G471" s="3" t="str">
        <f>VLOOKUP("*"&amp;sales[[#This Row],[Input]]&amp;"*",'Ref-List'!$A:$C,1,0)</f>
        <v>Model-Input-Ref</v>
      </c>
      <c r="H471" s="2" t="str">
        <f>VLOOKUP("*"&amp;G471&amp;"*",'Ref-List'!$A:$C,3,0)</f>
        <v>Product Line</v>
      </c>
      <c r="J471" s="2">
        <v>1</v>
      </c>
      <c r="K471" s="2">
        <v>2998</v>
      </c>
      <c r="L471" s="2">
        <f>sales[[#This Row],[quantity]]*sales[[#This Row],[price]]</f>
        <v>2998</v>
      </c>
      <c r="M471" s="9">
        <f>sales[[#This Row],[Total Price]]*3%</f>
        <v>89.94</v>
      </c>
      <c r="N471" s="171">
        <f>sales[[#This Row],[Total Price]]*2.5%</f>
        <v>74.95</v>
      </c>
      <c r="O471" s="9">
        <f>sales[[#This Row],[Total Price]]*1.5%</f>
        <v>44.97</v>
      </c>
      <c r="Q471" s="2">
        <v>5</v>
      </c>
      <c r="R471" s="5" t="str">
        <f>_xlfn.CONCAT(sales[[#This Row],[Shop]]," ",sales[[#This Row],[Location]])</f>
        <v>Shatin Fortress</v>
      </c>
    </row>
    <row r="472" spans="1:18" ht="15.6" customHeight="1">
      <c r="A472" s="7">
        <v>470</v>
      </c>
      <c r="B472" s="2" t="s">
        <v>1012</v>
      </c>
      <c r="C472" s="2" t="s">
        <v>975</v>
      </c>
      <c r="D472" s="2" t="str">
        <f ca="1">OFFSET(Roster!$B$7, MATCH(B472&amp;" "&amp;C472&amp;"*",Roster!$B$8:$B$20,0),DAY(sales[[#This Row],[date]]),1, 1)</f>
        <v>Margaret</v>
      </c>
      <c r="E472" s="2">
        <f>MONTH(sales[[#This Row],[date]])</f>
        <v>6</v>
      </c>
      <c r="F472" s="233">
        <v>46202</v>
      </c>
      <c r="G472" s="3" t="str">
        <f>VLOOKUP("*"&amp;sales[[#This Row],[Input]]&amp;"*",'Ref-List'!$A:$C,1,0)</f>
        <v>Model-Input-Ref</v>
      </c>
      <c r="H472" s="2" t="str">
        <f>VLOOKUP("*"&amp;G472&amp;"*",'Ref-List'!$A:$C,3,0)</f>
        <v>Product Line</v>
      </c>
      <c r="J472" s="2">
        <v>1</v>
      </c>
      <c r="K472" s="2">
        <v>3988</v>
      </c>
      <c r="L472" s="2">
        <f>sales[[#This Row],[quantity]]*sales[[#This Row],[price]]</f>
        <v>3988</v>
      </c>
      <c r="M472" s="9">
        <f>sales[[#This Row],[Total Price]]*3%</f>
        <v>119.64</v>
      </c>
      <c r="N472" s="171">
        <f>sales[[#This Row],[Total Price]]*2.5%</f>
        <v>99.7</v>
      </c>
      <c r="O472" s="9">
        <f>sales[[#This Row],[Total Price]]*1.5%</f>
        <v>59.82</v>
      </c>
      <c r="Q472" s="2">
        <v>5</v>
      </c>
      <c r="R472" s="5" t="str">
        <f>_xlfn.CONCAT(sales[[#This Row],[Shop]]," ",sales[[#This Row],[Location]])</f>
        <v>Shatin Fortress</v>
      </c>
    </row>
    <row r="473" spans="1:18" ht="15.6" customHeight="1">
      <c r="A473" s="7">
        <v>471</v>
      </c>
      <c r="B473" s="2" t="s">
        <v>1012</v>
      </c>
      <c r="C473" s="2" t="s">
        <v>975</v>
      </c>
      <c r="D473" s="2" t="str">
        <f ca="1">OFFSET(Roster!$B$7, MATCH(B473&amp;" "&amp;C473&amp;"*",Roster!$B$8:$B$20,0),DAY(sales[[#This Row],[date]]),1, 1)</f>
        <v>Margaret</v>
      </c>
      <c r="E473" s="2">
        <f>MONTH(sales[[#This Row],[date]])</f>
        <v>6</v>
      </c>
      <c r="F473" s="233">
        <v>46202</v>
      </c>
      <c r="G473" s="3" t="str">
        <f>VLOOKUP("*"&amp;sales[[#This Row],[Input]]&amp;"*",'Ref-List'!$A:$C,1,0)</f>
        <v>Model-Input-Ref</v>
      </c>
      <c r="H473" s="2" t="str">
        <f>VLOOKUP("*"&amp;G473&amp;"*",'Ref-List'!$A:$C,3,0)</f>
        <v>Product Line</v>
      </c>
      <c r="J473" s="2">
        <v>1</v>
      </c>
      <c r="K473" s="2">
        <v>628</v>
      </c>
      <c r="L473" s="2">
        <f>sales[[#This Row],[quantity]]*sales[[#This Row],[price]]</f>
        <v>628</v>
      </c>
      <c r="M473" s="9">
        <f>sales[[#This Row],[Total Price]]*3%</f>
        <v>18.84</v>
      </c>
      <c r="N473" s="171">
        <f>sales[[#This Row],[Total Price]]*2.5%</f>
        <v>15.700000000000001</v>
      </c>
      <c r="O473" s="9">
        <f>sales[[#This Row],[Total Price]]*1.5%</f>
        <v>9.42</v>
      </c>
      <c r="Q473" s="2">
        <v>5</v>
      </c>
      <c r="R473" s="5" t="str">
        <f>_xlfn.CONCAT(sales[[#This Row],[Shop]]," ",sales[[#This Row],[Location]])</f>
        <v>Shatin Fortress</v>
      </c>
    </row>
    <row r="474" spans="1:18">
      <c r="A474" s="7">
        <v>472</v>
      </c>
      <c r="B474" s="2" t="s">
        <v>1013</v>
      </c>
      <c r="C474" s="5" t="s">
        <v>975</v>
      </c>
      <c r="D474" s="2" t="str">
        <f ca="1">OFFSET(Roster!$B$7, MATCH(B474&amp;" "&amp;C474&amp;"*",Roster!$B$8:$B$20,0),DAY(sales[[#This Row],[date]]),1, 1)</f>
        <v>Margaret</v>
      </c>
      <c r="E474" s="2">
        <f>MONTH(sales[[#This Row],[date]])</f>
        <v>6</v>
      </c>
      <c r="F474" s="233">
        <v>46174</v>
      </c>
      <c r="G474" s="3" t="str">
        <f>VLOOKUP("*"&amp;sales[[#This Row],[Input]]&amp;"*",'Ref-List'!$A:$C,1,0)</f>
        <v>Model-Input-Ref</v>
      </c>
      <c r="H474" s="2" t="str">
        <f>VLOOKUP("*"&amp;G474&amp;"*",'Ref-List'!$A:$C,3,0)</f>
        <v>Product Line</v>
      </c>
      <c r="J474" s="2">
        <v>1</v>
      </c>
      <c r="K474" s="2">
        <v>598</v>
      </c>
      <c r="L474" s="2">
        <f>sales[[#This Row],[quantity]]*sales[[#This Row],[price]]</f>
        <v>598</v>
      </c>
      <c r="M474" s="9">
        <f>sales[[#This Row],[Total Price]]*3%</f>
        <v>17.939999999999998</v>
      </c>
      <c r="N474" s="171">
        <f>sales[[#This Row],[Total Price]]*2.5%</f>
        <v>14.950000000000001</v>
      </c>
      <c r="O474" s="9">
        <f>sales[[#This Row],[Total Price]]*1.5%</f>
        <v>8.9699999999999989</v>
      </c>
      <c r="Q474" s="2">
        <v>1</v>
      </c>
      <c r="R474" s="5" t="str">
        <f>_xlfn.CONCAT(sales[[#This Row],[Shop]]," ",sales[[#This Row],[Location]])</f>
        <v>Central Fortress</v>
      </c>
    </row>
    <row r="475" spans="1:18" ht="15.6" customHeight="1">
      <c r="A475" s="7">
        <v>473</v>
      </c>
      <c r="B475" s="2" t="s">
        <v>1013</v>
      </c>
      <c r="C475" s="5" t="s">
        <v>975</v>
      </c>
      <c r="D475" s="2" t="str">
        <f ca="1">OFFSET(Roster!$B$7, MATCH(B475&amp;" "&amp;C475&amp;"*",Roster!$B$8:$B$20,0),DAY(sales[[#This Row],[date]]),1, 1)</f>
        <v>Margaret</v>
      </c>
      <c r="E475" s="2">
        <f>MONTH(sales[[#This Row],[date]])</f>
        <v>6</v>
      </c>
      <c r="F475" s="233">
        <v>46174</v>
      </c>
      <c r="G475" s="3" t="str">
        <f>VLOOKUP("*"&amp;sales[[#This Row],[Input]]&amp;"*",'Ref-List'!$A:$C,1,0)</f>
        <v>Model-Input-Ref</v>
      </c>
      <c r="H475" s="2" t="str">
        <f>VLOOKUP("*"&amp;G475&amp;"*",'Ref-List'!$A:$C,3,0)</f>
        <v>Product Line</v>
      </c>
      <c r="J475" s="2">
        <v>1</v>
      </c>
      <c r="K475" s="2">
        <v>2388</v>
      </c>
      <c r="L475" s="2">
        <f>sales[[#This Row],[quantity]]*sales[[#This Row],[price]]</f>
        <v>2388</v>
      </c>
      <c r="M475" s="9">
        <f>sales[[#This Row],[Total Price]]*3%</f>
        <v>71.64</v>
      </c>
      <c r="N475" s="171">
        <f>sales[[#This Row],[Total Price]]*2.5%</f>
        <v>59.7</v>
      </c>
      <c r="O475" s="9">
        <f>sales[[#This Row],[Total Price]]*1.5%</f>
        <v>35.82</v>
      </c>
      <c r="Q475" s="2">
        <v>1</v>
      </c>
      <c r="R475" s="5" t="str">
        <f>_xlfn.CONCAT(sales[[#This Row],[Shop]]," ",sales[[#This Row],[Location]])</f>
        <v>Central Fortress</v>
      </c>
    </row>
    <row r="476" spans="1:18">
      <c r="A476" s="7">
        <v>474</v>
      </c>
      <c r="B476" s="2" t="s">
        <v>1013</v>
      </c>
      <c r="C476" s="5" t="s">
        <v>975</v>
      </c>
      <c r="D476" s="2" t="str">
        <f ca="1">OFFSET(Roster!$B$7, MATCH(B476&amp;" "&amp;C476&amp;"*",Roster!$B$8:$B$20,0),DAY(sales[[#This Row],[date]]),1, 1)</f>
        <v>Margaret</v>
      </c>
      <c r="E476" s="2">
        <f>MONTH(sales[[#This Row],[date]])</f>
        <v>6</v>
      </c>
      <c r="F476" s="233">
        <v>46174</v>
      </c>
      <c r="G476" s="3" t="str">
        <f>VLOOKUP("*"&amp;sales[[#This Row],[Input]]&amp;"*",'Ref-List'!$A:$C,1,0)</f>
        <v>Model-Input-Ref</v>
      </c>
      <c r="H476" s="2" t="str">
        <f>VLOOKUP("*"&amp;G476&amp;"*",'Ref-List'!$A:$C,3,0)</f>
        <v>Product Line</v>
      </c>
      <c r="J476" s="2">
        <v>1</v>
      </c>
      <c r="K476" s="2">
        <v>598</v>
      </c>
      <c r="L476" s="2">
        <f>sales[[#This Row],[quantity]]*sales[[#This Row],[price]]</f>
        <v>598</v>
      </c>
      <c r="M476" s="9">
        <f>sales[[#This Row],[Total Price]]*3%</f>
        <v>17.939999999999998</v>
      </c>
      <c r="N476" s="171">
        <f>sales[[#This Row],[Total Price]]*2.5%</f>
        <v>14.950000000000001</v>
      </c>
      <c r="O476" s="9">
        <f>sales[[#This Row],[Total Price]]*1.5%</f>
        <v>8.9699999999999989</v>
      </c>
      <c r="Q476" s="2">
        <v>1</v>
      </c>
      <c r="R476" s="5" t="str">
        <f>_xlfn.CONCAT(sales[[#This Row],[Shop]]," ",sales[[#This Row],[Location]])</f>
        <v>Central Fortress</v>
      </c>
    </row>
    <row r="477" spans="1:18" ht="15.6" customHeight="1">
      <c r="A477" s="7">
        <v>475</v>
      </c>
      <c r="B477" s="2" t="s">
        <v>1013</v>
      </c>
      <c r="C477" s="5" t="s">
        <v>975</v>
      </c>
      <c r="D477" s="2" t="str">
        <f ca="1">OFFSET(Roster!$B$7, MATCH(B477&amp;" "&amp;C477&amp;"*",Roster!$B$8:$B$20,0),DAY(sales[[#This Row],[date]]),1, 1)</f>
        <v>Margaret</v>
      </c>
      <c r="E477" s="2">
        <f>MONTH(sales[[#This Row],[date]])</f>
        <v>6</v>
      </c>
      <c r="F477" s="233">
        <v>46174</v>
      </c>
      <c r="G477" s="3" t="str">
        <f>VLOOKUP("*"&amp;sales[[#This Row],[Input]]&amp;"*",'Ref-List'!$A:$C,1,0)</f>
        <v>Model-Input-Ref</v>
      </c>
      <c r="H477" s="2" t="str">
        <f>VLOOKUP("*"&amp;G477&amp;"*",'Ref-List'!$A:$C,3,0)</f>
        <v>Product Line</v>
      </c>
      <c r="J477" s="2">
        <v>1</v>
      </c>
      <c r="K477" s="2">
        <v>2388</v>
      </c>
      <c r="L477" s="2">
        <f>sales[[#This Row],[quantity]]*sales[[#This Row],[price]]</f>
        <v>2388</v>
      </c>
      <c r="M477" s="9">
        <f>sales[[#This Row],[Total Price]]*3%</f>
        <v>71.64</v>
      </c>
      <c r="N477" s="171">
        <f>sales[[#This Row],[Total Price]]*2.5%</f>
        <v>59.7</v>
      </c>
      <c r="O477" s="9">
        <f>sales[[#This Row],[Total Price]]*1.5%</f>
        <v>35.82</v>
      </c>
      <c r="Q477" s="2">
        <v>1</v>
      </c>
      <c r="R477" s="5" t="str">
        <f>_xlfn.CONCAT(sales[[#This Row],[Shop]]," ",sales[[#This Row],[Location]])</f>
        <v>Central Fortress</v>
      </c>
    </row>
    <row r="478" spans="1:18" ht="16.5" customHeight="1">
      <c r="A478" s="7">
        <v>476</v>
      </c>
      <c r="B478" s="2" t="s">
        <v>1013</v>
      </c>
      <c r="C478" s="5" t="s">
        <v>975</v>
      </c>
      <c r="D478" s="2" t="str">
        <f ca="1">OFFSET(Roster!$B$7, MATCH(B478&amp;" "&amp;C478&amp;"*",Roster!$B$8:$B$20,0),DAY(sales[[#This Row],[date]]),1, 1)</f>
        <v>Margaret</v>
      </c>
      <c r="E478" s="2">
        <f>MONTH(sales[[#This Row],[date]])</f>
        <v>6</v>
      </c>
      <c r="F478" s="233">
        <v>46174</v>
      </c>
      <c r="G478" s="3" t="str">
        <f>VLOOKUP("*"&amp;sales[[#This Row],[Input]]&amp;"*",'Ref-List'!$A:$C,1,0)</f>
        <v>Model-Input-Ref</v>
      </c>
      <c r="H478" s="2" t="str">
        <f>VLOOKUP("*"&amp;G478&amp;"*",'Ref-List'!$A:$C,3,0)</f>
        <v>Product Line</v>
      </c>
      <c r="J478" s="2">
        <v>1</v>
      </c>
      <c r="K478" s="2">
        <v>598</v>
      </c>
      <c r="L478" s="2">
        <f>sales[[#This Row],[quantity]]*sales[[#This Row],[price]]</f>
        <v>598</v>
      </c>
      <c r="M478" s="9">
        <f>sales[[#This Row],[Total Price]]*3%</f>
        <v>17.939999999999998</v>
      </c>
      <c r="N478" s="171">
        <f>sales[[#This Row],[Total Price]]*2.5%</f>
        <v>14.950000000000001</v>
      </c>
      <c r="O478" s="9">
        <f>sales[[#This Row],[Total Price]]*1.5%</f>
        <v>8.9699999999999989</v>
      </c>
      <c r="Q478" s="2">
        <v>1</v>
      </c>
      <c r="R478" s="5" t="str">
        <f>_xlfn.CONCAT(sales[[#This Row],[Shop]]," ",sales[[#This Row],[Location]])</f>
        <v>Central Fortress</v>
      </c>
    </row>
    <row r="479" spans="1:18" ht="15.6" customHeight="1">
      <c r="A479" s="7">
        <v>477</v>
      </c>
      <c r="B479" s="2" t="s">
        <v>1013</v>
      </c>
      <c r="C479" s="5" t="s">
        <v>975</v>
      </c>
      <c r="D479" s="2" t="str">
        <f ca="1">OFFSET(Roster!$B$7, MATCH(B479&amp;" "&amp;C479&amp;"*",Roster!$B$8:$B$20,0),DAY(sales[[#This Row],[date]]),1, 1)</f>
        <v>Margaret</v>
      </c>
      <c r="E479" s="2">
        <f>MONTH(sales[[#This Row],[date]])</f>
        <v>6</v>
      </c>
      <c r="F479" s="233">
        <v>46175</v>
      </c>
      <c r="G479" s="3" t="str">
        <f>VLOOKUP("*"&amp;sales[[#This Row],[Input]]&amp;"*",'Ref-List'!$A:$C,1,0)</f>
        <v>Model-Input-Ref</v>
      </c>
      <c r="H479" s="2" t="str">
        <f>VLOOKUP("*"&amp;G479&amp;"*",'Ref-List'!$A:$C,3,0)</f>
        <v>Product Line</v>
      </c>
      <c r="J479" s="2">
        <v>1</v>
      </c>
      <c r="K479" s="2">
        <v>598</v>
      </c>
      <c r="L479" s="2">
        <f>sales[[#This Row],[quantity]]*sales[[#This Row],[price]]</f>
        <v>598</v>
      </c>
      <c r="M479" s="9">
        <f>sales[[#This Row],[Total Price]]*3%</f>
        <v>17.939999999999998</v>
      </c>
      <c r="N479" s="171">
        <f>sales[[#This Row],[Total Price]]*2.5%</f>
        <v>14.950000000000001</v>
      </c>
      <c r="O479" s="9">
        <f>sales[[#This Row],[Total Price]]*1.5%</f>
        <v>8.9699999999999989</v>
      </c>
      <c r="Q479" s="2">
        <v>1</v>
      </c>
      <c r="R479" s="5" t="str">
        <f>_xlfn.CONCAT(sales[[#This Row],[Shop]]," ",sales[[#This Row],[Location]])</f>
        <v>Central Fortress</v>
      </c>
    </row>
    <row r="480" spans="1:18">
      <c r="A480" s="7">
        <v>478</v>
      </c>
      <c r="B480" s="2" t="s">
        <v>1013</v>
      </c>
      <c r="C480" s="5" t="s">
        <v>975</v>
      </c>
      <c r="D480" s="2" t="str">
        <f ca="1">OFFSET(Roster!$B$7, MATCH(B480&amp;" "&amp;C480&amp;"*",Roster!$B$8:$B$20,0),DAY(sales[[#This Row],[date]]),1, 1)</f>
        <v>Margaret</v>
      </c>
      <c r="E480" s="2">
        <f>MONTH(sales[[#This Row],[date]])</f>
        <v>6</v>
      </c>
      <c r="F480" s="233">
        <v>46175</v>
      </c>
      <c r="G480" s="3" t="str">
        <f>VLOOKUP("*"&amp;sales[[#This Row],[Input]]&amp;"*",'Ref-List'!$A:$C,1,0)</f>
        <v>Model-Input-Ref</v>
      </c>
      <c r="H480" s="2" t="str">
        <f>VLOOKUP("*"&amp;G480&amp;"*",'Ref-List'!$A:$C,3,0)</f>
        <v>Product Line</v>
      </c>
      <c r="J480" s="2">
        <v>1</v>
      </c>
      <c r="K480" s="2">
        <v>598</v>
      </c>
      <c r="L480" s="2">
        <f>sales[[#This Row],[quantity]]*sales[[#This Row],[price]]</f>
        <v>598</v>
      </c>
      <c r="M480" s="9">
        <f>sales[[#This Row],[Total Price]]*3%</f>
        <v>17.939999999999998</v>
      </c>
      <c r="N480" s="171">
        <f>sales[[#This Row],[Total Price]]*2.5%</f>
        <v>14.950000000000001</v>
      </c>
      <c r="O480" s="9">
        <f>sales[[#This Row],[Total Price]]*1.5%</f>
        <v>8.9699999999999989</v>
      </c>
      <c r="Q480" s="2">
        <v>1</v>
      </c>
      <c r="R480" s="5" t="str">
        <f>_xlfn.CONCAT(sales[[#This Row],[Shop]]," ",sales[[#This Row],[Location]])</f>
        <v>Central Fortress</v>
      </c>
    </row>
    <row r="481" spans="1:18" ht="15.6" customHeight="1">
      <c r="A481" s="7">
        <v>479</v>
      </c>
      <c r="B481" s="2" t="s">
        <v>1013</v>
      </c>
      <c r="C481" s="5" t="s">
        <v>975</v>
      </c>
      <c r="D481" s="2" t="str">
        <f ca="1">OFFSET(Roster!$B$7, MATCH(B481&amp;" "&amp;C481&amp;"*",Roster!$B$8:$B$20,0),DAY(sales[[#This Row],[date]]),1, 1)</f>
        <v>Margaret</v>
      </c>
      <c r="E481" s="2">
        <f>MONTH(sales[[#This Row],[date]])</f>
        <v>6</v>
      </c>
      <c r="F481" s="233">
        <v>46175</v>
      </c>
      <c r="G481" s="3" t="str">
        <f>VLOOKUP("*"&amp;sales[[#This Row],[Input]]&amp;"*",'Ref-List'!$A:$C,1,0)</f>
        <v>Model-Input-Ref</v>
      </c>
      <c r="H481" s="2" t="str">
        <f>VLOOKUP("*"&amp;G481&amp;"*",'Ref-List'!$A:$C,3,0)</f>
        <v>Product Line</v>
      </c>
      <c r="J481" s="2">
        <v>1</v>
      </c>
      <c r="K481" s="2">
        <v>798</v>
      </c>
      <c r="L481" s="2">
        <f>sales[[#This Row],[quantity]]*sales[[#This Row],[price]]</f>
        <v>798</v>
      </c>
      <c r="M481" s="9">
        <f>sales[[#This Row],[Total Price]]*3%</f>
        <v>23.939999999999998</v>
      </c>
      <c r="N481" s="171">
        <f>sales[[#This Row],[Total Price]]*2.5%</f>
        <v>19.950000000000003</v>
      </c>
      <c r="O481" s="9">
        <f>sales[[#This Row],[Total Price]]*1.5%</f>
        <v>11.969999999999999</v>
      </c>
      <c r="Q481" s="2">
        <v>1</v>
      </c>
      <c r="R481" s="5" t="str">
        <f>_xlfn.CONCAT(sales[[#This Row],[Shop]]," ",sales[[#This Row],[Location]])</f>
        <v>Central Fortress</v>
      </c>
    </row>
    <row r="482" spans="1:18">
      <c r="A482" s="7">
        <v>480</v>
      </c>
      <c r="B482" s="2" t="s">
        <v>1013</v>
      </c>
      <c r="C482" s="5" t="s">
        <v>975</v>
      </c>
      <c r="D482" s="2" t="str">
        <f ca="1">OFFSET(Roster!$B$7, MATCH(B482&amp;" "&amp;C482&amp;"*",Roster!$B$8:$B$20,0),DAY(sales[[#This Row],[date]]),1, 1)</f>
        <v>Margaret</v>
      </c>
      <c r="E482" s="2">
        <f>MONTH(sales[[#This Row],[date]])</f>
        <v>6</v>
      </c>
      <c r="F482" s="233">
        <v>46175</v>
      </c>
      <c r="G482" s="3" t="str">
        <f>VLOOKUP("*"&amp;sales[[#This Row],[Input]]&amp;"*",'Ref-List'!$A:$C,1,0)</f>
        <v>Model-Input-Ref</v>
      </c>
      <c r="H482" s="2" t="str">
        <f>VLOOKUP("*"&amp;G482&amp;"*",'Ref-List'!$A:$C,3,0)</f>
        <v>Product Line</v>
      </c>
      <c r="J482" s="2">
        <v>1</v>
      </c>
      <c r="K482" s="2">
        <v>868</v>
      </c>
      <c r="L482" s="2">
        <f>sales[[#This Row],[quantity]]*sales[[#This Row],[price]]</f>
        <v>868</v>
      </c>
      <c r="M482" s="9">
        <f>sales[[#This Row],[Total Price]]*3%</f>
        <v>26.04</v>
      </c>
      <c r="N482" s="171">
        <f>sales[[#This Row],[Total Price]]*2.5%</f>
        <v>21.700000000000003</v>
      </c>
      <c r="O482" s="9">
        <f>sales[[#This Row],[Total Price]]*1.5%</f>
        <v>13.02</v>
      </c>
      <c r="Q482" s="2">
        <v>1</v>
      </c>
      <c r="R482" s="5" t="str">
        <f>_xlfn.CONCAT(sales[[#This Row],[Shop]]," ",sales[[#This Row],[Location]])</f>
        <v>Central Fortress</v>
      </c>
    </row>
    <row r="483" spans="1:18" ht="16.5" customHeight="1">
      <c r="A483" s="7">
        <v>481</v>
      </c>
      <c r="B483" s="2" t="s">
        <v>1013</v>
      </c>
      <c r="C483" s="5" t="s">
        <v>975</v>
      </c>
      <c r="D483" s="2" t="str">
        <f ca="1">OFFSET(Roster!$B$7, MATCH(B483&amp;" "&amp;C483&amp;"*",Roster!$B$8:$B$20,0),DAY(sales[[#This Row],[date]]),1, 1)</f>
        <v>Margaret</v>
      </c>
      <c r="E483" s="2">
        <f>MONTH(sales[[#This Row],[date]])</f>
        <v>6</v>
      </c>
      <c r="F483" s="233">
        <v>46175</v>
      </c>
      <c r="G483" s="3" t="str">
        <f>VLOOKUP("*"&amp;sales[[#This Row],[Input]]&amp;"*",'Ref-List'!$A:$C,1,0)</f>
        <v>Model-Input-Ref</v>
      </c>
      <c r="H483" s="2" t="str">
        <f>VLOOKUP("*"&amp;G483&amp;"*",'Ref-List'!$A:$C,3,0)</f>
        <v>Product Line</v>
      </c>
      <c r="J483" s="2">
        <v>1</v>
      </c>
      <c r="K483" s="2">
        <v>598</v>
      </c>
      <c r="L483" s="2">
        <f>sales[[#This Row],[quantity]]*sales[[#This Row],[price]]</f>
        <v>598</v>
      </c>
      <c r="M483" s="9">
        <f>sales[[#This Row],[Total Price]]*3%</f>
        <v>17.939999999999998</v>
      </c>
      <c r="N483" s="171">
        <f>sales[[#This Row],[Total Price]]*2.5%</f>
        <v>14.950000000000001</v>
      </c>
      <c r="O483" s="9">
        <f>sales[[#This Row],[Total Price]]*1.5%</f>
        <v>8.9699999999999989</v>
      </c>
      <c r="Q483" s="2">
        <v>1</v>
      </c>
      <c r="R483" s="5" t="str">
        <f>_xlfn.CONCAT(sales[[#This Row],[Shop]]," ",sales[[#This Row],[Location]])</f>
        <v>Central Fortress</v>
      </c>
    </row>
    <row r="484" spans="1:18">
      <c r="A484" s="7">
        <v>482</v>
      </c>
      <c r="B484" s="2" t="s">
        <v>1013</v>
      </c>
      <c r="C484" s="5" t="s">
        <v>975</v>
      </c>
      <c r="D484" s="2" t="str">
        <f ca="1">OFFSET(Roster!$B$7, MATCH(B484&amp;" "&amp;C484&amp;"*",Roster!$B$8:$B$20,0),DAY(sales[[#This Row],[date]]),1, 1)</f>
        <v>Margaret</v>
      </c>
      <c r="E484" s="2">
        <f>MONTH(sales[[#This Row],[date]])</f>
        <v>6</v>
      </c>
      <c r="F484" s="233">
        <v>46175</v>
      </c>
      <c r="G484" s="3" t="str">
        <f>VLOOKUP("*"&amp;sales[[#This Row],[Input]]&amp;"*",'Ref-List'!$A:$C,1,0)</f>
        <v>Model-Input-Ref</v>
      </c>
      <c r="H484" s="2" t="str">
        <f>VLOOKUP("*"&amp;G484&amp;"*",'Ref-List'!$A:$C,3,0)</f>
        <v>Product Line</v>
      </c>
      <c r="J484" s="2">
        <v>1</v>
      </c>
      <c r="K484" s="2">
        <v>598</v>
      </c>
      <c r="L484" s="2">
        <f>sales[[#This Row],[quantity]]*sales[[#This Row],[price]]</f>
        <v>598</v>
      </c>
      <c r="M484" s="9">
        <f>sales[[#This Row],[Total Price]]*3%</f>
        <v>17.939999999999998</v>
      </c>
      <c r="N484" s="171">
        <f>sales[[#This Row],[Total Price]]*2.5%</f>
        <v>14.950000000000001</v>
      </c>
      <c r="O484" s="9">
        <f>sales[[#This Row],[Total Price]]*1.5%</f>
        <v>8.9699999999999989</v>
      </c>
      <c r="Q484" s="2">
        <v>1</v>
      </c>
      <c r="R484" s="5" t="str">
        <f>_xlfn.CONCAT(sales[[#This Row],[Shop]]," ",sales[[#This Row],[Location]])</f>
        <v>Central Fortress</v>
      </c>
    </row>
    <row r="485" spans="1:18" ht="15.6" customHeight="1">
      <c r="A485" s="7">
        <v>483</v>
      </c>
      <c r="B485" s="2" t="s">
        <v>1013</v>
      </c>
      <c r="C485" s="5" t="s">
        <v>975</v>
      </c>
      <c r="D485" s="2" t="str">
        <f ca="1">OFFSET(Roster!$B$7, MATCH(B485&amp;" "&amp;C485&amp;"*",Roster!$B$8:$B$20,0),DAY(sales[[#This Row],[date]]),1, 1)</f>
        <v>Margaret</v>
      </c>
      <c r="E485" s="2">
        <f>MONTH(sales[[#This Row],[date]])</f>
        <v>6</v>
      </c>
      <c r="F485" s="233">
        <v>46175</v>
      </c>
      <c r="G485" s="3" t="str">
        <f>VLOOKUP("*"&amp;sales[[#This Row],[Input]]&amp;"*",'Ref-List'!$A:$C,1,0)</f>
        <v>Model-Input-Ref</v>
      </c>
      <c r="H485" s="2" t="str">
        <f>VLOOKUP("*"&amp;G485&amp;"*",'Ref-List'!$A:$C,3,0)</f>
        <v>Product Line</v>
      </c>
      <c r="J485" s="2">
        <v>1</v>
      </c>
      <c r="K485" s="2">
        <v>598</v>
      </c>
      <c r="L485" s="2">
        <f>sales[[#This Row],[quantity]]*sales[[#This Row],[price]]</f>
        <v>598</v>
      </c>
      <c r="M485" s="9">
        <f>sales[[#This Row],[Total Price]]*3%</f>
        <v>17.939999999999998</v>
      </c>
      <c r="N485" s="171">
        <f>sales[[#This Row],[Total Price]]*2.5%</f>
        <v>14.950000000000001</v>
      </c>
      <c r="O485" s="9">
        <f>sales[[#This Row],[Total Price]]*1.5%</f>
        <v>8.9699999999999989</v>
      </c>
      <c r="Q485" s="2">
        <v>1</v>
      </c>
      <c r="R485" s="5" t="str">
        <f>_xlfn.CONCAT(sales[[#This Row],[Shop]]," ",sales[[#This Row],[Location]])</f>
        <v>Central Fortress</v>
      </c>
    </row>
    <row r="486" spans="1:18">
      <c r="A486" s="7">
        <v>484</v>
      </c>
      <c r="B486" s="2" t="s">
        <v>1013</v>
      </c>
      <c r="C486" s="5" t="s">
        <v>975</v>
      </c>
      <c r="D486" s="2" t="str">
        <f ca="1">OFFSET(Roster!$B$7, MATCH(B486&amp;" "&amp;C486&amp;"*",Roster!$B$8:$B$20,0),DAY(sales[[#This Row],[date]]),1, 1)</f>
        <v>Margaret</v>
      </c>
      <c r="E486" s="2">
        <f>MONTH(sales[[#This Row],[date]])</f>
        <v>6</v>
      </c>
      <c r="F486" s="233">
        <v>46175</v>
      </c>
      <c r="G486" s="3" t="str">
        <f>VLOOKUP("*"&amp;sales[[#This Row],[Input]]&amp;"*",'Ref-List'!$A:$C,1,0)</f>
        <v>Model-Input-Ref</v>
      </c>
      <c r="H486" s="2" t="str">
        <f>VLOOKUP("*"&amp;G486&amp;"*",'Ref-List'!$A:$C,3,0)</f>
        <v>Product Line</v>
      </c>
      <c r="J486" s="2">
        <v>1</v>
      </c>
      <c r="K486" s="2">
        <v>2388</v>
      </c>
      <c r="L486" s="2">
        <f>sales[[#This Row],[quantity]]*sales[[#This Row],[price]]</f>
        <v>2388</v>
      </c>
      <c r="M486" s="9">
        <f>sales[[#This Row],[Total Price]]*3%</f>
        <v>71.64</v>
      </c>
      <c r="N486" s="171">
        <f>sales[[#This Row],[Total Price]]*2.5%</f>
        <v>59.7</v>
      </c>
      <c r="O486" s="9">
        <f>sales[[#This Row],[Total Price]]*1.5%</f>
        <v>35.82</v>
      </c>
      <c r="Q486" s="2">
        <v>1</v>
      </c>
      <c r="R486" s="5" t="str">
        <f>_xlfn.CONCAT(sales[[#This Row],[Shop]]," ",sales[[#This Row],[Location]])</f>
        <v>Central Fortress</v>
      </c>
    </row>
    <row r="487" spans="1:18" ht="15.6" customHeight="1">
      <c r="A487" s="7">
        <v>485</v>
      </c>
      <c r="B487" s="2" t="s">
        <v>1013</v>
      </c>
      <c r="C487" s="5" t="s">
        <v>975</v>
      </c>
      <c r="D487" s="2" t="str">
        <f ca="1">OFFSET(Roster!$B$7, MATCH(B487&amp;" "&amp;C487&amp;"*",Roster!$B$8:$B$20,0),DAY(sales[[#This Row],[date]]),1, 1)</f>
        <v>Margaret</v>
      </c>
      <c r="E487" s="2">
        <f>MONTH(sales[[#This Row],[date]])</f>
        <v>6</v>
      </c>
      <c r="F487" s="233">
        <v>46175</v>
      </c>
      <c r="G487" s="3" t="str">
        <f>VLOOKUP("*"&amp;sales[[#This Row],[Input]]&amp;"*",'Ref-List'!$A:$C,1,0)</f>
        <v>Model-Input-Ref</v>
      </c>
      <c r="H487" s="2" t="str">
        <f>VLOOKUP("*"&amp;G487&amp;"*",'Ref-List'!$A:$C,3,0)</f>
        <v>Product Line</v>
      </c>
      <c r="J487" s="2">
        <v>1</v>
      </c>
      <c r="K487" s="2">
        <v>698</v>
      </c>
      <c r="L487" s="2">
        <f>sales[[#This Row],[quantity]]*sales[[#This Row],[price]]</f>
        <v>698</v>
      </c>
      <c r="M487" s="9">
        <f>sales[[#This Row],[Total Price]]*3%</f>
        <v>20.939999999999998</v>
      </c>
      <c r="N487" s="171">
        <f>sales[[#This Row],[Total Price]]*2.5%</f>
        <v>17.45</v>
      </c>
      <c r="O487" s="9">
        <f>sales[[#This Row],[Total Price]]*1.5%</f>
        <v>10.469999999999999</v>
      </c>
      <c r="Q487" s="2">
        <v>1</v>
      </c>
      <c r="R487" s="5" t="str">
        <f>_xlfn.CONCAT(sales[[#This Row],[Shop]]," ",sales[[#This Row],[Location]])</f>
        <v>Central Fortress</v>
      </c>
    </row>
    <row r="488" spans="1:18">
      <c r="A488" s="7">
        <v>486</v>
      </c>
      <c r="B488" s="2" t="s">
        <v>1013</v>
      </c>
      <c r="C488" s="5" t="s">
        <v>975</v>
      </c>
      <c r="D488" s="2" t="str">
        <f ca="1">OFFSET(Roster!$B$7, MATCH(B488&amp;" "&amp;C488&amp;"*",Roster!$B$8:$B$20,0),DAY(sales[[#This Row],[date]]),1, 1)</f>
        <v>Margaret</v>
      </c>
      <c r="E488" s="2">
        <f>MONTH(sales[[#This Row],[date]])</f>
        <v>6</v>
      </c>
      <c r="F488" s="233">
        <v>46175</v>
      </c>
      <c r="G488" s="3" t="str">
        <f>VLOOKUP("*"&amp;sales[[#This Row],[Input]]&amp;"*",'Ref-List'!$A:$C,1,0)</f>
        <v>Model-Input-Ref</v>
      </c>
      <c r="H488" s="2" t="str">
        <f>VLOOKUP("*"&amp;G488&amp;"*",'Ref-List'!$A:$C,3,0)</f>
        <v>Product Line</v>
      </c>
      <c r="J488" s="2">
        <v>1</v>
      </c>
      <c r="K488" s="2">
        <v>158</v>
      </c>
      <c r="L488" s="2">
        <f>sales[[#This Row],[quantity]]*sales[[#This Row],[price]]</f>
        <v>158</v>
      </c>
      <c r="M488" s="9">
        <f>sales[[#This Row],[Total Price]]*3%</f>
        <v>4.74</v>
      </c>
      <c r="N488" s="171">
        <f>sales[[#This Row],[Total Price]]*2.5%</f>
        <v>3.95</v>
      </c>
      <c r="O488" s="9">
        <f>sales[[#This Row],[Total Price]]*1.5%</f>
        <v>2.37</v>
      </c>
      <c r="Q488" s="2">
        <v>1</v>
      </c>
      <c r="R488" s="5" t="str">
        <f>_xlfn.CONCAT(sales[[#This Row],[Shop]]," ",sales[[#This Row],[Location]])</f>
        <v>Central Fortress</v>
      </c>
    </row>
    <row r="489" spans="1:18" ht="15.6" customHeight="1">
      <c r="A489" s="7">
        <v>487</v>
      </c>
      <c r="B489" s="2" t="s">
        <v>1013</v>
      </c>
      <c r="C489" s="5" t="s">
        <v>975</v>
      </c>
      <c r="D489" s="2" t="str">
        <f ca="1">OFFSET(Roster!$B$7, MATCH(B489&amp;" "&amp;C489&amp;"*",Roster!$B$8:$B$20,0),DAY(sales[[#This Row],[date]]),1, 1)</f>
        <v>Margaret</v>
      </c>
      <c r="E489" s="2">
        <f>MONTH(sales[[#This Row],[date]])</f>
        <v>6</v>
      </c>
      <c r="F489" s="234">
        <v>46181</v>
      </c>
      <c r="G489" s="3" t="str">
        <f>VLOOKUP("*"&amp;sales[[#This Row],[Input]]&amp;"*",'Ref-List'!$A:$C,1,0)</f>
        <v>Model-Input-Ref</v>
      </c>
      <c r="H489" s="2" t="str">
        <f>VLOOKUP("*"&amp;G489&amp;"*",'Ref-List'!$A:$C,3,0)</f>
        <v>Product Line</v>
      </c>
      <c r="J489" s="2">
        <v>1</v>
      </c>
      <c r="K489" s="2">
        <v>598</v>
      </c>
      <c r="L489" s="2">
        <f>sales[[#This Row],[quantity]]*sales[[#This Row],[price]]</f>
        <v>598</v>
      </c>
      <c r="M489" s="9">
        <f>sales[[#This Row],[Total Price]]*3%</f>
        <v>17.939999999999998</v>
      </c>
      <c r="N489" s="171">
        <f>sales[[#This Row],[Total Price]]*2.5%</f>
        <v>14.950000000000001</v>
      </c>
      <c r="O489" s="9">
        <f>sales[[#This Row],[Total Price]]*1.5%</f>
        <v>8.9699999999999989</v>
      </c>
      <c r="Q489" s="2">
        <v>1</v>
      </c>
      <c r="R489" s="5" t="str">
        <f>_xlfn.CONCAT(sales[[#This Row],[Shop]]," ",sales[[#This Row],[Location]])</f>
        <v>Central Fortress</v>
      </c>
    </row>
    <row r="490" spans="1:18">
      <c r="A490" s="7">
        <v>488</v>
      </c>
      <c r="B490" s="2" t="s">
        <v>1013</v>
      </c>
      <c r="C490" s="5" t="s">
        <v>975</v>
      </c>
      <c r="D490" s="2" t="str">
        <f ca="1">OFFSET(Roster!$B$7, MATCH(B490&amp;" "&amp;C490&amp;"*",Roster!$B$8:$B$20,0),DAY(sales[[#This Row],[date]]),1, 1)</f>
        <v>Margaret</v>
      </c>
      <c r="E490" s="2">
        <f>MONTH(sales[[#This Row],[date]])</f>
        <v>6</v>
      </c>
      <c r="F490" s="233">
        <v>46181</v>
      </c>
      <c r="G490" s="3" t="str">
        <f>VLOOKUP("*"&amp;sales[[#This Row],[Input]]&amp;"*",'Ref-List'!$A:$C,1,0)</f>
        <v>Model-Input-Ref</v>
      </c>
      <c r="H490" s="2" t="str">
        <f>VLOOKUP("*"&amp;G490&amp;"*",'Ref-List'!$A:$C,3,0)</f>
        <v>Product Line</v>
      </c>
      <c r="J490" s="2">
        <v>1</v>
      </c>
      <c r="K490" s="2">
        <v>798</v>
      </c>
      <c r="L490" s="2">
        <f>sales[[#This Row],[quantity]]*sales[[#This Row],[price]]</f>
        <v>798</v>
      </c>
      <c r="M490" s="9">
        <f>sales[[#This Row],[Total Price]]*3%</f>
        <v>23.939999999999998</v>
      </c>
      <c r="N490" s="171">
        <f>sales[[#This Row],[Total Price]]*2.5%</f>
        <v>19.950000000000003</v>
      </c>
      <c r="O490" s="9">
        <f>sales[[#This Row],[Total Price]]*1.5%</f>
        <v>11.969999999999999</v>
      </c>
      <c r="Q490" s="2">
        <v>1</v>
      </c>
      <c r="R490" s="5" t="str">
        <f>_xlfn.CONCAT(sales[[#This Row],[Shop]]," ",sales[[#This Row],[Location]])</f>
        <v>Central Fortress</v>
      </c>
    </row>
    <row r="491" spans="1:18" ht="15.6" customHeight="1">
      <c r="A491" s="7">
        <v>489</v>
      </c>
      <c r="B491" s="2" t="s">
        <v>1013</v>
      </c>
      <c r="C491" s="5" t="s">
        <v>975</v>
      </c>
      <c r="D491" s="2" t="str">
        <f ca="1">OFFSET(Roster!$B$7, MATCH(B491&amp;" "&amp;C491&amp;"*",Roster!$B$8:$B$20,0),DAY(sales[[#This Row],[date]]),1, 1)</f>
        <v>Margaret</v>
      </c>
      <c r="E491" s="2">
        <f>MONTH(sales[[#This Row],[date]])</f>
        <v>6</v>
      </c>
      <c r="F491" s="234">
        <v>46181</v>
      </c>
      <c r="G491" s="3" t="str">
        <f>VLOOKUP("*"&amp;sales[[#This Row],[Input]]&amp;"*",'Ref-List'!$A:$C,1,0)</f>
        <v>Model-Input-Ref</v>
      </c>
      <c r="H491" s="2" t="str">
        <f>VLOOKUP("*"&amp;G491&amp;"*",'Ref-List'!$A:$C,3,0)</f>
        <v>Product Line</v>
      </c>
      <c r="J491" s="2">
        <v>1</v>
      </c>
      <c r="K491" s="2">
        <v>2388</v>
      </c>
      <c r="L491" s="2">
        <f>sales[[#This Row],[quantity]]*sales[[#This Row],[price]]</f>
        <v>2388</v>
      </c>
      <c r="M491" s="9">
        <f>sales[[#This Row],[Total Price]]*3%</f>
        <v>71.64</v>
      </c>
      <c r="N491" s="171">
        <f>sales[[#This Row],[Total Price]]*2.5%</f>
        <v>59.7</v>
      </c>
      <c r="O491" s="9">
        <f>sales[[#This Row],[Total Price]]*1.5%</f>
        <v>35.82</v>
      </c>
      <c r="Q491" s="2">
        <v>1</v>
      </c>
      <c r="R491" s="5" t="str">
        <f>_xlfn.CONCAT(sales[[#This Row],[Shop]]," ",sales[[#This Row],[Location]])</f>
        <v>Central Fortress</v>
      </c>
    </row>
    <row r="492" spans="1:18">
      <c r="A492" s="7">
        <v>490</v>
      </c>
      <c r="B492" s="2" t="s">
        <v>1013</v>
      </c>
      <c r="C492" s="5" t="s">
        <v>975</v>
      </c>
      <c r="D492" s="2" t="str">
        <f ca="1">OFFSET(Roster!$B$7, MATCH(B492&amp;" "&amp;C492&amp;"*",Roster!$B$8:$B$20,0),DAY(sales[[#This Row],[date]]),1, 1)</f>
        <v>Margaret</v>
      </c>
      <c r="E492" s="2">
        <f>MONTH(sales[[#This Row],[date]])</f>
        <v>6</v>
      </c>
      <c r="F492" s="233">
        <v>46181</v>
      </c>
      <c r="G492" s="3" t="str">
        <f>VLOOKUP("*"&amp;sales[[#This Row],[Input]]&amp;"*",'Ref-List'!$A:$C,1,0)</f>
        <v>Model-Input-Ref</v>
      </c>
      <c r="H492" s="2" t="str">
        <f>VLOOKUP("*"&amp;G492&amp;"*",'Ref-List'!$A:$C,3,0)</f>
        <v>Product Line</v>
      </c>
      <c r="J492" s="2">
        <v>1</v>
      </c>
      <c r="K492" s="2">
        <v>628</v>
      </c>
      <c r="L492" s="2">
        <f>sales[[#This Row],[quantity]]*sales[[#This Row],[price]]</f>
        <v>628</v>
      </c>
      <c r="M492" s="9">
        <f>sales[[#This Row],[Total Price]]*3%</f>
        <v>18.84</v>
      </c>
      <c r="N492" s="171">
        <f>sales[[#This Row],[Total Price]]*2.5%</f>
        <v>15.700000000000001</v>
      </c>
      <c r="O492" s="9">
        <f>sales[[#This Row],[Total Price]]*1.5%</f>
        <v>9.42</v>
      </c>
      <c r="Q492" s="2">
        <v>1</v>
      </c>
      <c r="R492" s="5" t="str">
        <f>_xlfn.CONCAT(sales[[#This Row],[Shop]]," ",sales[[#This Row],[Location]])</f>
        <v>Central Fortress</v>
      </c>
    </row>
    <row r="493" spans="1:18" ht="15.6" customHeight="1">
      <c r="A493" s="7">
        <v>491</v>
      </c>
      <c r="B493" s="2" t="s">
        <v>1013</v>
      </c>
      <c r="C493" s="5" t="s">
        <v>975</v>
      </c>
      <c r="D493" s="2" t="str">
        <f ca="1">OFFSET(Roster!$B$7, MATCH(B493&amp;" "&amp;C493&amp;"*",Roster!$B$8:$B$20,0),DAY(sales[[#This Row],[date]]),1, 1)</f>
        <v>Margaret</v>
      </c>
      <c r="E493" s="2">
        <f>MONTH(sales[[#This Row],[date]])</f>
        <v>6</v>
      </c>
      <c r="F493" s="233">
        <v>46181</v>
      </c>
      <c r="G493" s="3" t="str">
        <f>VLOOKUP("*"&amp;sales[[#This Row],[Input]]&amp;"*",'Ref-List'!$A:$C,1,0)</f>
        <v>Model-Input-Ref</v>
      </c>
      <c r="H493" s="2" t="str">
        <f>VLOOKUP("*"&amp;G493&amp;"*",'Ref-List'!$A:$C,3,0)</f>
        <v>Product Line</v>
      </c>
      <c r="J493" s="2">
        <v>1</v>
      </c>
      <c r="K493" s="2">
        <v>798</v>
      </c>
      <c r="L493" s="2">
        <f>sales[[#This Row],[quantity]]*sales[[#This Row],[price]]</f>
        <v>798</v>
      </c>
      <c r="M493" s="9">
        <f>sales[[#This Row],[Total Price]]*3%</f>
        <v>23.939999999999998</v>
      </c>
      <c r="N493" s="171">
        <f>sales[[#This Row],[Total Price]]*2.5%</f>
        <v>19.950000000000003</v>
      </c>
      <c r="O493" s="9">
        <f>sales[[#This Row],[Total Price]]*1.5%</f>
        <v>11.969999999999999</v>
      </c>
      <c r="Q493" s="2">
        <v>1</v>
      </c>
      <c r="R493" s="5" t="str">
        <f>_xlfn.CONCAT(sales[[#This Row],[Shop]]," ",sales[[#This Row],[Location]])</f>
        <v>Central Fortress</v>
      </c>
    </row>
    <row r="494" spans="1:18">
      <c r="A494" s="7">
        <v>492</v>
      </c>
      <c r="B494" s="2" t="s">
        <v>1013</v>
      </c>
      <c r="C494" s="5" t="s">
        <v>975</v>
      </c>
      <c r="D494" s="2" t="str">
        <f ca="1">OFFSET(Roster!$B$7, MATCH(B494&amp;" "&amp;C494&amp;"*",Roster!$B$8:$B$20,0),DAY(sales[[#This Row],[date]]),1, 1)</f>
        <v>Margaret</v>
      </c>
      <c r="E494" s="2">
        <f>MONTH(sales[[#This Row],[date]])</f>
        <v>6</v>
      </c>
      <c r="F494" s="233">
        <v>46182</v>
      </c>
      <c r="G494" s="3" t="str">
        <f>VLOOKUP("*"&amp;sales[[#This Row],[Input]]&amp;"*",'Ref-List'!$A:$C,1,0)</f>
        <v>Model-Input-Ref</v>
      </c>
      <c r="H494" s="2" t="str">
        <f>VLOOKUP("*"&amp;G494&amp;"*",'Ref-List'!$A:$C,3,0)</f>
        <v>Product Line</v>
      </c>
      <c r="J494" s="2">
        <v>1</v>
      </c>
      <c r="K494" s="2">
        <v>868</v>
      </c>
      <c r="L494" s="2">
        <f>sales[[#This Row],[quantity]]*sales[[#This Row],[price]]</f>
        <v>868</v>
      </c>
      <c r="M494" s="9">
        <f>sales[[#This Row],[Total Price]]*3%</f>
        <v>26.04</v>
      </c>
      <c r="N494" s="171">
        <f>sales[[#This Row],[Total Price]]*2.5%</f>
        <v>21.700000000000003</v>
      </c>
      <c r="O494" s="9">
        <f>sales[[#This Row],[Total Price]]*1.5%</f>
        <v>13.02</v>
      </c>
      <c r="Q494" s="2">
        <v>1</v>
      </c>
      <c r="R494" s="5" t="str">
        <f>_xlfn.CONCAT(sales[[#This Row],[Shop]]," ",sales[[#This Row],[Location]])</f>
        <v>Central Fortress</v>
      </c>
    </row>
    <row r="495" spans="1:18" ht="15.6" customHeight="1">
      <c r="A495" s="7">
        <v>493</v>
      </c>
      <c r="B495" s="2" t="s">
        <v>1013</v>
      </c>
      <c r="C495" s="5" t="s">
        <v>975</v>
      </c>
      <c r="D495" s="2" t="str">
        <f ca="1">OFFSET(Roster!$B$7, MATCH(B495&amp;" "&amp;C495&amp;"*",Roster!$B$8:$B$20,0),DAY(sales[[#This Row],[date]]),1, 1)</f>
        <v>Margaret</v>
      </c>
      <c r="E495" s="2">
        <f>MONTH(sales[[#This Row],[date]])</f>
        <v>6</v>
      </c>
      <c r="F495" s="233">
        <v>46182</v>
      </c>
      <c r="G495" s="3" t="str">
        <f>VLOOKUP("*"&amp;sales[[#This Row],[Input]]&amp;"*",'Ref-List'!$A:$C,1,0)</f>
        <v>Model-Input-Ref</v>
      </c>
      <c r="H495" s="2" t="str">
        <f>VLOOKUP("*"&amp;G495&amp;"*",'Ref-List'!$A:$C,3,0)</f>
        <v>Product Line</v>
      </c>
      <c r="J495" s="2">
        <v>1</v>
      </c>
      <c r="K495" s="2">
        <v>628</v>
      </c>
      <c r="L495" s="2">
        <f>sales[[#This Row],[quantity]]*sales[[#This Row],[price]]</f>
        <v>628</v>
      </c>
      <c r="M495" s="9">
        <f>sales[[#This Row],[Total Price]]*3%</f>
        <v>18.84</v>
      </c>
      <c r="N495" s="171">
        <f>sales[[#This Row],[Total Price]]*2.5%</f>
        <v>15.700000000000001</v>
      </c>
      <c r="O495" s="9">
        <f>sales[[#This Row],[Total Price]]*1.5%</f>
        <v>9.42</v>
      </c>
      <c r="Q495" s="2">
        <v>1</v>
      </c>
      <c r="R495" s="5" t="str">
        <f>_xlfn.CONCAT(sales[[#This Row],[Shop]]," ",sales[[#This Row],[Location]])</f>
        <v>Central Fortress</v>
      </c>
    </row>
    <row r="496" spans="1:18">
      <c r="A496" s="7">
        <v>494</v>
      </c>
      <c r="B496" s="2" t="s">
        <v>1013</v>
      </c>
      <c r="C496" s="5" t="s">
        <v>975</v>
      </c>
      <c r="D496" s="2" t="str">
        <f ca="1">OFFSET(Roster!$B$7, MATCH(B496&amp;" "&amp;C496&amp;"*",Roster!$B$8:$B$20,0),DAY(sales[[#This Row],[date]]),1, 1)</f>
        <v>Margaret</v>
      </c>
      <c r="E496" s="2">
        <f>MONTH(sales[[#This Row],[date]])</f>
        <v>6</v>
      </c>
      <c r="F496" s="233">
        <v>46182</v>
      </c>
      <c r="G496" s="3" t="str">
        <f>VLOOKUP("*"&amp;sales[[#This Row],[Input]]&amp;"*",'Ref-List'!$A:$C,1,0)</f>
        <v>Model-Input-Ref</v>
      </c>
      <c r="H496" s="2" t="str">
        <f>VLOOKUP("*"&amp;G496&amp;"*",'Ref-List'!$A:$C,3,0)</f>
        <v>Product Line</v>
      </c>
      <c r="J496" s="2">
        <v>1</v>
      </c>
      <c r="K496" s="2">
        <v>1899</v>
      </c>
      <c r="L496" s="2">
        <f>sales[[#This Row],[quantity]]*sales[[#This Row],[price]]</f>
        <v>1899</v>
      </c>
      <c r="M496" s="9">
        <f>sales[[#This Row],[Total Price]]*3%</f>
        <v>56.97</v>
      </c>
      <c r="N496" s="171">
        <f>sales[[#This Row],[Total Price]]*2.5%</f>
        <v>47.475000000000001</v>
      </c>
      <c r="O496" s="9">
        <f>sales[[#This Row],[Total Price]]*1.5%</f>
        <v>28.484999999999999</v>
      </c>
      <c r="Q496" s="2">
        <v>1</v>
      </c>
      <c r="R496" s="5" t="str">
        <f>_xlfn.CONCAT(sales[[#This Row],[Shop]]," ",sales[[#This Row],[Location]])</f>
        <v>Central Fortress</v>
      </c>
    </row>
    <row r="497" spans="1:18" ht="15.6" customHeight="1">
      <c r="A497" s="7">
        <v>495</v>
      </c>
      <c r="B497" s="2" t="s">
        <v>1013</v>
      </c>
      <c r="C497" s="5" t="s">
        <v>975</v>
      </c>
      <c r="D497" s="2" t="str">
        <f ca="1">OFFSET(Roster!$B$7, MATCH(B497&amp;" "&amp;C497&amp;"*",Roster!$B$8:$B$20,0),DAY(sales[[#This Row],[date]]),1, 1)</f>
        <v>Margaret</v>
      </c>
      <c r="E497" s="2">
        <f>MONTH(sales[[#This Row],[date]])</f>
        <v>6</v>
      </c>
      <c r="F497" s="233">
        <v>46182</v>
      </c>
      <c r="G497" s="3" t="str">
        <f>VLOOKUP("*"&amp;sales[[#This Row],[Input]]&amp;"*",'Ref-List'!$A:$C,1,0)</f>
        <v>Model-Input-Ref</v>
      </c>
      <c r="H497" s="2" t="str">
        <f>VLOOKUP("*"&amp;G497&amp;"*",'Ref-List'!$A:$C,3,0)</f>
        <v>Product Line</v>
      </c>
      <c r="J497" s="2">
        <v>1</v>
      </c>
      <c r="K497" s="2">
        <v>848</v>
      </c>
      <c r="L497" s="2">
        <f>sales[[#This Row],[quantity]]*sales[[#This Row],[price]]</f>
        <v>848</v>
      </c>
      <c r="M497" s="9">
        <f>sales[[#This Row],[Total Price]]*3%</f>
        <v>25.439999999999998</v>
      </c>
      <c r="N497" s="171">
        <f>sales[[#This Row],[Total Price]]*2.5%</f>
        <v>21.200000000000003</v>
      </c>
      <c r="O497" s="9">
        <f>sales[[#This Row],[Total Price]]*1.5%</f>
        <v>12.719999999999999</v>
      </c>
      <c r="Q497" s="2">
        <v>2</v>
      </c>
      <c r="R497" s="5" t="str">
        <f>_xlfn.CONCAT(sales[[#This Row],[Shop]]," ",sales[[#This Row],[Location]])</f>
        <v>Central Fortress</v>
      </c>
    </row>
    <row r="498" spans="1:18">
      <c r="A498" s="7">
        <v>496</v>
      </c>
      <c r="B498" s="2" t="s">
        <v>1013</v>
      </c>
      <c r="C498" s="5" t="s">
        <v>975</v>
      </c>
      <c r="D498" s="2" t="str">
        <f ca="1">OFFSET(Roster!$B$7, MATCH(B498&amp;" "&amp;C498&amp;"*",Roster!$B$8:$B$20,0),DAY(sales[[#This Row],[date]]),1, 1)</f>
        <v>Margaret</v>
      </c>
      <c r="E498" s="2">
        <f>MONTH(sales[[#This Row],[date]])</f>
        <v>6</v>
      </c>
      <c r="F498" s="233">
        <v>46182</v>
      </c>
      <c r="G498" s="3" t="str">
        <f>VLOOKUP("*"&amp;sales[[#This Row],[Input]]&amp;"*",'Ref-List'!$A:$C,1,0)</f>
        <v>Model-Input-Ref</v>
      </c>
      <c r="H498" s="2" t="str">
        <f>VLOOKUP("*"&amp;G498&amp;"*",'Ref-List'!$A:$C,3,0)</f>
        <v>Product Line</v>
      </c>
      <c r="J498" s="2">
        <v>1</v>
      </c>
      <c r="K498" s="2">
        <v>298</v>
      </c>
      <c r="L498" s="2">
        <f>sales[[#This Row],[quantity]]*sales[[#This Row],[price]]</f>
        <v>298</v>
      </c>
      <c r="M498" s="9">
        <f>sales[[#This Row],[Total Price]]*3%</f>
        <v>8.94</v>
      </c>
      <c r="N498" s="171">
        <f>sales[[#This Row],[Total Price]]*2.5%</f>
        <v>7.45</v>
      </c>
      <c r="O498" s="9">
        <f>sales[[#This Row],[Total Price]]*1.5%</f>
        <v>4.47</v>
      </c>
      <c r="Q498" s="2">
        <v>2</v>
      </c>
      <c r="R498" s="5" t="str">
        <f>_xlfn.CONCAT(sales[[#This Row],[Shop]]," ",sales[[#This Row],[Location]])</f>
        <v>Central Fortress</v>
      </c>
    </row>
    <row r="499" spans="1:18" ht="15.6" customHeight="1">
      <c r="A499" s="7">
        <v>497</v>
      </c>
      <c r="B499" s="2" t="s">
        <v>1013</v>
      </c>
      <c r="C499" s="5" t="s">
        <v>975</v>
      </c>
      <c r="D499" s="2" t="str">
        <f ca="1">OFFSET(Roster!$B$7, MATCH(B499&amp;" "&amp;C499&amp;"*",Roster!$B$8:$B$20,0),DAY(sales[[#This Row],[date]]),1, 1)</f>
        <v>Margaret</v>
      </c>
      <c r="E499" s="2">
        <f>MONTH(sales[[#This Row],[date]])</f>
        <v>6</v>
      </c>
      <c r="F499" s="233">
        <v>46182</v>
      </c>
      <c r="G499" s="3" t="str">
        <f>VLOOKUP("*"&amp;sales[[#This Row],[Input]]&amp;"*",'Ref-List'!$A:$C,1,0)</f>
        <v>Model-Input-Ref</v>
      </c>
      <c r="H499" s="2" t="str">
        <f>VLOOKUP("*"&amp;G499&amp;"*",'Ref-List'!$A:$C,3,0)</f>
        <v>Product Line</v>
      </c>
      <c r="J499" s="2">
        <v>1</v>
      </c>
      <c r="K499" s="2">
        <v>628</v>
      </c>
      <c r="L499" s="2">
        <f>sales[[#This Row],[quantity]]*sales[[#This Row],[price]]</f>
        <v>628</v>
      </c>
      <c r="M499" s="9">
        <f>sales[[#This Row],[Total Price]]*3%</f>
        <v>18.84</v>
      </c>
      <c r="N499" s="171">
        <f>sales[[#This Row],[Total Price]]*2.5%</f>
        <v>15.700000000000001</v>
      </c>
      <c r="O499" s="9">
        <f>sales[[#This Row],[Total Price]]*1.5%</f>
        <v>9.42</v>
      </c>
      <c r="Q499" s="2">
        <v>2</v>
      </c>
      <c r="R499" s="5" t="str">
        <f>_xlfn.CONCAT(sales[[#This Row],[Shop]]," ",sales[[#This Row],[Location]])</f>
        <v>Central Fortress</v>
      </c>
    </row>
    <row r="500" spans="1:18" ht="16.5" customHeight="1">
      <c r="A500" s="7">
        <v>498</v>
      </c>
      <c r="B500" s="2" t="s">
        <v>1013</v>
      </c>
      <c r="C500" s="5" t="s">
        <v>975</v>
      </c>
      <c r="D500" s="2" t="str">
        <f ca="1">OFFSET(Roster!$B$7, MATCH(B500&amp;" "&amp;C500&amp;"*",Roster!$B$8:$B$20,0),DAY(sales[[#This Row],[date]]),1, 1)</f>
        <v>Margaret</v>
      </c>
      <c r="E500" s="2">
        <f>MONTH(sales[[#This Row],[date]])</f>
        <v>6</v>
      </c>
      <c r="F500" s="233">
        <v>46182</v>
      </c>
      <c r="G500" s="3" t="str">
        <f>VLOOKUP("*"&amp;sales[[#This Row],[Input]]&amp;"*",'Ref-List'!$A:$C,1,0)</f>
        <v>Model-Input-Ref</v>
      </c>
      <c r="H500" s="2" t="str">
        <f>VLOOKUP("*"&amp;G500&amp;"*",'Ref-List'!$A:$C,3,0)</f>
        <v>Product Line</v>
      </c>
      <c r="J500" s="2">
        <v>1</v>
      </c>
      <c r="K500" s="2">
        <v>3688</v>
      </c>
      <c r="L500" s="2">
        <f>sales[[#This Row],[quantity]]*sales[[#This Row],[price]]</f>
        <v>3688</v>
      </c>
      <c r="M500" s="9">
        <f>sales[[#This Row],[Total Price]]*3%</f>
        <v>110.64</v>
      </c>
      <c r="N500" s="171">
        <f>sales[[#This Row],[Total Price]]*2.5%</f>
        <v>92.2</v>
      </c>
      <c r="O500" s="9">
        <f>sales[[#This Row],[Total Price]]*1.5%</f>
        <v>55.32</v>
      </c>
      <c r="Q500" s="2">
        <v>2</v>
      </c>
      <c r="R500" s="5" t="str">
        <f>_xlfn.CONCAT(sales[[#This Row],[Shop]]," ",sales[[#This Row],[Location]])</f>
        <v>Central Fortress</v>
      </c>
    </row>
    <row r="501" spans="1:18" ht="16.5" customHeight="1">
      <c r="A501" s="7">
        <v>499</v>
      </c>
      <c r="B501" s="2" t="s">
        <v>1013</v>
      </c>
      <c r="C501" s="5" t="s">
        <v>975</v>
      </c>
      <c r="D501" s="2" t="str">
        <f ca="1">OFFSET(Roster!$B$7, MATCH(B501&amp;" "&amp;C501&amp;"*",Roster!$B$8:$B$20,0),DAY(sales[[#This Row],[date]]),1, 1)</f>
        <v>Margaret</v>
      </c>
      <c r="E501" s="2">
        <f>MONTH(sales[[#This Row],[date]])</f>
        <v>6</v>
      </c>
      <c r="F501" s="233">
        <v>46188</v>
      </c>
      <c r="G501" s="3" t="str">
        <f>VLOOKUP("*"&amp;sales[[#This Row],[Input]]&amp;"*",'Ref-List'!$A:$C,1,0)</f>
        <v>Model-Input-Ref</v>
      </c>
      <c r="H501" s="2" t="str">
        <f>VLOOKUP("*"&amp;G501&amp;"*",'Ref-List'!$A:$C,3,0)</f>
        <v>Product Line</v>
      </c>
      <c r="J501" s="2">
        <v>1</v>
      </c>
      <c r="K501" s="2">
        <v>628</v>
      </c>
      <c r="L501" s="2">
        <f>sales[[#This Row],[quantity]]*sales[[#This Row],[price]]</f>
        <v>628</v>
      </c>
      <c r="M501" s="9">
        <f>sales[[#This Row],[Total Price]]*3%</f>
        <v>18.84</v>
      </c>
      <c r="N501" s="171">
        <f>sales[[#This Row],[Total Price]]*2.5%</f>
        <v>15.700000000000001</v>
      </c>
      <c r="O501" s="9">
        <f>sales[[#This Row],[Total Price]]*1.5%</f>
        <v>9.42</v>
      </c>
      <c r="Q501" s="2">
        <v>2</v>
      </c>
      <c r="R501" s="5" t="str">
        <f>_xlfn.CONCAT(sales[[#This Row],[Shop]]," ",sales[[#This Row],[Location]])</f>
        <v>Central Fortress</v>
      </c>
    </row>
    <row r="502" spans="1:18" ht="16.5" customHeight="1">
      <c r="A502" s="7">
        <v>500</v>
      </c>
      <c r="B502" s="2" t="s">
        <v>1013</v>
      </c>
      <c r="C502" s="5" t="s">
        <v>975</v>
      </c>
      <c r="D502" s="2" t="str">
        <f ca="1">OFFSET(Roster!$B$7, MATCH(B502&amp;" "&amp;C502&amp;"*",Roster!$B$8:$B$20,0),DAY(sales[[#This Row],[date]]),1, 1)</f>
        <v>Margaret</v>
      </c>
      <c r="E502" s="2">
        <f>MONTH(sales[[#This Row],[date]])</f>
        <v>6</v>
      </c>
      <c r="F502" s="233">
        <v>46188</v>
      </c>
      <c r="G502" s="3" t="str">
        <f>VLOOKUP("*"&amp;sales[[#This Row],[Input]]&amp;"*",'Ref-List'!$A:$C,1,0)</f>
        <v>Model-Input-Ref</v>
      </c>
      <c r="H502" s="2" t="str">
        <f>VLOOKUP("*"&amp;G502&amp;"*",'Ref-List'!$A:$C,3,0)</f>
        <v>Product Line</v>
      </c>
      <c r="J502" s="2">
        <v>1</v>
      </c>
      <c r="K502" s="2">
        <v>328</v>
      </c>
      <c r="L502" s="2">
        <f>sales[[#This Row],[quantity]]*sales[[#This Row],[price]]</f>
        <v>328</v>
      </c>
      <c r="M502" s="9">
        <f>sales[[#This Row],[Total Price]]*3%</f>
        <v>9.84</v>
      </c>
      <c r="N502" s="171">
        <f>sales[[#This Row],[Total Price]]*2.5%</f>
        <v>8.2000000000000011</v>
      </c>
      <c r="O502" s="9">
        <f>sales[[#This Row],[Total Price]]*1.5%</f>
        <v>4.92</v>
      </c>
      <c r="Q502" s="2">
        <v>3</v>
      </c>
      <c r="R502" s="5" t="str">
        <f>_xlfn.CONCAT(sales[[#This Row],[Shop]]," ",sales[[#This Row],[Location]])</f>
        <v>Central Fortress</v>
      </c>
    </row>
    <row r="503" spans="1:18" ht="16.5" customHeight="1">
      <c r="A503" s="7">
        <v>501</v>
      </c>
      <c r="B503" s="2" t="s">
        <v>1013</v>
      </c>
      <c r="C503" s="5" t="s">
        <v>975</v>
      </c>
      <c r="D503" s="2" t="str">
        <f ca="1">OFFSET(Roster!$B$7, MATCH(B503&amp;" "&amp;C503&amp;"*",Roster!$B$8:$B$20,0),DAY(sales[[#This Row],[date]]),1, 1)</f>
        <v>Margaret</v>
      </c>
      <c r="E503" s="2">
        <f>MONTH(sales[[#This Row],[date]])</f>
        <v>6</v>
      </c>
      <c r="F503" s="233">
        <v>46188</v>
      </c>
      <c r="G503" s="3" t="str">
        <f>VLOOKUP("*"&amp;sales[[#This Row],[Input]]&amp;"*",'Ref-List'!$A:$C,1,0)</f>
        <v>Model-Input-Ref</v>
      </c>
      <c r="H503" s="2" t="str">
        <f>VLOOKUP("*"&amp;G503&amp;"*",'Ref-List'!$A:$C,3,0)</f>
        <v>Product Line</v>
      </c>
      <c r="J503" s="2">
        <v>1</v>
      </c>
      <c r="K503" s="2">
        <v>598</v>
      </c>
      <c r="L503" s="2">
        <f>sales[[#This Row],[quantity]]*sales[[#This Row],[price]]</f>
        <v>598</v>
      </c>
      <c r="M503" s="9">
        <f>sales[[#This Row],[Total Price]]*3%</f>
        <v>17.939999999999998</v>
      </c>
      <c r="N503" s="171">
        <f>sales[[#This Row],[Total Price]]*2.5%</f>
        <v>14.950000000000001</v>
      </c>
      <c r="O503" s="9">
        <f>sales[[#This Row],[Total Price]]*1.5%</f>
        <v>8.9699999999999989</v>
      </c>
      <c r="Q503" s="2">
        <v>3</v>
      </c>
      <c r="R503" s="5" t="str">
        <f>_xlfn.CONCAT(sales[[#This Row],[Shop]]," ",sales[[#This Row],[Location]])</f>
        <v>Central Fortress</v>
      </c>
    </row>
    <row r="504" spans="1:18" ht="16.5" customHeight="1">
      <c r="A504" s="7">
        <v>502</v>
      </c>
      <c r="B504" s="2" t="s">
        <v>1013</v>
      </c>
      <c r="C504" s="5" t="s">
        <v>975</v>
      </c>
      <c r="D504" s="2" t="str">
        <f ca="1">OFFSET(Roster!$B$7, MATCH(B504&amp;" "&amp;C504&amp;"*",Roster!$B$8:$B$20,0),DAY(sales[[#This Row],[date]]),1, 1)</f>
        <v>Margaret</v>
      </c>
      <c r="E504" s="2">
        <f>MONTH(sales[[#This Row],[date]])</f>
        <v>6</v>
      </c>
      <c r="F504" s="233">
        <v>46188</v>
      </c>
      <c r="G504" s="3" t="str">
        <f>VLOOKUP("*"&amp;sales[[#This Row],[Input]]&amp;"*",'Ref-List'!$A:$C,1,0)</f>
        <v>Model-Input-Ref</v>
      </c>
      <c r="H504" s="2" t="str">
        <f>VLOOKUP("*"&amp;G504&amp;"*",'Ref-List'!$A:$C,3,0)</f>
        <v>Product Line</v>
      </c>
      <c r="J504" s="2">
        <v>1</v>
      </c>
      <c r="K504" s="2">
        <v>338</v>
      </c>
      <c r="L504" s="2">
        <f>sales[[#This Row],[quantity]]*sales[[#This Row],[price]]</f>
        <v>338</v>
      </c>
      <c r="M504" s="9">
        <f>sales[[#This Row],[Total Price]]*3%</f>
        <v>10.139999999999999</v>
      </c>
      <c r="N504" s="171">
        <f>sales[[#This Row],[Total Price]]*2.5%</f>
        <v>8.4500000000000011</v>
      </c>
      <c r="O504" s="9">
        <f>sales[[#This Row],[Total Price]]*1.5%</f>
        <v>5.0699999999999994</v>
      </c>
      <c r="Q504" s="2">
        <v>3</v>
      </c>
      <c r="R504" s="5" t="str">
        <f>_xlfn.CONCAT(sales[[#This Row],[Shop]]," ",sales[[#This Row],[Location]])</f>
        <v>Central Fortress</v>
      </c>
    </row>
    <row r="505" spans="1:18" ht="16.5" customHeight="1">
      <c r="A505" s="7">
        <v>503</v>
      </c>
      <c r="B505" s="2" t="s">
        <v>1013</v>
      </c>
      <c r="C505" s="5" t="s">
        <v>975</v>
      </c>
      <c r="D505" s="2" t="str">
        <f ca="1">OFFSET(Roster!$B$7, MATCH(B505&amp;" "&amp;C505&amp;"*",Roster!$B$8:$B$20,0),DAY(sales[[#This Row],[date]]),1, 1)</f>
        <v>Margaret</v>
      </c>
      <c r="E505" s="2">
        <f>MONTH(sales[[#This Row],[date]])</f>
        <v>6</v>
      </c>
      <c r="F505" s="233">
        <v>46188</v>
      </c>
      <c r="G505" s="3" t="str">
        <f>VLOOKUP("*"&amp;sales[[#This Row],[Input]]&amp;"*",'Ref-List'!$A:$C,1,0)</f>
        <v>Model-Input-Ref</v>
      </c>
      <c r="H505" s="2" t="str">
        <f>VLOOKUP("*"&amp;G505&amp;"*",'Ref-List'!$A:$C,3,0)</f>
        <v>Product Line</v>
      </c>
      <c r="J505" s="2">
        <v>1</v>
      </c>
      <c r="K505" s="2">
        <v>598</v>
      </c>
      <c r="L505" s="2">
        <f>sales[[#This Row],[quantity]]*sales[[#This Row],[price]]</f>
        <v>598</v>
      </c>
      <c r="M505" s="9">
        <f>sales[[#This Row],[Total Price]]*3%</f>
        <v>17.939999999999998</v>
      </c>
      <c r="N505" s="171">
        <f>sales[[#This Row],[Total Price]]*2.5%</f>
        <v>14.950000000000001</v>
      </c>
      <c r="O505" s="9">
        <f>sales[[#This Row],[Total Price]]*1.5%</f>
        <v>8.9699999999999989</v>
      </c>
      <c r="Q505" s="2">
        <v>3</v>
      </c>
      <c r="R505" s="5" t="str">
        <f>_xlfn.CONCAT(sales[[#This Row],[Shop]]," ",sales[[#This Row],[Location]])</f>
        <v>Central Fortress</v>
      </c>
    </row>
    <row r="506" spans="1:18" ht="16.5" customHeight="1">
      <c r="A506" s="7">
        <v>504</v>
      </c>
      <c r="B506" s="2" t="s">
        <v>1013</v>
      </c>
      <c r="C506" s="5" t="s">
        <v>975</v>
      </c>
      <c r="D506" s="2" t="str">
        <f ca="1">OFFSET(Roster!$B$7, MATCH(B506&amp;" "&amp;C506&amp;"*",Roster!$B$8:$B$20,0),DAY(sales[[#This Row],[date]]),1, 1)</f>
        <v>Margaret</v>
      </c>
      <c r="E506" s="2">
        <f>MONTH(sales[[#This Row],[date]])</f>
        <v>6</v>
      </c>
      <c r="F506" s="233">
        <v>46188</v>
      </c>
      <c r="G506" s="3" t="str">
        <f>VLOOKUP("*"&amp;sales[[#This Row],[Input]]&amp;"*",'Ref-List'!$A:$C,1,0)</f>
        <v>Model-Input-Ref</v>
      </c>
      <c r="H506" s="2" t="str">
        <f>VLOOKUP("*"&amp;G506&amp;"*",'Ref-List'!$A:$C,3,0)</f>
        <v>Product Line</v>
      </c>
      <c r="J506" s="2">
        <v>1</v>
      </c>
      <c r="K506" s="2">
        <v>898</v>
      </c>
      <c r="L506" s="2">
        <f>sales[[#This Row],[quantity]]*sales[[#This Row],[price]]</f>
        <v>898</v>
      </c>
      <c r="M506" s="9">
        <f>sales[[#This Row],[Total Price]]*3%</f>
        <v>26.939999999999998</v>
      </c>
      <c r="N506" s="171">
        <f>sales[[#This Row],[Total Price]]*2.5%</f>
        <v>22.450000000000003</v>
      </c>
      <c r="O506" s="9">
        <f>sales[[#This Row],[Total Price]]*1.5%</f>
        <v>13.469999999999999</v>
      </c>
      <c r="Q506" s="2">
        <v>3</v>
      </c>
      <c r="R506" s="5" t="str">
        <f>_xlfn.CONCAT(sales[[#This Row],[Shop]]," ",sales[[#This Row],[Location]])</f>
        <v>Central Fortress</v>
      </c>
    </row>
    <row r="507" spans="1:18" ht="16.5" customHeight="1">
      <c r="A507" s="7">
        <v>505</v>
      </c>
      <c r="B507" s="2" t="s">
        <v>1013</v>
      </c>
      <c r="C507" s="5" t="s">
        <v>975</v>
      </c>
      <c r="D507" s="2" t="str">
        <f ca="1">OFFSET(Roster!$B$7, MATCH(B507&amp;" "&amp;C507&amp;"*",Roster!$B$8:$B$20,0),DAY(sales[[#This Row],[date]]),1, 1)</f>
        <v>Margaret</v>
      </c>
      <c r="E507" s="2">
        <f>MONTH(sales[[#This Row],[date]])</f>
        <v>6</v>
      </c>
      <c r="F507" s="233">
        <v>46188</v>
      </c>
      <c r="G507" s="3" t="str">
        <f>VLOOKUP("*"&amp;sales[[#This Row],[Input]]&amp;"*",'Ref-List'!$A:$C,1,0)</f>
        <v>Model-Input-Ref</v>
      </c>
      <c r="H507" s="2" t="str">
        <f>VLOOKUP("*"&amp;G507&amp;"*",'Ref-List'!$A:$C,3,0)</f>
        <v>Product Line</v>
      </c>
      <c r="J507" s="2">
        <v>1</v>
      </c>
      <c r="K507" s="2">
        <v>1889</v>
      </c>
      <c r="L507" s="2">
        <f>sales[[#This Row],[quantity]]*sales[[#This Row],[price]]</f>
        <v>1889</v>
      </c>
      <c r="M507" s="9">
        <f>sales[[#This Row],[Total Price]]*3%</f>
        <v>56.669999999999995</v>
      </c>
      <c r="N507" s="171">
        <f>sales[[#This Row],[Total Price]]*2.5%</f>
        <v>47.225000000000001</v>
      </c>
      <c r="O507" s="9">
        <f>sales[[#This Row],[Total Price]]*1.5%</f>
        <v>28.334999999999997</v>
      </c>
      <c r="Q507" s="2">
        <v>3</v>
      </c>
      <c r="R507" s="5" t="str">
        <f>_xlfn.CONCAT(sales[[#This Row],[Shop]]," ",sales[[#This Row],[Location]])</f>
        <v>Central Fortress</v>
      </c>
    </row>
    <row r="508" spans="1:18" ht="16.5" customHeight="1">
      <c r="A508" s="7">
        <v>506</v>
      </c>
      <c r="B508" s="2" t="s">
        <v>1013</v>
      </c>
      <c r="C508" s="5" t="s">
        <v>975</v>
      </c>
      <c r="D508" s="2" t="str">
        <f ca="1">OFFSET(Roster!$B$7, MATCH(B508&amp;" "&amp;C508&amp;"*",Roster!$B$8:$B$20,0),DAY(sales[[#This Row],[date]]),1, 1)</f>
        <v>Margaret</v>
      </c>
      <c r="E508" s="2">
        <f>MONTH(sales[[#This Row],[date]])</f>
        <v>6</v>
      </c>
      <c r="F508" s="233">
        <v>46195</v>
      </c>
      <c r="G508" s="3" t="str">
        <f>VLOOKUP("*"&amp;sales[[#This Row],[Input]]&amp;"*",'Ref-List'!$A:$C,1,0)</f>
        <v>Model-Input-Ref</v>
      </c>
      <c r="H508" s="2" t="str">
        <f>VLOOKUP("*"&amp;G508&amp;"*",'Ref-List'!$A:$C,3,0)</f>
        <v>Product Line</v>
      </c>
      <c r="J508" s="2">
        <v>1</v>
      </c>
      <c r="K508" s="2">
        <v>598</v>
      </c>
      <c r="L508" s="2">
        <f>sales[[#This Row],[quantity]]*sales[[#This Row],[price]]</f>
        <v>598</v>
      </c>
      <c r="M508" s="9">
        <f>sales[[#This Row],[Total Price]]*3%</f>
        <v>17.939999999999998</v>
      </c>
      <c r="N508" s="171">
        <f>sales[[#This Row],[Total Price]]*2.5%</f>
        <v>14.950000000000001</v>
      </c>
      <c r="O508" s="9">
        <f>sales[[#This Row],[Total Price]]*1.5%</f>
        <v>8.9699999999999989</v>
      </c>
      <c r="Q508" s="2">
        <v>3</v>
      </c>
      <c r="R508" s="5" t="str">
        <f>_xlfn.CONCAT(sales[[#This Row],[Shop]]," ",sales[[#This Row],[Location]])</f>
        <v>Central Fortress</v>
      </c>
    </row>
    <row r="509" spans="1:18" ht="16.5" customHeight="1">
      <c r="A509" s="7">
        <v>507</v>
      </c>
      <c r="B509" s="2" t="s">
        <v>1013</v>
      </c>
      <c r="C509" s="5" t="s">
        <v>975</v>
      </c>
      <c r="D509" s="2" t="str">
        <f ca="1">OFFSET(Roster!$B$7, MATCH(B509&amp;" "&amp;C509&amp;"*",Roster!$B$8:$B$20,0),DAY(sales[[#This Row],[date]]),1, 1)</f>
        <v>Margaret</v>
      </c>
      <c r="E509" s="2">
        <f>MONTH(sales[[#This Row],[date]])</f>
        <v>6</v>
      </c>
      <c r="F509" s="233">
        <v>46195</v>
      </c>
      <c r="G509" s="3" t="str">
        <f>VLOOKUP("*"&amp;sales[[#This Row],[Input]]&amp;"*",'Ref-List'!$A:$C,1,0)</f>
        <v>Model-Input-Ref</v>
      </c>
      <c r="H509" s="2" t="str">
        <f>VLOOKUP("*"&amp;G509&amp;"*",'Ref-List'!$A:$C,3,0)</f>
        <v>Product Line</v>
      </c>
      <c r="J509" s="2">
        <v>1</v>
      </c>
      <c r="K509" s="2">
        <v>628</v>
      </c>
      <c r="L509" s="2">
        <f>sales[[#This Row],[quantity]]*sales[[#This Row],[price]]</f>
        <v>628</v>
      </c>
      <c r="M509" s="9">
        <f>sales[[#This Row],[Total Price]]*3%</f>
        <v>18.84</v>
      </c>
      <c r="N509" s="171">
        <f>sales[[#This Row],[Total Price]]*2.5%</f>
        <v>15.700000000000001</v>
      </c>
      <c r="O509" s="9">
        <f>sales[[#This Row],[Total Price]]*1.5%</f>
        <v>9.42</v>
      </c>
      <c r="Q509" s="2">
        <v>3</v>
      </c>
      <c r="R509" s="5" t="str">
        <f>_xlfn.CONCAT(sales[[#This Row],[Shop]]," ",sales[[#This Row],[Location]])</f>
        <v>Central Fortress</v>
      </c>
    </row>
    <row r="510" spans="1:18" ht="16.5" customHeight="1">
      <c r="A510" s="7">
        <v>508</v>
      </c>
      <c r="B510" s="2" t="s">
        <v>1013</v>
      </c>
      <c r="C510" s="5" t="s">
        <v>975</v>
      </c>
      <c r="D510" s="2" t="str">
        <f ca="1">OFFSET(Roster!$B$7, MATCH(B510&amp;" "&amp;C510&amp;"*",Roster!$B$8:$B$20,0),DAY(sales[[#This Row],[date]]),1, 1)</f>
        <v>Margaret</v>
      </c>
      <c r="E510" s="2">
        <f>MONTH(sales[[#This Row],[date]])</f>
        <v>6</v>
      </c>
      <c r="F510" s="233">
        <v>46195</v>
      </c>
      <c r="G510" s="3" t="str">
        <f>VLOOKUP("*"&amp;sales[[#This Row],[Input]]&amp;"*",'Ref-List'!$A:$C,1,0)</f>
        <v>Model-Input-Ref</v>
      </c>
      <c r="H510" s="2" t="str">
        <f>VLOOKUP("*"&amp;G510&amp;"*",'Ref-List'!$A:$C,3,0)</f>
        <v>Product Line</v>
      </c>
      <c r="J510" s="2">
        <v>1</v>
      </c>
      <c r="K510" s="2">
        <v>598</v>
      </c>
      <c r="L510" s="2">
        <f>sales[[#This Row],[quantity]]*sales[[#This Row],[price]]</f>
        <v>598</v>
      </c>
      <c r="M510" s="9">
        <f>sales[[#This Row],[Total Price]]*3%</f>
        <v>17.939999999999998</v>
      </c>
      <c r="N510" s="171">
        <f>sales[[#This Row],[Total Price]]*2.5%</f>
        <v>14.950000000000001</v>
      </c>
      <c r="O510" s="9">
        <f>sales[[#This Row],[Total Price]]*1.5%</f>
        <v>8.9699999999999989</v>
      </c>
      <c r="Q510" s="2">
        <v>3</v>
      </c>
      <c r="R510" s="5" t="str">
        <f>_xlfn.CONCAT(sales[[#This Row],[Shop]]," ",sales[[#This Row],[Location]])</f>
        <v>Central Fortress</v>
      </c>
    </row>
    <row r="511" spans="1:18" ht="16.5" customHeight="1">
      <c r="A511" s="7">
        <v>509</v>
      </c>
      <c r="B511" s="2" t="s">
        <v>1013</v>
      </c>
      <c r="C511" s="5" t="s">
        <v>975</v>
      </c>
      <c r="D511" s="2" t="str">
        <f ca="1">OFFSET(Roster!$B$7, MATCH(B511&amp;" "&amp;C511&amp;"*",Roster!$B$8:$B$20,0),DAY(sales[[#This Row],[date]]),1, 1)</f>
        <v>Margaret</v>
      </c>
      <c r="E511" s="2">
        <f>MONTH(sales[[#This Row],[date]])</f>
        <v>6</v>
      </c>
      <c r="F511" s="233">
        <v>46195</v>
      </c>
      <c r="G511" s="3" t="str">
        <f>VLOOKUP("*"&amp;sales[[#This Row],[Input]]&amp;"*",'Ref-List'!$A:$C,1,0)</f>
        <v>Model-Input-Ref</v>
      </c>
      <c r="H511" s="2" t="str">
        <f>VLOOKUP("*"&amp;G511&amp;"*",'Ref-List'!$A:$C,3,0)</f>
        <v>Product Line</v>
      </c>
      <c r="J511" s="2">
        <v>1</v>
      </c>
      <c r="K511" s="2">
        <v>328</v>
      </c>
      <c r="L511" s="2">
        <f>sales[[#This Row],[quantity]]*sales[[#This Row],[price]]</f>
        <v>328</v>
      </c>
      <c r="M511" s="9">
        <f>sales[[#This Row],[Total Price]]*3%</f>
        <v>9.84</v>
      </c>
      <c r="N511" s="171">
        <f>sales[[#This Row],[Total Price]]*2.5%</f>
        <v>8.2000000000000011</v>
      </c>
      <c r="O511" s="9">
        <f>sales[[#This Row],[Total Price]]*1.5%</f>
        <v>4.92</v>
      </c>
      <c r="Q511" s="2">
        <v>3</v>
      </c>
      <c r="R511" s="5" t="str">
        <f>_xlfn.CONCAT(sales[[#This Row],[Shop]]," ",sales[[#This Row],[Location]])</f>
        <v>Central Fortress</v>
      </c>
    </row>
    <row r="512" spans="1:18" ht="16.5" customHeight="1">
      <c r="A512" s="7">
        <v>510</v>
      </c>
      <c r="B512" s="2" t="s">
        <v>1013</v>
      </c>
      <c r="C512" s="5" t="s">
        <v>975</v>
      </c>
      <c r="D512" s="2" t="str">
        <f ca="1">OFFSET(Roster!$B$7, MATCH(B512&amp;" "&amp;C512&amp;"*",Roster!$B$8:$B$20,0),DAY(sales[[#This Row],[date]]),1, 1)</f>
        <v>Margaret</v>
      </c>
      <c r="E512" s="2">
        <f>MONTH(sales[[#This Row],[date]])</f>
        <v>6</v>
      </c>
      <c r="F512" s="233">
        <v>46195</v>
      </c>
      <c r="G512" s="3" t="str">
        <f>VLOOKUP("*"&amp;sales[[#This Row],[Input]]&amp;"*",'Ref-List'!$A:$C,1,0)</f>
        <v>Model-Input-Ref</v>
      </c>
      <c r="H512" s="2" t="str">
        <f>VLOOKUP("*"&amp;G512&amp;"*",'Ref-List'!$A:$C,3,0)</f>
        <v>Product Line</v>
      </c>
      <c r="J512" s="2">
        <v>1</v>
      </c>
      <c r="K512" s="2">
        <v>328</v>
      </c>
      <c r="L512" s="2">
        <f>sales[[#This Row],[quantity]]*sales[[#This Row],[price]]</f>
        <v>328</v>
      </c>
      <c r="M512" s="9">
        <f>sales[[#This Row],[Total Price]]*3%</f>
        <v>9.84</v>
      </c>
      <c r="N512" s="171">
        <f>sales[[#This Row],[Total Price]]*2.5%</f>
        <v>8.2000000000000011</v>
      </c>
      <c r="O512" s="9">
        <f>sales[[#This Row],[Total Price]]*1.5%</f>
        <v>4.92</v>
      </c>
      <c r="Q512" s="2">
        <v>3</v>
      </c>
      <c r="R512" s="5" t="str">
        <f>_xlfn.CONCAT(sales[[#This Row],[Shop]]," ",sales[[#This Row],[Location]])</f>
        <v>Central Fortress</v>
      </c>
    </row>
    <row r="513" spans="1:18" ht="16.5" customHeight="1">
      <c r="A513" s="7">
        <v>511</v>
      </c>
      <c r="B513" s="2" t="s">
        <v>1013</v>
      </c>
      <c r="C513" s="5" t="s">
        <v>975</v>
      </c>
      <c r="D513" s="2" t="str">
        <f ca="1">OFFSET(Roster!$B$7, MATCH(B513&amp;" "&amp;C513&amp;"*",Roster!$B$8:$B$20,0),DAY(sales[[#This Row],[date]]),1, 1)</f>
        <v>Margaret</v>
      </c>
      <c r="E513" s="2">
        <f>MONTH(sales[[#This Row],[date]])</f>
        <v>6</v>
      </c>
      <c r="F513" s="233">
        <v>46195</v>
      </c>
      <c r="G513" s="3" t="str">
        <f>VLOOKUP("*"&amp;sales[[#This Row],[Input]]&amp;"*",'Ref-List'!$A:$C,1,0)</f>
        <v>Model-Input-Ref</v>
      </c>
      <c r="H513" s="2" t="str">
        <f>VLOOKUP("*"&amp;G513&amp;"*",'Ref-List'!$A:$C,3,0)</f>
        <v>Product Line</v>
      </c>
      <c r="J513" s="2">
        <v>1</v>
      </c>
      <c r="K513" s="2">
        <v>1899</v>
      </c>
      <c r="L513" s="2">
        <f>sales[[#This Row],[quantity]]*sales[[#This Row],[price]]</f>
        <v>1899</v>
      </c>
      <c r="M513" s="9">
        <f>sales[[#This Row],[Total Price]]*3%</f>
        <v>56.97</v>
      </c>
      <c r="N513" s="171">
        <f>sales[[#This Row],[Total Price]]*2.5%</f>
        <v>47.475000000000001</v>
      </c>
      <c r="O513" s="9">
        <f>sales[[#This Row],[Total Price]]*1.5%</f>
        <v>28.484999999999999</v>
      </c>
      <c r="Q513" s="2">
        <v>3</v>
      </c>
      <c r="R513" s="5" t="str">
        <f>_xlfn.CONCAT(sales[[#This Row],[Shop]]," ",sales[[#This Row],[Location]])</f>
        <v>Central Fortress</v>
      </c>
    </row>
    <row r="514" spans="1:18" ht="16.5" customHeight="1">
      <c r="A514" s="7">
        <v>512</v>
      </c>
      <c r="B514" s="2" t="s">
        <v>1013</v>
      </c>
      <c r="C514" s="5" t="s">
        <v>975</v>
      </c>
      <c r="D514" s="2" t="str">
        <f ca="1">OFFSET(Roster!$B$7, MATCH(B514&amp;" "&amp;C514&amp;"*",Roster!$B$8:$B$20,0),DAY(sales[[#This Row],[date]]),1, 1)</f>
        <v>Margaret</v>
      </c>
      <c r="E514" s="2">
        <f>MONTH(sales[[#This Row],[date]])</f>
        <v>6</v>
      </c>
      <c r="F514" s="233">
        <v>46195</v>
      </c>
      <c r="G514" s="3" t="str">
        <f>VLOOKUP("*"&amp;sales[[#This Row],[Input]]&amp;"*",'Ref-List'!$A:$C,1,0)</f>
        <v>Model-Input-Ref</v>
      </c>
      <c r="H514" s="2" t="str">
        <f>VLOOKUP("*"&amp;G514&amp;"*",'Ref-List'!$A:$C,3,0)</f>
        <v>Product Line</v>
      </c>
      <c r="J514" s="2">
        <v>1</v>
      </c>
      <c r="K514" s="2">
        <v>598</v>
      </c>
      <c r="L514" s="2">
        <f>sales[[#This Row],[quantity]]*sales[[#This Row],[price]]</f>
        <v>598</v>
      </c>
      <c r="M514" s="9">
        <f>sales[[#This Row],[Total Price]]*3%</f>
        <v>17.939999999999998</v>
      </c>
      <c r="N514" s="171">
        <f>sales[[#This Row],[Total Price]]*2.5%</f>
        <v>14.950000000000001</v>
      </c>
      <c r="O514" s="9">
        <f>sales[[#This Row],[Total Price]]*1.5%</f>
        <v>8.9699999999999989</v>
      </c>
      <c r="Q514" s="2">
        <v>3</v>
      </c>
      <c r="R514" s="5" t="str">
        <f>_xlfn.CONCAT(sales[[#This Row],[Shop]]," ",sales[[#This Row],[Location]])</f>
        <v>Central Fortress</v>
      </c>
    </row>
    <row r="515" spans="1:18" ht="16.5" customHeight="1">
      <c r="A515" s="7">
        <v>513</v>
      </c>
      <c r="B515" s="2" t="s">
        <v>1013</v>
      </c>
      <c r="C515" s="5" t="s">
        <v>975</v>
      </c>
      <c r="D515" s="2" t="str">
        <f ca="1">OFFSET(Roster!$B$7, MATCH(B515&amp;" "&amp;C515&amp;"*",Roster!$B$8:$B$20,0),DAY(sales[[#This Row],[date]]),1, 1)</f>
        <v>Margaret</v>
      </c>
      <c r="E515" s="2">
        <f>MONTH(sales[[#This Row],[date]])</f>
        <v>6</v>
      </c>
      <c r="F515" s="233">
        <v>46195</v>
      </c>
      <c r="G515" s="3" t="str">
        <f>VLOOKUP("*"&amp;sales[[#This Row],[Input]]&amp;"*",'Ref-List'!$A:$C,1,0)</f>
        <v>Model-Input-Ref</v>
      </c>
      <c r="H515" s="2" t="str">
        <f>VLOOKUP("*"&amp;G515&amp;"*",'Ref-List'!$A:$C,3,0)</f>
        <v>Product Line</v>
      </c>
      <c r="J515" s="2">
        <v>1</v>
      </c>
      <c r="K515" s="2">
        <v>798</v>
      </c>
      <c r="L515" s="2">
        <f>sales[[#This Row],[quantity]]*sales[[#This Row],[price]]</f>
        <v>798</v>
      </c>
      <c r="M515" s="9">
        <f>sales[[#This Row],[Total Price]]*3%</f>
        <v>23.939999999999998</v>
      </c>
      <c r="N515" s="171">
        <f>sales[[#This Row],[Total Price]]*2.5%</f>
        <v>19.950000000000003</v>
      </c>
      <c r="O515" s="9">
        <f>sales[[#This Row],[Total Price]]*1.5%</f>
        <v>11.969999999999999</v>
      </c>
      <c r="Q515" s="2">
        <v>3</v>
      </c>
      <c r="R515" s="5" t="str">
        <f>_xlfn.CONCAT(sales[[#This Row],[Shop]]," ",sales[[#This Row],[Location]])</f>
        <v>Central Fortress</v>
      </c>
    </row>
    <row r="516" spans="1:18" ht="16.5" customHeight="1">
      <c r="A516" s="7">
        <v>514</v>
      </c>
      <c r="B516" s="2" t="s">
        <v>1013</v>
      </c>
      <c r="C516" s="5" t="s">
        <v>975</v>
      </c>
      <c r="D516" s="2" t="str">
        <f ca="1">OFFSET(Roster!$B$7, MATCH(B516&amp;" "&amp;C516&amp;"*",Roster!$B$8:$B$20,0),DAY(sales[[#This Row],[date]]),1, 1)</f>
        <v>Margaret</v>
      </c>
      <c r="E516" s="2">
        <f>MONTH(sales[[#This Row],[date]])</f>
        <v>6</v>
      </c>
      <c r="F516" s="233">
        <v>46196</v>
      </c>
      <c r="G516" s="3" t="str">
        <f>VLOOKUP("*"&amp;sales[[#This Row],[Input]]&amp;"*",'Ref-List'!$A:$C,1,0)</f>
        <v>Model-Input-Ref</v>
      </c>
      <c r="H516" s="2" t="str">
        <f>VLOOKUP("*"&amp;G516&amp;"*",'Ref-List'!$A:$C,3,0)</f>
        <v>Product Line</v>
      </c>
      <c r="J516" s="2">
        <v>1</v>
      </c>
      <c r="K516" s="2">
        <v>398</v>
      </c>
      <c r="L516" s="2">
        <f>sales[[#This Row],[quantity]]*sales[[#This Row],[price]]</f>
        <v>398</v>
      </c>
      <c r="M516" s="9">
        <f>sales[[#This Row],[Total Price]]*3%</f>
        <v>11.94</v>
      </c>
      <c r="N516" s="171">
        <f>sales[[#This Row],[Total Price]]*2.5%</f>
        <v>9.9500000000000011</v>
      </c>
      <c r="O516" s="9">
        <f>sales[[#This Row],[Total Price]]*1.5%</f>
        <v>5.97</v>
      </c>
      <c r="Q516" s="2">
        <v>3</v>
      </c>
      <c r="R516" s="5" t="str">
        <f>_xlfn.CONCAT(sales[[#This Row],[Shop]]," ",sales[[#This Row],[Location]])</f>
        <v>Central Fortress</v>
      </c>
    </row>
    <row r="517" spans="1:18" ht="16.5" customHeight="1">
      <c r="A517" s="7">
        <v>515</v>
      </c>
      <c r="B517" s="2" t="s">
        <v>1013</v>
      </c>
      <c r="C517" s="5" t="s">
        <v>975</v>
      </c>
      <c r="D517" s="2" t="str">
        <f ca="1">OFFSET(Roster!$B$7, MATCH(B517&amp;" "&amp;C517&amp;"*",Roster!$B$8:$B$20,0),DAY(sales[[#This Row],[date]]),1, 1)</f>
        <v>Margaret</v>
      </c>
      <c r="E517" s="2">
        <f>MONTH(sales[[#This Row],[date]])</f>
        <v>6</v>
      </c>
      <c r="F517" s="233">
        <v>46196</v>
      </c>
      <c r="G517" s="3" t="str">
        <f>VLOOKUP("*"&amp;sales[[#This Row],[Input]]&amp;"*",'Ref-List'!$A:$C,1,0)</f>
        <v>Model-Input-Ref</v>
      </c>
      <c r="H517" s="2" t="str">
        <f>VLOOKUP("*"&amp;G517&amp;"*",'Ref-List'!$A:$C,3,0)</f>
        <v>Product Line</v>
      </c>
      <c r="J517" s="2">
        <v>1</v>
      </c>
      <c r="K517" s="2">
        <v>598</v>
      </c>
      <c r="L517" s="2">
        <f>sales[[#This Row],[quantity]]*sales[[#This Row],[price]]</f>
        <v>598</v>
      </c>
      <c r="M517" s="9">
        <f>sales[[#This Row],[Total Price]]*3%</f>
        <v>17.939999999999998</v>
      </c>
      <c r="N517" s="171">
        <f>sales[[#This Row],[Total Price]]*2.5%</f>
        <v>14.950000000000001</v>
      </c>
      <c r="O517" s="9">
        <f>sales[[#This Row],[Total Price]]*1.5%</f>
        <v>8.9699999999999989</v>
      </c>
      <c r="Q517" s="2">
        <v>3</v>
      </c>
      <c r="R517" s="5" t="str">
        <f>_xlfn.CONCAT(sales[[#This Row],[Shop]]," ",sales[[#This Row],[Location]])</f>
        <v>Central Fortress</v>
      </c>
    </row>
    <row r="518" spans="1:18" ht="16.5" customHeight="1">
      <c r="A518" s="7">
        <v>516</v>
      </c>
      <c r="B518" s="2" t="s">
        <v>1013</v>
      </c>
      <c r="C518" s="5" t="s">
        <v>975</v>
      </c>
      <c r="D518" s="2" t="str">
        <f ca="1">OFFSET(Roster!$B$7, MATCH(B518&amp;" "&amp;C518&amp;"*",Roster!$B$8:$B$20,0),DAY(sales[[#This Row],[date]]),1, 1)</f>
        <v>Margaret</v>
      </c>
      <c r="E518" s="2">
        <f>MONTH(sales[[#This Row],[date]])</f>
        <v>6</v>
      </c>
      <c r="F518" s="233">
        <v>46196</v>
      </c>
      <c r="G518" s="3" t="str">
        <f>VLOOKUP("*"&amp;sales[[#This Row],[Input]]&amp;"*",'Ref-List'!$A:$C,1,0)</f>
        <v>Model-Input-Ref</v>
      </c>
      <c r="H518" s="2" t="str">
        <f>VLOOKUP("*"&amp;G518&amp;"*",'Ref-List'!$A:$C,3,0)</f>
        <v>Product Line</v>
      </c>
      <c r="J518" s="2">
        <v>1</v>
      </c>
      <c r="K518" s="2">
        <v>598</v>
      </c>
      <c r="L518" s="2">
        <f>sales[[#This Row],[quantity]]*sales[[#This Row],[price]]</f>
        <v>598</v>
      </c>
      <c r="M518" s="9">
        <f>sales[[#This Row],[Total Price]]*3%</f>
        <v>17.939999999999998</v>
      </c>
      <c r="N518" s="171">
        <f>sales[[#This Row],[Total Price]]*2.5%</f>
        <v>14.950000000000001</v>
      </c>
      <c r="O518" s="9">
        <f>sales[[#This Row],[Total Price]]*1.5%</f>
        <v>8.9699999999999989</v>
      </c>
      <c r="Q518" s="2">
        <v>3</v>
      </c>
      <c r="R518" s="5" t="str">
        <f>_xlfn.CONCAT(sales[[#This Row],[Shop]]," ",sales[[#This Row],[Location]])</f>
        <v>Central Fortress</v>
      </c>
    </row>
    <row r="519" spans="1:18" ht="16.5" customHeight="1">
      <c r="A519" s="7">
        <v>517</v>
      </c>
      <c r="B519" s="2" t="s">
        <v>1013</v>
      </c>
      <c r="C519" s="5" t="s">
        <v>975</v>
      </c>
      <c r="D519" s="2" t="str">
        <f ca="1">OFFSET(Roster!$B$7, MATCH(B519&amp;" "&amp;C519&amp;"*",Roster!$B$8:$B$20,0),DAY(sales[[#This Row],[date]]),1, 1)</f>
        <v>Margaret</v>
      </c>
      <c r="E519" s="2">
        <f>MONTH(sales[[#This Row],[date]])</f>
        <v>6</v>
      </c>
      <c r="F519" s="233">
        <v>46196</v>
      </c>
      <c r="G519" s="3" t="str">
        <f>VLOOKUP("*"&amp;sales[[#This Row],[Input]]&amp;"*",'Ref-List'!$A:$C,1,0)</f>
        <v>Model-Input-Ref</v>
      </c>
      <c r="H519" s="2" t="str">
        <f>VLOOKUP("*"&amp;G519&amp;"*",'Ref-List'!$A:$C,3,0)</f>
        <v>Product Line</v>
      </c>
      <c r="J519" s="2">
        <v>1</v>
      </c>
      <c r="K519" s="2">
        <v>558</v>
      </c>
      <c r="L519" s="2">
        <f>sales[[#This Row],[quantity]]*sales[[#This Row],[price]]</f>
        <v>558</v>
      </c>
      <c r="M519" s="9">
        <f>sales[[#This Row],[Total Price]]*3%</f>
        <v>16.739999999999998</v>
      </c>
      <c r="N519" s="171">
        <f>sales[[#This Row],[Total Price]]*2.5%</f>
        <v>13.950000000000001</v>
      </c>
      <c r="O519" s="9">
        <f>sales[[#This Row],[Total Price]]*1.5%</f>
        <v>8.3699999999999992</v>
      </c>
      <c r="Q519" s="2">
        <v>3</v>
      </c>
      <c r="R519" s="5" t="str">
        <f>_xlfn.CONCAT(sales[[#This Row],[Shop]]," ",sales[[#This Row],[Location]])</f>
        <v>Central Fortress</v>
      </c>
    </row>
    <row r="520" spans="1:18" ht="16.5" customHeight="1">
      <c r="A520" s="7">
        <v>518</v>
      </c>
      <c r="B520" s="2" t="s">
        <v>1013</v>
      </c>
      <c r="C520" s="5" t="s">
        <v>975</v>
      </c>
      <c r="D520" s="2" t="str">
        <f ca="1">OFFSET(Roster!$B$7, MATCH(B520&amp;" "&amp;C520&amp;"*",Roster!$B$8:$B$20,0),DAY(sales[[#This Row],[date]]),1, 1)</f>
        <v>Margaret</v>
      </c>
      <c r="E520" s="2">
        <f>MONTH(sales[[#This Row],[date]])</f>
        <v>6</v>
      </c>
      <c r="F520" s="233">
        <v>46196</v>
      </c>
      <c r="G520" s="3" t="str">
        <f>VLOOKUP("*"&amp;sales[[#This Row],[Input]]&amp;"*",'Ref-List'!$A:$C,1,0)</f>
        <v>Model-Input-Ref</v>
      </c>
      <c r="H520" s="2" t="str">
        <f>VLOOKUP("*"&amp;G520&amp;"*",'Ref-List'!$A:$C,3,0)</f>
        <v>Product Line</v>
      </c>
      <c r="J520" s="2">
        <v>1</v>
      </c>
      <c r="K520" s="2">
        <v>1899</v>
      </c>
      <c r="L520" s="2">
        <f>sales[[#This Row],[quantity]]*sales[[#This Row],[price]]</f>
        <v>1899</v>
      </c>
      <c r="M520" s="9">
        <f>sales[[#This Row],[Total Price]]*3%</f>
        <v>56.97</v>
      </c>
      <c r="N520" s="171">
        <f>sales[[#This Row],[Total Price]]*2.5%</f>
        <v>47.475000000000001</v>
      </c>
      <c r="O520" s="9">
        <f>sales[[#This Row],[Total Price]]*1.5%</f>
        <v>28.484999999999999</v>
      </c>
      <c r="Q520" s="2">
        <v>4</v>
      </c>
      <c r="R520" s="5" t="str">
        <f>_xlfn.CONCAT(sales[[#This Row],[Shop]]," ",sales[[#This Row],[Location]])</f>
        <v>Central Fortress</v>
      </c>
    </row>
    <row r="521" spans="1:18" ht="16.5" customHeight="1">
      <c r="A521" s="7">
        <v>519</v>
      </c>
      <c r="B521" s="2" t="s">
        <v>1013</v>
      </c>
      <c r="C521" s="5" t="s">
        <v>975</v>
      </c>
      <c r="D521" s="2" t="str">
        <f ca="1">OFFSET(Roster!$B$7, MATCH(B521&amp;" "&amp;C521&amp;"*",Roster!$B$8:$B$20,0),DAY(sales[[#This Row],[date]]),1, 1)</f>
        <v>Margaret</v>
      </c>
      <c r="E521" s="2">
        <f>MONTH(sales[[#This Row],[date]])</f>
        <v>6</v>
      </c>
      <c r="F521" s="233">
        <v>46196</v>
      </c>
      <c r="G521" s="3" t="str">
        <f>VLOOKUP("*"&amp;sales[[#This Row],[Input]]&amp;"*",'Ref-List'!$A:$C,1,0)</f>
        <v>Model-Input-Ref</v>
      </c>
      <c r="H521" s="2" t="str">
        <f>VLOOKUP("*"&amp;G521&amp;"*",'Ref-List'!$A:$C,3,0)</f>
        <v>Product Line</v>
      </c>
      <c r="J521" s="2">
        <v>1</v>
      </c>
      <c r="K521" s="2">
        <v>368</v>
      </c>
      <c r="L521" s="2">
        <f>sales[[#This Row],[quantity]]*sales[[#This Row],[price]]</f>
        <v>368</v>
      </c>
      <c r="M521" s="9">
        <f>sales[[#This Row],[Total Price]]*3%</f>
        <v>11.04</v>
      </c>
      <c r="N521" s="171">
        <f>sales[[#This Row],[Total Price]]*2.5%</f>
        <v>9.2000000000000011</v>
      </c>
      <c r="O521" s="9">
        <f>sales[[#This Row],[Total Price]]*1.5%</f>
        <v>5.52</v>
      </c>
      <c r="Q521" s="2">
        <v>4</v>
      </c>
      <c r="R521" s="5" t="str">
        <f>_xlfn.CONCAT(sales[[#This Row],[Shop]]," ",sales[[#This Row],[Location]])</f>
        <v>Central Fortress</v>
      </c>
    </row>
    <row r="522" spans="1:18" ht="16.5" customHeight="1">
      <c r="A522" s="7">
        <v>520</v>
      </c>
      <c r="B522" s="2" t="s">
        <v>1013</v>
      </c>
      <c r="C522" s="5" t="s">
        <v>975</v>
      </c>
      <c r="D522" s="2" t="str">
        <f ca="1">OFFSET(Roster!$B$7, MATCH(B522&amp;" "&amp;C522&amp;"*",Roster!$B$8:$B$20,0),DAY(sales[[#This Row],[date]]),1, 1)</f>
        <v>Margaret</v>
      </c>
      <c r="E522" s="2">
        <f>MONTH(sales[[#This Row],[date]])</f>
        <v>6</v>
      </c>
      <c r="F522" s="233">
        <v>46196</v>
      </c>
      <c r="G522" s="3" t="str">
        <f>VLOOKUP("*"&amp;sales[[#This Row],[Input]]&amp;"*",'Ref-List'!$A:$C,1,0)</f>
        <v>Model-Input-Ref</v>
      </c>
      <c r="H522" s="2" t="str">
        <f>VLOOKUP("*"&amp;G522&amp;"*",'Ref-List'!$A:$C,3,0)</f>
        <v>Product Line</v>
      </c>
      <c r="J522" s="2">
        <v>1</v>
      </c>
      <c r="K522" s="2">
        <v>598</v>
      </c>
      <c r="L522" s="2">
        <f>sales[[#This Row],[quantity]]*sales[[#This Row],[price]]</f>
        <v>598</v>
      </c>
      <c r="M522" s="9">
        <f>sales[[#This Row],[Total Price]]*3%</f>
        <v>17.939999999999998</v>
      </c>
      <c r="N522" s="171">
        <f>sales[[#This Row],[Total Price]]*2.5%</f>
        <v>14.950000000000001</v>
      </c>
      <c r="O522" s="9">
        <f>sales[[#This Row],[Total Price]]*1.5%</f>
        <v>8.9699999999999989</v>
      </c>
      <c r="Q522" s="2">
        <v>4</v>
      </c>
      <c r="R522" s="5" t="str">
        <f>_xlfn.CONCAT(sales[[#This Row],[Shop]]," ",sales[[#This Row],[Location]])</f>
        <v>Central Fortress</v>
      </c>
    </row>
    <row r="523" spans="1:18" ht="16.5" customHeight="1">
      <c r="A523" s="7">
        <v>521</v>
      </c>
      <c r="B523" s="2" t="s">
        <v>1013</v>
      </c>
      <c r="C523" s="5" t="s">
        <v>975</v>
      </c>
      <c r="D523" s="2" t="str">
        <f ca="1">OFFSET(Roster!$B$7, MATCH(B523&amp;" "&amp;C523&amp;"*",Roster!$B$8:$B$20,0),DAY(sales[[#This Row],[date]]),1, 1)</f>
        <v>Margaret</v>
      </c>
      <c r="E523" s="2">
        <f>MONTH(sales[[#This Row],[date]])</f>
        <v>6</v>
      </c>
      <c r="F523" s="233">
        <v>46196</v>
      </c>
      <c r="G523" s="3" t="str">
        <f>VLOOKUP("*"&amp;sales[[#This Row],[Input]]&amp;"*",'Ref-List'!$A:$C,1,0)</f>
        <v>Model-Input-Ref</v>
      </c>
      <c r="H523" s="2" t="str">
        <f>VLOOKUP("*"&amp;G523&amp;"*",'Ref-List'!$A:$C,3,0)</f>
        <v>Product Line</v>
      </c>
      <c r="J523" s="2">
        <v>1</v>
      </c>
      <c r="K523" s="2">
        <v>698</v>
      </c>
      <c r="L523" s="2">
        <f>sales[[#This Row],[quantity]]*sales[[#This Row],[price]]</f>
        <v>698</v>
      </c>
      <c r="M523" s="9">
        <f>sales[[#This Row],[Total Price]]*3%</f>
        <v>20.939999999999998</v>
      </c>
      <c r="N523" s="171">
        <f>sales[[#This Row],[Total Price]]*2.5%</f>
        <v>17.45</v>
      </c>
      <c r="O523" s="9">
        <f>sales[[#This Row],[Total Price]]*1.5%</f>
        <v>10.469999999999999</v>
      </c>
      <c r="Q523" s="2">
        <v>4</v>
      </c>
      <c r="R523" s="5" t="str">
        <f>_xlfn.CONCAT(sales[[#This Row],[Shop]]," ",sales[[#This Row],[Location]])</f>
        <v>Central Fortress</v>
      </c>
    </row>
    <row r="524" spans="1:18" ht="16.5" customHeight="1">
      <c r="A524" s="7">
        <v>522</v>
      </c>
      <c r="B524" s="2" t="s">
        <v>1013</v>
      </c>
      <c r="C524" s="5" t="s">
        <v>975</v>
      </c>
      <c r="D524" s="2" t="str">
        <f ca="1">OFFSET(Roster!$B$7, MATCH(B524&amp;" "&amp;C524&amp;"*",Roster!$B$8:$B$20,0),DAY(sales[[#This Row],[date]]),1, 1)</f>
        <v>Margaret</v>
      </c>
      <c r="E524" s="2">
        <f>MONTH(sales[[#This Row],[date]])</f>
        <v>6</v>
      </c>
      <c r="F524" s="233">
        <v>46196</v>
      </c>
      <c r="G524" s="3" t="str">
        <f>VLOOKUP("*"&amp;sales[[#This Row],[Input]]&amp;"*",'Ref-List'!$A:$C,1,0)</f>
        <v>Model-Input-Ref</v>
      </c>
      <c r="H524" s="2" t="str">
        <f>VLOOKUP("*"&amp;G524&amp;"*",'Ref-List'!$A:$C,3,0)</f>
        <v>Product Line</v>
      </c>
      <c r="J524" s="2">
        <v>1</v>
      </c>
      <c r="K524" s="2">
        <v>3388</v>
      </c>
      <c r="L524" s="2">
        <f>sales[[#This Row],[quantity]]*sales[[#This Row],[price]]</f>
        <v>3388</v>
      </c>
      <c r="M524" s="9">
        <f>sales[[#This Row],[Total Price]]*3%</f>
        <v>101.64</v>
      </c>
      <c r="N524" s="171">
        <f>sales[[#This Row],[Total Price]]*2.5%</f>
        <v>84.7</v>
      </c>
      <c r="O524" s="9">
        <f>sales[[#This Row],[Total Price]]*1.5%</f>
        <v>50.82</v>
      </c>
      <c r="Q524" s="2">
        <v>4</v>
      </c>
      <c r="R524" s="5" t="str">
        <f>_xlfn.CONCAT(sales[[#This Row],[Shop]]," ",sales[[#This Row],[Location]])</f>
        <v>Central Fortress</v>
      </c>
    </row>
    <row r="525" spans="1:18" ht="16.5" customHeight="1">
      <c r="A525" s="7">
        <v>523</v>
      </c>
      <c r="B525" s="2" t="s">
        <v>1013</v>
      </c>
      <c r="C525" s="5" t="s">
        <v>975</v>
      </c>
      <c r="D525" s="2" t="str">
        <f ca="1">OFFSET(Roster!$B$7, MATCH(B525&amp;" "&amp;C525&amp;"*",Roster!$B$8:$B$20,0),DAY(sales[[#This Row],[date]]),1, 1)</f>
        <v>Margaret</v>
      </c>
      <c r="E525" s="2">
        <f>MONTH(sales[[#This Row],[date]])</f>
        <v>6</v>
      </c>
      <c r="F525" s="233">
        <v>46196</v>
      </c>
      <c r="G525" s="3" t="str">
        <f>VLOOKUP("*"&amp;sales[[#This Row],[Input]]&amp;"*",'Ref-List'!$A:$C,1,0)</f>
        <v>Model-Input-Ref</v>
      </c>
      <c r="H525" s="2" t="str">
        <f>VLOOKUP("*"&amp;G525&amp;"*",'Ref-List'!$A:$C,3,0)</f>
        <v>Product Line</v>
      </c>
      <c r="J525" s="2">
        <v>1</v>
      </c>
      <c r="K525" s="2">
        <v>528</v>
      </c>
      <c r="L525" s="2">
        <f>sales[[#This Row],[quantity]]*sales[[#This Row],[price]]</f>
        <v>528</v>
      </c>
      <c r="M525" s="9">
        <f>sales[[#This Row],[Total Price]]*3%</f>
        <v>15.84</v>
      </c>
      <c r="N525" s="171">
        <f>sales[[#This Row],[Total Price]]*2.5%</f>
        <v>13.200000000000001</v>
      </c>
      <c r="O525" s="9">
        <f>sales[[#This Row],[Total Price]]*1.5%</f>
        <v>7.92</v>
      </c>
      <c r="Q525" s="2">
        <v>4</v>
      </c>
      <c r="R525" s="5" t="str">
        <f>_xlfn.CONCAT(sales[[#This Row],[Shop]]," ",sales[[#This Row],[Location]])</f>
        <v>Central Fortress</v>
      </c>
    </row>
    <row r="526" spans="1:18" ht="16.5" customHeight="1">
      <c r="A526" s="7">
        <v>524</v>
      </c>
      <c r="B526" s="2" t="s">
        <v>1013</v>
      </c>
      <c r="C526" s="5" t="s">
        <v>975</v>
      </c>
      <c r="D526" s="2" t="str">
        <f ca="1">OFFSET(Roster!$B$7, MATCH(B526&amp;" "&amp;C526&amp;"*",Roster!$B$8:$B$20,0),DAY(sales[[#This Row],[date]]),1, 1)</f>
        <v>Margaret</v>
      </c>
      <c r="E526" s="2">
        <f>MONTH(sales[[#This Row],[date]])</f>
        <v>6</v>
      </c>
      <c r="F526" s="233">
        <v>46196</v>
      </c>
      <c r="G526" s="3" t="str">
        <f>VLOOKUP("*"&amp;sales[[#This Row],[Input]]&amp;"*",'Ref-List'!$A:$C,1,0)</f>
        <v>Model-Input-Ref</v>
      </c>
      <c r="H526" s="2" t="str">
        <f>VLOOKUP("*"&amp;G526&amp;"*",'Ref-List'!$A:$C,3,0)</f>
        <v>Product Line</v>
      </c>
      <c r="J526" s="2">
        <v>1</v>
      </c>
      <c r="K526" s="2">
        <v>598</v>
      </c>
      <c r="L526" s="2">
        <f>sales[[#This Row],[quantity]]*sales[[#This Row],[price]]</f>
        <v>598</v>
      </c>
      <c r="M526" s="9">
        <f>sales[[#This Row],[Total Price]]*3%</f>
        <v>17.939999999999998</v>
      </c>
      <c r="N526" s="171">
        <f>sales[[#This Row],[Total Price]]*2.5%</f>
        <v>14.950000000000001</v>
      </c>
      <c r="O526" s="9">
        <f>sales[[#This Row],[Total Price]]*1.5%</f>
        <v>8.9699999999999989</v>
      </c>
      <c r="Q526" s="2">
        <v>4</v>
      </c>
      <c r="R526" s="5" t="str">
        <f>_xlfn.CONCAT(sales[[#This Row],[Shop]]," ",sales[[#This Row],[Location]])</f>
        <v>Central Fortress</v>
      </c>
    </row>
    <row r="527" spans="1:18" ht="16.5" customHeight="1">
      <c r="A527" s="7">
        <v>525</v>
      </c>
      <c r="B527" s="2" t="s">
        <v>1013</v>
      </c>
      <c r="C527" s="5" t="s">
        <v>975</v>
      </c>
      <c r="D527" s="2" t="str">
        <f ca="1">OFFSET(Roster!$B$7, MATCH(B527&amp;" "&amp;C527&amp;"*",Roster!$B$8:$B$20,0),DAY(sales[[#This Row],[date]]),1, 1)</f>
        <v>Margaret</v>
      </c>
      <c r="E527" s="2">
        <f>MONTH(sales[[#This Row],[date]])</f>
        <v>6</v>
      </c>
      <c r="F527" s="233">
        <v>46196</v>
      </c>
      <c r="G527" s="3" t="str">
        <f>VLOOKUP("*"&amp;sales[[#This Row],[Input]]&amp;"*",'Ref-List'!$A:$C,1,0)</f>
        <v>Model-Input-Ref</v>
      </c>
      <c r="H527" s="2" t="str">
        <f>VLOOKUP("*"&amp;G527&amp;"*",'Ref-List'!$A:$C,3,0)</f>
        <v>Product Line</v>
      </c>
      <c r="J527" s="2">
        <v>1</v>
      </c>
      <c r="K527" s="2">
        <v>3688</v>
      </c>
      <c r="L527" s="2">
        <f>sales[[#This Row],[quantity]]*sales[[#This Row],[price]]</f>
        <v>3688</v>
      </c>
      <c r="M527" s="9">
        <f>sales[[#This Row],[Total Price]]*3%</f>
        <v>110.64</v>
      </c>
      <c r="N527" s="171">
        <f>sales[[#This Row],[Total Price]]*2.5%</f>
        <v>92.2</v>
      </c>
      <c r="O527" s="9">
        <f>sales[[#This Row],[Total Price]]*1.5%</f>
        <v>55.32</v>
      </c>
      <c r="Q527" s="2">
        <v>4</v>
      </c>
      <c r="R527" s="5" t="str">
        <f>_xlfn.CONCAT(sales[[#This Row],[Shop]]," ",sales[[#This Row],[Location]])</f>
        <v>Central Fortress</v>
      </c>
    </row>
    <row r="528" spans="1:18" ht="16.5" customHeight="1">
      <c r="A528" s="7">
        <v>526</v>
      </c>
      <c r="B528" s="2" t="s">
        <v>1013</v>
      </c>
      <c r="C528" s="5" t="s">
        <v>975</v>
      </c>
      <c r="D528" s="2" t="str">
        <f ca="1">OFFSET(Roster!$B$7, MATCH(B528&amp;" "&amp;C528&amp;"*",Roster!$B$8:$B$20,0),DAY(sales[[#This Row],[date]]),1, 1)</f>
        <v>Margaret</v>
      </c>
      <c r="E528" s="2">
        <f>MONTH(sales[[#This Row],[date]])</f>
        <v>6</v>
      </c>
      <c r="F528" s="233">
        <v>46196</v>
      </c>
      <c r="G528" s="3" t="str">
        <f>VLOOKUP("*"&amp;sales[[#This Row],[Input]]&amp;"*",'Ref-List'!$A:$C,1,0)</f>
        <v>Model-Input-Ref</v>
      </c>
      <c r="H528" s="2" t="str">
        <f>VLOOKUP("*"&amp;G528&amp;"*",'Ref-List'!$A:$C,3,0)</f>
        <v>Product Line</v>
      </c>
      <c r="J528" s="2">
        <v>1</v>
      </c>
      <c r="K528" s="2">
        <v>1256</v>
      </c>
      <c r="L528" s="2">
        <f>sales[[#This Row],[quantity]]*sales[[#This Row],[price]]</f>
        <v>1256</v>
      </c>
      <c r="M528" s="9">
        <f>sales[[#This Row],[Total Price]]*3%</f>
        <v>37.68</v>
      </c>
      <c r="N528" s="171">
        <f>sales[[#This Row],[Total Price]]*2.5%</f>
        <v>31.400000000000002</v>
      </c>
      <c r="O528" s="9">
        <f>sales[[#This Row],[Total Price]]*1.5%</f>
        <v>18.84</v>
      </c>
      <c r="Q528" s="2">
        <v>4</v>
      </c>
      <c r="R528" s="5" t="str">
        <f>_xlfn.CONCAT(sales[[#This Row],[Shop]]," ",sales[[#This Row],[Location]])</f>
        <v>Central Fortress</v>
      </c>
    </row>
    <row r="529" spans="1:18" ht="16.5" customHeight="1">
      <c r="A529" s="7">
        <v>527</v>
      </c>
      <c r="B529" s="2" t="s">
        <v>1013</v>
      </c>
      <c r="C529" s="5" t="s">
        <v>975</v>
      </c>
      <c r="D529" s="2" t="str">
        <f ca="1">OFFSET(Roster!$B$7, MATCH(B529&amp;" "&amp;C529&amp;"*",Roster!$B$8:$B$20,0),DAY(sales[[#This Row],[date]]),1, 1)</f>
        <v>Margaret</v>
      </c>
      <c r="E529" s="2">
        <f>MONTH(sales[[#This Row],[date]])</f>
        <v>6</v>
      </c>
      <c r="F529" s="233">
        <v>46196</v>
      </c>
      <c r="G529" s="3" t="str">
        <f>VLOOKUP("*"&amp;sales[[#This Row],[Input]]&amp;"*",'Ref-List'!$A:$C,1,0)</f>
        <v>Model-Input-Ref</v>
      </c>
      <c r="H529" s="2" t="str">
        <f>VLOOKUP("*"&amp;G529&amp;"*",'Ref-List'!$A:$C,3,0)</f>
        <v>Product Line</v>
      </c>
      <c r="J529" s="2">
        <v>1</v>
      </c>
      <c r="K529" s="2">
        <v>628</v>
      </c>
      <c r="L529" s="2">
        <f>sales[[#This Row],[quantity]]*sales[[#This Row],[price]]</f>
        <v>628</v>
      </c>
      <c r="M529" s="9">
        <f>sales[[#This Row],[Total Price]]*3%</f>
        <v>18.84</v>
      </c>
      <c r="N529" s="171">
        <f>sales[[#This Row],[Total Price]]*2.5%</f>
        <v>15.700000000000001</v>
      </c>
      <c r="O529" s="9">
        <f>sales[[#This Row],[Total Price]]*1.5%</f>
        <v>9.42</v>
      </c>
      <c r="Q529" s="2">
        <v>4</v>
      </c>
      <c r="R529" s="5" t="str">
        <f>_xlfn.CONCAT(sales[[#This Row],[Shop]]," ",sales[[#This Row],[Location]])</f>
        <v>Central Fortress</v>
      </c>
    </row>
    <row r="530" spans="1:18" ht="16.5" customHeight="1">
      <c r="A530" s="7">
        <v>528</v>
      </c>
      <c r="B530" s="2" t="s">
        <v>1016</v>
      </c>
      <c r="C530" s="5" t="s">
        <v>975</v>
      </c>
      <c r="D530" s="2" t="str">
        <f ca="1">OFFSET(Roster!$B$7, MATCH(B530&amp;" "&amp;C530&amp;"*",Roster!$B$8:$B$20,0),DAY(sales[[#This Row],[date]]),1, 1)</f>
        <v xml:space="preserve"> Wu Sir</v>
      </c>
      <c r="E530" s="2">
        <f>MONTH(sales[[#This Row],[date]])</f>
        <v>6</v>
      </c>
      <c r="F530" s="233">
        <v>46179</v>
      </c>
      <c r="G530" s="3" t="str">
        <f>VLOOKUP("*"&amp;sales[[#This Row],[Input]]&amp;"*",'Ref-List'!$A:$C,1,0)</f>
        <v>Model-Input-Ref</v>
      </c>
      <c r="H530" s="2" t="str">
        <f>VLOOKUP("*"&amp;G530&amp;"*",'Ref-List'!$A:$C,3,0)</f>
        <v>Product Line</v>
      </c>
      <c r="J530" s="2">
        <v>1</v>
      </c>
      <c r="K530" s="2">
        <v>1899</v>
      </c>
      <c r="L530" s="2">
        <f>sales[[#This Row],[quantity]]*sales[[#This Row],[price]]</f>
        <v>1899</v>
      </c>
      <c r="M530" s="9">
        <f>sales[[#This Row],[Total Price]]*3%</f>
        <v>56.97</v>
      </c>
      <c r="N530" s="171">
        <f>sales[[#This Row],[Total Price]]*2.5%</f>
        <v>47.475000000000001</v>
      </c>
      <c r="O530" s="9">
        <f>sales[[#This Row],[Total Price]]*1.5%</f>
        <v>28.484999999999999</v>
      </c>
      <c r="Q530" s="2">
        <v>1</v>
      </c>
      <c r="R530" s="5" t="str">
        <f>_xlfn.CONCAT(sales[[#This Row],[Shop]]," ",sales[[#This Row],[Location]])</f>
        <v>Kwai Fong Fortress</v>
      </c>
    </row>
    <row r="531" spans="1:18" ht="16.5" customHeight="1">
      <c r="A531" s="7">
        <v>529</v>
      </c>
      <c r="B531" s="2" t="s">
        <v>1016</v>
      </c>
      <c r="C531" s="5" t="s">
        <v>975</v>
      </c>
      <c r="D531" s="2" t="str">
        <f ca="1">OFFSET(Roster!$B$7, MATCH(B531&amp;" "&amp;C531&amp;"*",Roster!$B$8:$B$20,0),DAY(sales[[#This Row],[date]]),1, 1)</f>
        <v xml:space="preserve"> Wu Sir</v>
      </c>
      <c r="E531" s="2">
        <f>MONTH(sales[[#This Row],[date]])</f>
        <v>6</v>
      </c>
      <c r="F531" s="233">
        <v>46179</v>
      </c>
      <c r="G531" s="3" t="str">
        <f>VLOOKUP("*"&amp;sales[[#This Row],[Input]]&amp;"*",'Ref-List'!$A:$C,1,0)</f>
        <v>Model-Input-Ref</v>
      </c>
      <c r="H531" s="2" t="str">
        <f>VLOOKUP("*"&amp;G531&amp;"*",'Ref-List'!$A:$C,3,0)</f>
        <v>Product Line</v>
      </c>
      <c r="J531" s="2">
        <v>1</v>
      </c>
      <c r="K531" s="2">
        <v>2604</v>
      </c>
      <c r="L531" s="2">
        <f>sales[[#This Row],[quantity]]*sales[[#This Row],[price]]</f>
        <v>2604</v>
      </c>
      <c r="M531" s="9">
        <f>sales[[#This Row],[Total Price]]*3%</f>
        <v>78.11999999999999</v>
      </c>
      <c r="N531" s="171">
        <f>sales[[#This Row],[Total Price]]*2.5%</f>
        <v>65.100000000000009</v>
      </c>
      <c r="O531" s="9">
        <f>sales[[#This Row],[Total Price]]*1.5%</f>
        <v>39.059999999999995</v>
      </c>
      <c r="Q531" s="2">
        <v>1</v>
      </c>
      <c r="R531" s="5" t="str">
        <f>_xlfn.CONCAT(sales[[#This Row],[Shop]]," ",sales[[#This Row],[Location]])</f>
        <v>Kwai Fong Fortress</v>
      </c>
    </row>
    <row r="532" spans="1:18" ht="16.5" customHeight="1">
      <c r="A532" s="7">
        <v>530</v>
      </c>
      <c r="B532" s="2" t="s">
        <v>1016</v>
      </c>
      <c r="C532" s="5" t="s">
        <v>975</v>
      </c>
      <c r="D532" s="2" t="str">
        <f ca="1">OFFSET(Roster!$B$7, MATCH(B532&amp;" "&amp;C532&amp;"*",Roster!$B$8:$B$20,0),DAY(sales[[#This Row],[date]]),1, 1)</f>
        <v xml:space="preserve"> Wu Sir</v>
      </c>
      <c r="E532" s="2">
        <f>MONTH(sales[[#This Row],[date]])</f>
        <v>6</v>
      </c>
      <c r="F532" s="233">
        <v>46179</v>
      </c>
      <c r="G532" s="3" t="str">
        <f>VLOOKUP("*"&amp;sales[[#This Row],[Input]]&amp;"*",'Ref-List'!$A:$C,1,0)</f>
        <v>Model-Input-Ref</v>
      </c>
      <c r="H532" s="2" t="str">
        <f>VLOOKUP("*"&amp;G532&amp;"*",'Ref-List'!$A:$C,3,0)</f>
        <v>Product Line</v>
      </c>
      <c r="J532" s="2">
        <v>1</v>
      </c>
      <c r="K532" s="2">
        <v>1884</v>
      </c>
      <c r="L532" s="2">
        <f>sales[[#This Row],[quantity]]*sales[[#This Row],[price]]</f>
        <v>1884</v>
      </c>
      <c r="M532" s="9">
        <f>sales[[#This Row],[Total Price]]*3%</f>
        <v>56.519999999999996</v>
      </c>
      <c r="N532" s="171">
        <f>sales[[#This Row],[Total Price]]*2.5%</f>
        <v>47.1</v>
      </c>
      <c r="O532" s="9">
        <f>sales[[#This Row],[Total Price]]*1.5%</f>
        <v>28.259999999999998</v>
      </c>
      <c r="Q532" s="2">
        <v>1</v>
      </c>
      <c r="R532" s="5" t="str">
        <f>_xlfn.CONCAT(sales[[#This Row],[Shop]]," ",sales[[#This Row],[Location]])</f>
        <v>Kwai Fong Fortress</v>
      </c>
    </row>
    <row r="533" spans="1:18" ht="16.5" customHeight="1">
      <c r="A533" s="7">
        <v>531</v>
      </c>
      <c r="B533" s="2" t="s">
        <v>1016</v>
      </c>
      <c r="C533" s="5" t="s">
        <v>975</v>
      </c>
      <c r="D533" s="2" t="str">
        <f ca="1">OFFSET(Roster!$B$7, MATCH(B533&amp;" "&amp;C533&amp;"*",Roster!$B$8:$B$20,0),DAY(sales[[#This Row],[date]]),1, 1)</f>
        <v xml:space="preserve"> Wu Sir</v>
      </c>
      <c r="E533" s="2">
        <f>MONTH(sales[[#This Row],[date]])</f>
        <v>6</v>
      </c>
      <c r="F533" s="233">
        <v>46179</v>
      </c>
      <c r="G533" s="3" t="str">
        <f>VLOOKUP("*"&amp;sales[[#This Row],[Input]]&amp;"*",'Ref-List'!$A:$C,1,0)</f>
        <v>Model-Input-Ref</v>
      </c>
      <c r="H533" s="2" t="str">
        <f>VLOOKUP("*"&amp;G533&amp;"*",'Ref-List'!$A:$C,3,0)</f>
        <v>Product Line</v>
      </c>
      <c r="J533" s="2">
        <v>1</v>
      </c>
      <c r="K533" s="2">
        <v>168</v>
      </c>
      <c r="L533" s="2">
        <f>sales[[#This Row],[quantity]]*sales[[#This Row],[price]]</f>
        <v>168</v>
      </c>
      <c r="M533" s="9">
        <f>sales[[#This Row],[Total Price]]*3%</f>
        <v>5.04</v>
      </c>
      <c r="N533" s="171">
        <f>sales[[#This Row],[Total Price]]*2.5%</f>
        <v>4.2</v>
      </c>
      <c r="O533" s="9">
        <f>sales[[#This Row],[Total Price]]*1.5%</f>
        <v>2.52</v>
      </c>
      <c r="Q533" s="2">
        <v>1</v>
      </c>
      <c r="R533" s="5" t="str">
        <f>_xlfn.CONCAT(sales[[#This Row],[Shop]]," ",sales[[#This Row],[Location]])</f>
        <v>Kwai Fong Fortress</v>
      </c>
    </row>
    <row r="534" spans="1:18" ht="16.5" customHeight="1">
      <c r="A534" s="7">
        <v>532</v>
      </c>
      <c r="B534" s="2" t="s">
        <v>1016</v>
      </c>
      <c r="C534" s="5" t="s">
        <v>975</v>
      </c>
      <c r="D534" s="2" t="str">
        <f ca="1">OFFSET(Roster!$B$7, MATCH(B534&amp;" "&amp;C534&amp;"*",Roster!$B$8:$B$20,0),DAY(sales[[#This Row],[date]]),1, 1)</f>
        <v xml:space="preserve"> Wu Sir</v>
      </c>
      <c r="E534" s="2">
        <f>MONTH(sales[[#This Row],[date]])</f>
        <v>6</v>
      </c>
      <c r="F534" s="233">
        <v>46179</v>
      </c>
      <c r="G534" s="3" t="str">
        <f>VLOOKUP("*"&amp;sales[[#This Row],[Input]]&amp;"*",'Ref-List'!$A:$C,1,0)</f>
        <v>Model-Input-Ref</v>
      </c>
      <c r="H534" s="2" t="str">
        <f>VLOOKUP("*"&amp;G534&amp;"*",'Ref-List'!$A:$C,3,0)</f>
        <v>Product Line</v>
      </c>
      <c r="J534" s="2">
        <v>1</v>
      </c>
      <c r="K534" s="2">
        <v>1794</v>
      </c>
      <c r="L534" s="2">
        <f>sales[[#This Row],[quantity]]*sales[[#This Row],[price]]</f>
        <v>1794</v>
      </c>
      <c r="M534" s="9">
        <f>sales[[#This Row],[Total Price]]*3%</f>
        <v>53.82</v>
      </c>
      <c r="N534" s="171">
        <f>sales[[#This Row],[Total Price]]*2.5%</f>
        <v>44.85</v>
      </c>
      <c r="O534" s="9">
        <f>sales[[#This Row],[Total Price]]*1.5%</f>
        <v>26.91</v>
      </c>
      <c r="Q534" s="2">
        <v>1</v>
      </c>
      <c r="R534" s="5" t="str">
        <f>_xlfn.CONCAT(sales[[#This Row],[Shop]]," ",sales[[#This Row],[Location]])</f>
        <v>Kwai Fong Fortress</v>
      </c>
    </row>
    <row r="535" spans="1:18" ht="16.5" customHeight="1">
      <c r="A535" s="7">
        <v>533</v>
      </c>
      <c r="B535" s="2" t="s">
        <v>1016</v>
      </c>
      <c r="C535" s="5" t="s">
        <v>975</v>
      </c>
      <c r="D535" s="2" t="str">
        <f ca="1">OFFSET(Roster!$B$7, MATCH(B535&amp;" "&amp;C535&amp;"*",Roster!$B$8:$B$20,0),DAY(sales[[#This Row],[date]]),1, 1)</f>
        <v xml:space="preserve"> Wu Sir</v>
      </c>
      <c r="E535" s="2">
        <f>MONTH(sales[[#This Row],[date]])</f>
        <v>6</v>
      </c>
      <c r="F535" s="233">
        <v>46180</v>
      </c>
      <c r="G535" s="3" t="str">
        <f>VLOOKUP("*"&amp;sales[[#This Row],[Input]]&amp;"*",'Ref-List'!$A:$C,1,0)</f>
        <v>Model-Input-Ref</v>
      </c>
      <c r="H535" s="2" t="str">
        <f>VLOOKUP("*"&amp;G535&amp;"*",'Ref-List'!$A:$C,3,0)</f>
        <v>Product Line</v>
      </c>
      <c r="J535" s="2">
        <v>1</v>
      </c>
      <c r="K535" s="2">
        <v>1196</v>
      </c>
      <c r="L535" s="2">
        <f>sales[[#This Row],[quantity]]*sales[[#This Row],[price]]</f>
        <v>1196</v>
      </c>
      <c r="M535" s="9">
        <f>sales[[#This Row],[Total Price]]*3%</f>
        <v>35.879999999999995</v>
      </c>
      <c r="N535" s="171">
        <f>sales[[#This Row],[Total Price]]*2.5%</f>
        <v>29.900000000000002</v>
      </c>
      <c r="O535" s="9">
        <f>sales[[#This Row],[Total Price]]*1.5%</f>
        <v>17.939999999999998</v>
      </c>
      <c r="Q535" s="2">
        <v>1</v>
      </c>
      <c r="R535" s="5" t="str">
        <f>_xlfn.CONCAT(sales[[#This Row],[Shop]]," ",sales[[#This Row],[Location]])</f>
        <v>Kwai Fong Fortress</v>
      </c>
    </row>
    <row r="536" spans="1:18" ht="16.5" customHeight="1">
      <c r="A536" s="7">
        <v>534</v>
      </c>
      <c r="B536" s="2" t="s">
        <v>1016</v>
      </c>
      <c r="C536" s="5" t="s">
        <v>975</v>
      </c>
      <c r="D536" s="2" t="str">
        <f ca="1">OFFSET(Roster!$B$7, MATCH(B536&amp;" "&amp;C536&amp;"*",Roster!$B$8:$B$20,0),DAY(sales[[#This Row],[date]]),1, 1)</f>
        <v xml:space="preserve"> Wu Sir</v>
      </c>
      <c r="E536" s="2">
        <f>MONTH(sales[[#This Row],[date]])</f>
        <v>6</v>
      </c>
      <c r="F536" s="233">
        <v>46180</v>
      </c>
      <c r="G536" s="3" t="str">
        <f>VLOOKUP("*"&amp;sales[[#This Row],[Input]]&amp;"*",'Ref-List'!$A:$C,1,0)</f>
        <v>Model-Input-Ref</v>
      </c>
      <c r="H536" s="2" t="str">
        <f>VLOOKUP("*"&amp;G536&amp;"*",'Ref-List'!$A:$C,3,0)</f>
        <v>Product Line</v>
      </c>
      <c r="J536" s="2">
        <v>1</v>
      </c>
      <c r="K536" s="2">
        <v>558</v>
      </c>
      <c r="L536" s="2">
        <f>sales[[#This Row],[quantity]]*sales[[#This Row],[price]]</f>
        <v>558</v>
      </c>
      <c r="M536" s="9">
        <f>sales[[#This Row],[Total Price]]*3%</f>
        <v>16.739999999999998</v>
      </c>
      <c r="N536" s="171">
        <f>sales[[#This Row],[Total Price]]*2.5%</f>
        <v>13.950000000000001</v>
      </c>
      <c r="O536" s="9">
        <f>sales[[#This Row],[Total Price]]*1.5%</f>
        <v>8.3699999999999992</v>
      </c>
      <c r="Q536" s="2">
        <v>1</v>
      </c>
      <c r="R536" s="5" t="str">
        <f>_xlfn.CONCAT(sales[[#This Row],[Shop]]," ",sales[[#This Row],[Location]])</f>
        <v>Kwai Fong Fortress</v>
      </c>
    </row>
    <row r="537" spans="1:18" ht="16.5" customHeight="1">
      <c r="A537" s="7">
        <v>535</v>
      </c>
      <c r="B537" s="2" t="s">
        <v>1016</v>
      </c>
      <c r="C537" s="5" t="s">
        <v>975</v>
      </c>
      <c r="D537" s="2" t="str">
        <f ca="1">OFFSET(Roster!$B$7, MATCH(B537&amp;" "&amp;C537&amp;"*",Roster!$B$8:$B$20,0),DAY(sales[[#This Row],[date]]),1, 1)</f>
        <v xml:space="preserve"> Wu Sir</v>
      </c>
      <c r="E537" s="2">
        <f>MONTH(sales[[#This Row],[date]])</f>
        <v>6</v>
      </c>
      <c r="F537" s="233">
        <v>46180</v>
      </c>
      <c r="G537" s="3" t="str">
        <f>VLOOKUP("*"&amp;sales[[#This Row],[Input]]&amp;"*",'Ref-List'!$A:$C,1,0)</f>
        <v>Model-Input-Ref</v>
      </c>
      <c r="H537" s="2" t="str">
        <f>VLOOKUP("*"&amp;G537&amp;"*",'Ref-List'!$A:$C,3,0)</f>
        <v>Product Line</v>
      </c>
      <c r="J537" s="2">
        <v>1</v>
      </c>
      <c r="K537" s="2">
        <v>3688</v>
      </c>
      <c r="L537" s="2">
        <f>sales[[#This Row],[quantity]]*sales[[#This Row],[price]]</f>
        <v>3688</v>
      </c>
      <c r="M537" s="9">
        <f>sales[[#This Row],[Total Price]]*3%</f>
        <v>110.64</v>
      </c>
      <c r="N537" s="171">
        <f>sales[[#This Row],[Total Price]]*2.5%</f>
        <v>92.2</v>
      </c>
      <c r="O537" s="9">
        <f>sales[[#This Row],[Total Price]]*1.5%</f>
        <v>55.32</v>
      </c>
      <c r="Q537" s="2">
        <v>1</v>
      </c>
      <c r="R537" s="5" t="str">
        <f>_xlfn.CONCAT(sales[[#This Row],[Shop]]," ",sales[[#This Row],[Location]])</f>
        <v>Kwai Fong Fortress</v>
      </c>
    </row>
    <row r="538" spans="1:18" ht="16.5" customHeight="1">
      <c r="A538" s="7">
        <v>536</v>
      </c>
      <c r="B538" s="2" t="s">
        <v>1016</v>
      </c>
      <c r="C538" s="5" t="s">
        <v>975</v>
      </c>
      <c r="D538" s="2" t="str">
        <f ca="1">OFFSET(Roster!$B$7, MATCH(B538&amp;" "&amp;C538&amp;"*",Roster!$B$8:$B$20,0),DAY(sales[[#This Row],[date]]),1, 1)</f>
        <v xml:space="preserve"> Wu Sir</v>
      </c>
      <c r="E538" s="2">
        <f>MONTH(sales[[#This Row],[date]])</f>
        <v>6</v>
      </c>
      <c r="F538" s="233">
        <v>46180</v>
      </c>
      <c r="G538" s="3" t="str">
        <f>VLOOKUP("*"&amp;sales[[#This Row],[Input]]&amp;"*",'Ref-List'!$A:$C,1,0)</f>
        <v>Model-Input-Ref</v>
      </c>
      <c r="H538" s="2" t="str">
        <f>VLOOKUP("*"&amp;G538&amp;"*",'Ref-List'!$A:$C,3,0)</f>
        <v>Product Line</v>
      </c>
      <c r="J538" s="2">
        <v>1</v>
      </c>
      <c r="K538" s="2">
        <v>1899</v>
      </c>
      <c r="L538" s="2">
        <f>sales[[#This Row],[quantity]]*sales[[#This Row],[price]]</f>
        <v>1899</v>
      </c>
      <c r="M538" s="9">
        <f>sales[[#This Row],[Total Price]]*3%</f>
        <v>56.97</v>
      </c>
      <c r="N538" s="171">
        <f>sales[[#This Row],[Total Price]]*2.5%</f>
        <v>47.475000000000001</v>
      </c>
      <c r="O538" s="9">
        <f>sales[[#This Row],[Total Price]]*1.5%</f>
        <v>28.484999999999999</v>
      </c>
      <c r="Q538" s="2">
        <v>1</v>
      </c>
      <c r="R538" s="5" t="str">
        <f>_xlfn.CONCAT(sales[[#This Row],[Shop]]," ",sales[[#This Row],[Location]])</f>
        <v>Kwai Fong Fortress</v>
      </c>
    </row>
    <row r="539" spans="1:18" ht="16.5" customHeight="1">
      <c r="A539" s="7">
        <v>537</v>
      </c>
      <c r="B539" s="2" t="s">
        <v>1016</v>
      </c>
      <c r="C539" s="5" t="s">
        <v>975</v>
      </c>
      <c r="D539" s="2" t="str">
        <f ca="1">OFFSET(Roster!$B$7, MATCH(B539&amp;" "&amp;C539&amp;"*",Roster!$B$8:$B$20,0),DAY(sales[[#This Row],[date]]),1, 1)</f>
        <v xml:space="preserve"> Wu Sir</v>
      </c>
      <c r="E539" s="2">
        <f>MONTH(sales[[#This Row],[date]])</f>
        <v>6</v>
      </c>
      <c r="F539" s="233">
        <v>46180</v>
      </c>
      <c r="G539" s="3" t="str">
        <f>VLOOKUP("*"&amp;sales[[#This Row],[Input]]&amp;"*",'Ref-List'!$A:$C,1,0)</f>
        <v>Model-Input-Ref</v>
      </c>
      <c r="H539" s="2" t="str">
        <f>VLOOKUP("*"&amp;G539&amp;"*",'Ref-List'!$A:$C,3,0)</f>
        <v>Product Line</v>
      </c>
      <c r="J539" s="2">
        <v>1</v>
      </c>
      <c r="K539" s="2">
        <v>798</v>
      </c>
      <c r="L539" s="2">
        <f>sales[[#This Row],[quantity]]*sales[[#This Row],[price]]</f>
        <v>798</v>
      </c>
      <c r="M539" s="9">
        <f>sales[[#This Row],[Total Price]]*3%</f>
        <v>23.939999999999998</v>
      </c>
      <c r="N539" s="171">
        <f>sales[[#This Row],[Total Price]]*2.5%</f>
        <v>19.950000000000003</v>
      </c>
      <c r="O539" s="9">
        <f>sales[[#This Row],[Total Price]]*1.5%</f>
        <v>11.969999999999999</v>
      </c>
      <c r="Q539" s="2">
        <v>1</v>
      </c>
      <c r="R539" s="5" t="str">
        <f>_xlfn.CONCAT(sales[[#This Row],[Shop]]," ",sales[[#This Row],[Location]])</f>
        <v>Kwai Fong Fortress</v>
      </c>
    </row>
    <row r="540" spans="1:18" ht="16.5" customHeight="1">
      <c r="A540" s="7">
        <v>538</v>
      </c>
      <c r="B540" s="2" t="s">
        <v>1016</v>
      </c>
      <c r="C540" s="5" t="s">
        <v>975</v>
      </c>
      <c r="D540" s="2" t="str">
        <f ca="1">OFFSET(Roster!$B$7, MATCH(B540&amp;" "&amp;C540&amp;"*",Roster!$B$8:$B$20,0),DAY(sales[[#This Row],[date]]),1, 1)</f>
        <v xml:space="preserve"> Wu Sir</v>
      </c>
      <c r="E540" s="2">
        <f>MONTH(sales[[#This Row],[date]])</f>
        <v>6</v>
      </c>
      <c r="F540" s="233">
        <v>46180</v>
      </c>
      <c r="G540" s="3" t="str">
        <f>VLOOKUP("*"&amp;sales[[#This Row],[Input]]&amp;"*",'Ref-List'!$A:$C,1,0)</f>
        <v>Model-Input-Ref</v>
      </c>
      <c r="H540" s="2" t="str">
        <f>VLOOKUP("*"&amp;G540&amp;"*",'Ref-List'!$A:$C,3,0)</f>
        <v>Product Line</v>
      </c>
      <c r="J540" s="2">
        <v>1</v>
      </c>
      <c r="K540" s="2">
        <v>1794</v>
      </c>
      <c r="L540" s="2">
        <f>sales[[#This Row],[quantity]]*sales[[#This Row],[price]]</f>
        <v>1794</v>
      </c>
      <c r="M540" s="9">
        <f>sales[[#This Row],[Total Price]]*3%</f>
        <v>53.82</v>
      </c>
      <c r="N540" s="171">
        <f>sales[[#This Row],[Total Price]]*2.5%</f>
        <v>44.85</v>
      </c>
      <c r="O540" s="9">
        <f>sales[[#This Row],[Total Price]]*1.5%</f>
        <v>26.91</v>
      </c>
      <c r="Q540" s="2">
        <v>1</v>
      </c>
      <c r="R540" s="5" t="str">
        <f>_xlfn.CONCAT(sales[[#This Row],[Shop]]," ",sales[[#This Row],[Location]])</f>
        <v>Kwai Fong Fortress</v>
      </c>
    </row>
    <row r="541" spans="1:18" ht="16.5" customHeight="1">
      <c r="A541" s="7">
        <v>539</v>
      </c>
      <c r="B541" s="2" t="s">
        <v>1016</v>
      </c>
      <c r="C541" s="5" t="s">
        <v>975</v>
      </c>
      <c r="D541" s="2" t="str">
        <f ca="1">OFFSET(Roster!$B$7, MATCH(B541&amp;" "&amp;C541&amp;"*",Roster!$B$8:$B$20,0),DAY(sales[[#This Row],[date]]),1, 1)</f>
        <v xml:space="preserve"> Wu Sir</v>
      </c>
      <c r="E541" s="2">
        <f>MONTH(sales[[#This Row],[date]])</f>
        <v>6</v>
      </c>
      <c r="F541" s="233">
        <v>46180</v>
      </c>
      <c r="G541" s="3" t="str">
        <f>VLOOKUP("*"&amp;sales[[#This Row],[Input]]&amp;"*",'Ref-List'!$A:$C,1,0)</f>
        <v>Model-Input-Ref</v>
      </c>
      <c r="H541" s="2" t="str">
        <f>VLOOKUP("*"&amp;G541&amp;"*",'Ref-List'!$A:$C,3,0)</f>
        <v>Product Line</v>
      </c>
      <c r="J541" s="2">
        <v>1</v>
      </c>
      <c r="K541" s="2">
        <v>1899</v>
      </c>
      <c r="L541" s="2">
        <f>sales[[#This Row],[quantity]]*sales[[#This Row],[price]]</f>
        <v>1899</v>
      </c>
      <c r="M541" s="9">
        <f>sales[[#This Row],[Total Price]]*3%</f>
        <v>56.97</v>
      </c>
      <c r="N541" s="171">
        <f>sales[[#This Row],[Total Price]]*2.5%</f>
        <v>47.475000000000001</v>
      </c>
      <c r="O541" s="9">
        <f>sales[[#This Row],[Total Price]]*1.5%</f>
        <v>28.484999999999999</v>
      </c>
      <c r="Q541" s="2">
        <v>1</v>
      </c>
      <c r="R541" s="5" t="str">
        <f>_xlfn.CONCAT(sales[[#This Row],[Shop]]," ",sales[[#This Row],[Location]])</f>
        <v>Kwai Fong Fortress</v>
      </c>
    </row>
    <row r="542" spans="1:18" ht="16.5" customHeight="1">
      <c r="A542" s="7">
        <v>540</v>
      </c>
      <c r="B542" s="2" t="s">
        <v>1016</v>
      </c>
      <c r="C542" s="5" t="s">
        <v>975</v>
      </c>
      <c r="D542" s="2" t="str">
        <f ca="1">OFFSET(Roster!$B$7, MATCH(B542&amp;" "&amp;C542&amp;"*",Roster!$B$8:$B$20,0),DAY(sales[[#This Row],[date]]),1, 1)</f>
        <v xml:space="preserve"> Wu Sir</v>
      </c>
      <c r="E542" s="2">
        <f>MONTH(sales[[#This Row],[date]])</f>
        <v>6</v>
      </c>
      <c r="F542" s="233">
        <v>46193</v>
      </c>
      <c r="G542" s="3" t="str">
        <f>VLOOKUP("*"&amp;sales[[#This Row],[Input]]&amp;"*",'Ref-List'!$A:$C,1,0)</f>
        <v>Model-Input-Ref</v>
      </c>
      <c r="H542" s="2" t="str">
        <f>VLOOKUP("*"&amp;G542&amp;"*",'Ref-List'!$A:$C,3,0)</f>
        <v>Product Line</v>
      </c>
      <c r="I542" s="5"/>
      <c r="J542" s="2">
        <v>1</v>
      </c>
      <c r="K542" s="2">
        <v>7376</v>
      </c>
      <c r="L542" s="2">
        <f>sales[[#This Row],[quantity]]*sales[[#This Row],[price]]</f>
        <v>7376</v>
      </c>
      <c r="M542" s="9">
        <f>sales[[#This Row],[Total Price]]*3%</f>
        <v>221.28</v>
      </c>
      <c r="N542" s="171">
        <f>sales[[#This Row],[Total Price]]*2.5%</f>
        <v>184.4</v>
      </c>
      <c r="O542" s="9">
        <f>sales[[#This Row],[Total Price]]*1.5%</f>
        <v>110.64</v>
      </c>
      <c r="Q542" s="2">
        <v>1</v>
      </c>
      <c r="R542" s="5" t="str">
        <f>_xlfn.CONCAT(sales[[#This Row],[Shop]]," ",sales[[#This Row],[Location]])</f>
        <v>Kwai Fong Fortress</v>
      </c>
    </row>
    <row r="543" spans="1:18" ht="16.5" customHeight="1">
      <c r="A543" s="7">
        <v>541</v>
      </c>
      <c r="B543" s="2" t="s">
        <v>1016</v>
      </c>
      <c r="C543" s="5" t="s">
        <v>975</v>
      </c>
      <c r="D543" s="2" t="str">
        <f ca="1">OFFSET(Roster!$B$7, MATCH(B543&amp;" "&amp;C543&amp;"*",Roster!$B$8:$B$20,0),DAY(sales[[#This Row],[date]]),1, 1)</f>
        <v xml:space="preserve"> Wu Sir</v>
      </c>
      <c r="E543" s="2">
        <f>MONTH(sales[[#This Row],[date]])</f>
        <v>6</v>
      </c>
      <c r="F543" s="233">
        <v>46193</v>
      </c>
      <c r="G543" s="3" t="str">
        <f>VLOOKUP("*"&amp;sales[[#This Row],[Input]]&amp;"*",'Ref-List'!$A:$C,1,0)</f>
        <v>Model-Input-Ref</v>
      </c>
      <c r="H543" s="2" t="str">
        <f>VLOOKUP("*"&amp;G543&amp;"*",'Ref-List'!$A:$C,3,0)</f>
        <v>Product Line</v>
      </c>
      <c r="J543" s="2">
        <v>1</v>
      </c>
      <c r="K543" s="2">
        <v>656</v>
      </c>
      <c r="L543" s="2">
        <f>sales[[#This Row],[quantity]]*sales[[#This Row],[price]]</f>
        <v>656</v>
      </c>
      <c r="M543" s="9">
        <f>sales[[#This Row],[Total Price]]*3%</f>
        <v>19.68</v>
      </c>
      <c r="N543" s="171">
        <f>sales[[#This Row],[Total Price]]*2.5%</f>
        <v>16.400000000000002</v>
      </c>
      <c r="O543" s="9">
        <f>sales[[#This Row],[Total Price]]*1.5%</f>
        <v>9.84</v>
      </c>
      <c r="Q543" s="2">
        <v>1</v>
      </c>
      <c r="R543" s="5" t="str">
        <f>_xlfn.CONCAT(sales[[#This Row],[Shop]]," ",sales[[#This Row],[Location]])</f>
        <v>Kwai Fong Fortress</v>
      </c>
    </row>
    <row r="544" spans="1:18" ht="16.5" customHeight="1">
      <c r="A544" s="7">
        <v>542</v>
      </c>
      <c r="B544" s="2" t="s">
        <v>1016</v>
      </c>
      <c r="C544" s="5" t="s">
        <v>975</v>
      </c>
      <c r="D544" s="2" t="str">
        <f ca="1">OFFSET(Roster!$B$7, MATCH(B544&amp;" "&amp;C544&amp;"*",Roster!$B$8:$B$20,0),DAY(sales[[#This Row],[date]]),1, 1)</f>
        <v xml:space="preserve"> Wu Sir</v>
      </c>
      <c r="E544" s="2">
        <f>MONTH(sales[[#This Row],[date]])</f>
        <v>6</v>
      </c>
      <c r="F544" s="233">
        <v>46193</v>
      </c>
      <c r="G544" s="3" t="str">
        <f>VLOOKUP("*"&amp;sales[[#This Row],[Input]]&amp;"*",'Ref-List'!$A:$C,1,0)</f>
        <v>Model-Input-Ref</v>
      </c>
      <c r="H544" s="2" t="str">
        <f>VLOOKUP("*"&amp;G544&amp;"*",'Ref-List'!$A:$C,3,0)</f>
        <v>Product Line</v>
      </c>
      <c r="J544" s="2">
        <v>1</v>
      </c>
      <c r="K544" s="2">
        <v>598</v>
      </c>
      <c r="L544" s="2">
        <f>sales[[#This Row],[quantity]]*sales[[#This Row],[price]]</f>
        <v>598</v>
      </c>
      <c r="M544" s="9">
        <f>sales[[#This Row],[Total Price]]*3%</f>
        <v>17.939999999999998</v>
      </c>
      <c r="N544" s="171">
        <f>sales[[#This Row],[Total Price]]*2.5%</f>
        <v>14.950000000000001</v>
      </c>
      <c r="O544" s="9">
        <f>sales[[#This Row],[Total Price]]*1.5%</f>
        <v>8.9699999999999989</v>
      </c>
      <c r="Q544" s="2">
        <v>1</v>
      </c>
      <c r="R544" s="5" t="str">
        <f>_xlfn.CONCAT(sales[[#This Row],[Shop]]," ",sales[[#This Row],[Location]])</f>
        <v>Kwai Fong Fortress</v>
      </c>
    </row>
    <row r="545" spans="1:18" ht="16.5" customHeight="1">
      <c r="A545" s="7">
        <v>543</v>
      </c>
      <c r="B545" s="2" t="s">
        <v>1016</v>
      </c>
      <c r="C545" s="5" t="s">
        <v>975</v>
      </c>
      <c r="D545" s="2" t="str">
        <f ca="1">OFFSET(Roster!$B$7, MATCH(B545&amp;" "&amp;C545&amp;"*",Roster!$B$8:$B$20,0),DAY(sales[[#This Row],[date]]),1, 1)</f>
        <v xml:space="preserve"> Wu Sir</v>
      </c>
      <c r="E545" s="2">
        <f>MONTH(sales[[#This Row],[date]])</f>
        <v>6</v>
      </c>
      <c r="F545" s="233">
        <v>46193</v>
      </c>
      <c r="G545" s="3" t="str">
        <f>VLOOKUP("*"&amp;sales[[#This Row],[Input]]&amp;"*",'Ref-List'!$A:$C,1,0)</f>
        <v>Model-Input-Ref</v>
      </c>
      <c r="H545" s="2" t="str">
        <f>VLOOKUP("*"&amp;G545&amp;"*",'Ref-List'!$A:$C,3,0)</f>
        <v>Product Line</v>
      </c>
      <c r="J545" s="2">
        <v>1</v>
      </c>
      <c r="K545" s="2">
        <v>1696</v>
      </c>
      <c r="L545" s="2">
        <f>sales[[#This Row],[quantity]]*sales[[#This Row],[price]]</f>
        <v>1696</v>
      </c>
      <c r="M545" s="9">
        <f>sales[[#This Row],[Total Price]]*3%</f>
        <v>50.879999999999995</v>
      </c>
      <c r="N545" s="171">
        <f>sales[[#This Row],[Total Price]]*2.5%</f>
        <v>42.400000000000006</v>
      </c>
      <c r="O545" s="9">
        <f>sales[[#This Row],[Total Price]]*1.5%</f>
        <v>25.439999999999998</v>
      </c>
      <c r="Q545" s="2">
        <v>1</v>
      </c>
      <c r="R545" s="5" t="str">
        <f>_xlfn.CONCAT(sales[[#This Row],[Shop]]," ",sales[[#This Row],[Location]])</f>
        <v>Kwai Fong Fortress</v>
      </c>
    </row>
    <row r="546" spans="1:18" ht="16.5" customHeight="1">
      <c r="A546" s="7">
        <v>544</v>
      </c>
      <c r="B546" s="2" t="s">
        <v>1016</v>
      </c>
      <c r="C546" s="5" t="s">
        <v>975</v>
      </c>
      <c r="D546" s="2" t="str">
        <f ca="1">OFFSET(Roster!$B$7, MATCH(B546&amp;" "&amp;C546&amp;"*",Roster!$B$8:$B$20,0),DAY(sales[[#This Row],[date]]),1, 1)</f>
        <v xml:space="preserve"> Wu Sir</v>
      </c>
      <c r="E546" s="2">
        <f>MONTH(sales[[#This Row],[date]])</f>
        <v>6</v>
      </c>
      <c r="F546" s="233">
        <v>46193</v>
      </c>
      <c r="G546" s="3" t="str">
        <f>VLOOKUP("*"&amp;sales[[#This Row],[Input]]&amp;"*",'Ref-List'!$A:$C,1,0)</f>
        <v>Model-Input-Ref</v>
      </c>
      <c r="H546" s="2" t="str">
        <f>VLOOKUP("*"&amp;G546&amp;"*",'Ref-List'!$A:$C,3,0)</f>
        <v>Product Line</v>
      </c>
      <c r="J546" s="2">
        <v>1</v>
      </c>
      <c r="K546" s="2">
        <v>558</v>
      </c>
      <c r="L546" s="2">
        <f>sales[[#This Row],[quantity]]*sales[[#This Row],[price]]</f>
        <v>558</v>
      </c>
      <c r="M546" s="9">
        <f>sales[[#This Row],[Total Price]]*3%</f>
        <v>16.739999999999998</v>
      </c>
      <c r="N546" s="171">
        <f>sales[[#This Row],[Total Price]]*2.5%</f>
        <v>13.950000000000001</v>
      </c>
      <c r="O546" s="9">
        <f>sales[[#This Row],[Total Price]]*1.5%</f>
        <v>8.3699999999999992</v>
      </c>
      <c r="Q546" s="2">
        <v>1</v>
      </c>
      <c r="R546" s="5" t="str">
        <f>_xlfn.CONCAT(sales[[#This Row],[Shop]]," ",sales[[#This Row],[Location]])</f>
        <v>Kwai Fong Fortress</v>
      </c>
    </row>
    <row r="547" spans="1:18" ht="16.5" customHeight="1">
      <c r="A547" s="7">
        <v>545</v>
      </c>
      <c r="B547" s="2" t="s">
        <v>1016</v>
      </c>
      <c r="C547" s="5" t="s">
        <v>975</v>
      </c>
      <c r="D547" s="2" t="str">
        <f ca="1">OFFSET(Roster!$B$7, MATCH(B547&amp;" "&amp;C547&amp;"*",Roster!$B$8:$B$20,0),DAY(sales[[#This Row],[date]]),1, 1)</f>
        <v xml:space="preserve"> Wu Sir</v>
      </c>
      <c r="E547" s="2">
        <f>MONTH(sales[[#This Row],[date]])</f>
        <v>6</v>
      </c>
      <c r="F547" s="233">
        <v>46193</v>
      </c>
      <c r="G547" s="3" t="str">
        <f>VLOOKUP("*"&amp;sales[[#This Row],[Input]]&amp;"*",'Ref-List'!$A:$C,1,0)</f>
        <v>Model-Input-Ref</v>
      </c>
      <c r="H547" s="2" t="str">
        <f>VLOOKUP("*"&amp;G547&amp;"*",'Ref-List'!$A:$C,3,0)</f>
        <v>Product Line</v>
      </c>
      <c r="J547" s="2">
        <v>1</v>
      </c>
      <c r="K547" s="2">
        <v>2990</v>
      </c>
      <c r="L547" s="2">
        <f>sales[[#This Row],[quantity]]*sales[[#This Row],[price]]</f>
        <v>2990</v>
      </c>
      <c r="M547" s="9">
        <f>sales[[#This Row],[Total Price]]*3%</f>
        <v>89.7</v>
      </c>
      <c r="N547" s="171">
        <f>sales[[#This Row],[Total Price]]*2.5%</f>
        <v>74.75</v>
      </c>
      <c r="O547" s="9">
        <f>sales[[#This Row],[Total Price]]*1.5%</f>
        <v>44.85</v>
      </c>
      <c r="Q547" s="2">
        <v>1</v>
      </c>
      <c r="R547" s="5" t="str">
        <f>_xlfn.CONCAT(sales[[#This Row],[Shop]]," ",sales[[#This Row],[Location]])</f>
        <v>Kwai Fong Fortress</v>
      </c>
    </row>
    <row r="548" spans="1:18" ht="16.5" customHeight="1">
      <c r="A548" s="7">
        <v>546</v>
      </c>
      <c r="B548" s="2" t="s">
        <v>1016</v>
      </c>
      <c r="C548" s="5" t="s">
        <v>975</v>
      </c>
      <c r="D548" s="2" t="str">
        <f ca="1">OFFSET(Roster!$B$7, MATCH(B548&amp;" "&amp;C548&amp;"*",Roster!$B$8:$B$20,0),DAY(sales[[#This Row],[date]]),1, 1)</f>
        <v xml:space="preserve"> Wu Sir</v>
      </c>
      <c r="E548" s="2">
        <f>MONTH(sales[[#This Row],[date]])</f>
        <v>6</v>
      </c>
      <c r="F548" s="233">
        <v>46193</v>
      </c>
      <c r="G548" s="3" t="str">
        <f>VLOOKUP("*"&amp;sales[[#This Row],[Input]]&amp;"*",'Ref-List'!$A:$C,1,0)</f>
        <v>Model-Input-Ref</v>
      </c>
      <c r="H548" s="2" t="str">
        <f>VLOOKUP("*"&amp;G548&amp;"*",'Ref-List'!$A:$C,3,0)</f>
        <v>Product Line</v>
      </c>
      <c r="J548" s="2">
        <v>1</v>
      </c>
      <c r="K548" s="2">
        <v>868</v>
      </c>
      <c r="L548" s="2">
        <f>sales[[#This Row],[quantity]]*sales[[#This Row],[price]]</f>
        <v>868</v>
      </c>
      <c r="M548" s="9">
        <f>sales[[#This Row],[Total Price]]*3%</f>
        <v>26.04</v>
      </c>
      <c r="N548" s="171">
        <f>sales[[#This Row],[Total Price]]*2.5%</f>
        <v>21.700000000000003</v>
      </c>
      <c r="O548" s="9">
        <f>sales[[#This Row],[Total Price]]*1.5%</f>
        <v>13.02</v>
      </c>
      <c r="Q548" s="2">
        <v>1</v>
      </c>
      <c r="R548" s="5" t="str">
        <f>_xlfn.CONCAT(sales[[#This Row],[Shop]]," ",sales[[#This Row],[Location]])</f>
        <v>Kwai Fong Fortress</v>
      </c>
    </row>
    <row r="549" spans="1:18" ht="16.5" customHeight="1">
      <c r="A549" s="7">
        <v>547</v>
      </c>
      <c r="B549" s="2" t="s">
        <v>1016</v>
      </c>
      <c r="C549" s="5" t="s">
        <v>975</v>
      </c>
      <c r="D549" s="2" t="str">
        <f ca="1">OFFSET(Roster!$B$7, MATCH(B549&amp;" "&amp;C549&amp;"*",Roster!$B$8:$B$20,0),DAY(sales[[#This Row],[date]]),1, 1)</f>
        <v xml:space="preserve"> Wu Sir</v>
      </c>
      <c r="E549" s="2">
        <f>MONTH(sales[[#This Row],[date]])</f>
        <v>6</v>
      </c>
      <c r="F549" s="233">
        <v>46193</v>
      </c>
      <c r="G549" s="3" t="str">
        <f>VLOOKUP("*"&amp;sales[[#This Row],[Input]]&amp;"*",'Ref-List'!$A:$C,1,0)</f>
        <v>Model-Input-Ref</v>
      </c>
      <c r="H549" s="2" t="str">
        <f>VLOOKUP("*"&amp;G549&amp;"*",'Ref-List'!$A:$C,3,0)</f>
        <v>Product Line</v>
      </c>
      <c r="J549" s="2">
        <v>1</v>
      </c>
      <c r="K549" s="2">
        <v>1596</v>
      </c>
      <c r="L549" s="2">
        <f>sales[[#This Row],[quantity]]*sales[[#This Row],[price]]</f>
        <v>1596</v>
      </c>
      <c r="M549" s="9">
        <f>sales[[#This Row],[Total Price]]*3%</f>
        <v>47.879999999999995</v>
      </c>
      <c r="N549" s="171">
        <f>sales[[#This Row],[Total Price]]*2.5%</f>
        <v>39.900000000000006</v>
      </c>
      <c r="O549" s="9">
        <f>sales[[#This Row],[Total Price]]*1.5%</f>
        <v>23.939999999999998</v>
      </c>
      <c r="Q549" s="2">
        <v>1</v>
      </c>
      <c r="R549" s="5" t="str">
        <f>_xlfn.CONCAT(sales[[#This Row],[Shop]]," ",sales[[#This Row],[Location]])</f>
        <v>Kwai Fong Fortress</v>
      </c>
    </row>
    <row r="550" spans="1:18" ht="15.6" customHeight="1">
      <c r="A550" s="7">
        <v>548</v>
      </c>
      <c r="B550" s="2" t="s">
        <v>1016</v>
      </c>
      <c r="C550" s="5" t="s">
        <v>975</v>
      </c>
      <c r="D550" s="2" t="str">
        <f ca="1">OFFSET(Roster!$B$7, MATCH(B550&amp;" "&amp;C550&amp;"*",Roster!$B$8:$B$20,0),DAY(sales[[#This Row],[date]]),1, 1)</f>
        <v xml:space="preserve"> Wu Sir</v>
      </c>
      <c r="E550" s="2">
        <f>MONTH(sales[[#This Row],[date]])</f>
        <v>6</v>
      </c>
      <c r="F550" s="233">
        <v>46194</v>
      </c>
      <c r="G550" s="3" t="str">
        <f>VLOOKUP("*"&amp;sales[[#This Row],[Input]]&amp;"*",'Ref-List'!$A:$C,1,0)</f>
        <v>Model-Input-Ref</v>
      </c>
      <c r="H550" s="2" t="str">
        <f>VLOOKUP("*"&amp;G550&amp;"*",'Ref-List'!$A:$C,3,0)</f>
        <v>Product Line</v>
      </c>
      <c r="J550" s="2">
        <v>1</v>
      </c>
      <c r="K550" s="2">
        <v>2392</v>
      </c>
      <c r="L550" s="2">
        <f>sales[[#This Row],[quantity]]*sales[[#This Row],[price]]</f>
        <v>2392</v>
      </c>
      <c r="M550" s="9">
        <f>sales[[#This Row],[Total Price]]*3%</f>
        <v>71.759999999999991</v>
      </c>
      <c r="N550" s="171">
        <f>sales[[#This Row],[Total Price]]*2.5%</f>
        <v>59.800000000000004</v>
      </c>
      <c r="O550" s="9">
        <f>sales[[#This Row],[Total Price]]*1.5%</f>
        <v>35.879999999999995</v>
      </c>
      <c r="Q550" s="2">
        <v>1</v>
      </c>
      <c r="R550" s="5" t="str">
        <f>_xlfn.CONCAT(sales[[#This Row],[Shop]]," ",sales[[#This Row],[Location]])</f>
        <v>Kwai Fong Fortress</v>
      </c>
    </row>
    <row r="551" spans="1:18" ht="15.6" customHeight="1">
      <c r="A551" s="7">
        <v>549</v>
      </c>
      <c r="B551" s="2" t="s">
        <v>1016</v>
      </c>
      <c r="C551" s="5" t="s">
        <v>975</v>
      </c>
      <c r="D551" s="2" t="str">
        <f ca="1">OFFSET(Roster!$B$7, MATCH(B551&amp;" "&amp;C551&amp;"*",Roster!$B$8:$B$20,0),DAY(sales[[#This Row],[date]]),1, 1)</f>
        <v xml:space="preserve"> Wu Sir</v>
      </c>
      <c r="E551" s="2">
        <f>MONTH(sales[[#This Row],[date]])</f>
        <v>6</v>
      </c>
      <c r="F551" s="233">
        <v>46194</v>
      </c>
      <c r="G551" s="3" t="str">
        <f>VLOOKUP("*"&amp;sales[[#This Row],[Input]]&amp;"*",'Ref-List'!$A:$C,1,0)</f>
        <v>Model-Input-Ref</v>
      </c>
      <c r="H551" s="2" t="str">
        <f>VLOOKUP("*"&amp;G551&amp;"*",'Ref-List'!$A:$C,3,0)</f>
        <v>Product Line</v>
      </c>
      <c r="J551" s="2">
        <v>1</v>
      </c>
      <c r="K551" s="2">
        <v>348</v>
      </c>
      <c r="L551" s="2">
        <f>sales[[#This Row],[quantity]]*sales[[#This Row],[price]]</f>
        <v>348</v>
      </c>
      <c r="M551" s="9">
        <f>sales[[#This Row],[Total Price]]*3%</f>
        <v>10.44</v>
      </c>
      <c r="N551" s="171">
        <f>sales[[#This Row],[Total Price]]*2.5%</f>
        <v>8.7000000000000011</v>
      </c>
      <c r="O551" s="9">
        <f>sales[[#This Row],[Total Price]]*1.5%</f>
        <v>5.22</v>
      </c>
      <c r="Q551" s="2">
        <v>1</v>
      </c>
      <c r="R551" s="5" t="str">
        <f>_xlfn.CONCAT(sales[[#This Row],[Shop]]," ",sales[[#This Row],[Location]])</f>
        <v>Kwai Fong Fortress</v>
      </c>
    </row>
    <row r="552" spans="1:18" ht="15.6" customHeight="1">
      <c r="A552" s="7">
        <v>550</v>
      </c>
      <c r="B552" s="2" t="s">
        <v>1016</v>
      </c>
      <c r="C552" s="5" t="s">
        <v>975</v>
      </c>
      <c r="D552" s="2" t="str">
        <f ca="1">OFFSET(Roster!$B$7, MATCH(B552&amp;" "&amp;C552&amp;"*",Roster!$B$8:$B$20,0),DAY(sales[[#This Row],[date]]),1, 1)</f>
        <v xml:space="preserve"> Wu Sir</v>
      </c>
      <c r="E552" s="2">
        <f>MONTH(sales[[#This Row],[date]])</f>
        <v>6</v>
      </c>
      <c r="F552" s="233">
        <v>46194</v>
      </c>
      <c r="G552" s="3" t="str">
        <f>VLOOKUP("*"&amp;sales[[#This Row],[Input]]&amp;"*",'Ref-List'!$A:$C,1,0)</f>
        <v>Model-Input-Ref</v>
      </c>
      <c r="H552" s="2" t="str">
        <f>VLOOKUP("*"&amp;G552&amp;"*",'Ref-List'!$A:$C,3,0)</f>
        <v>Product Line</v>
      </c>
      <c r="J552" s="2">
        <v>1</v>
      </c>
      <c r="K552" s="2">
        <v>1196</v>
      </c>
      <c r="L552" s="2">
        <f>sales[[#This Row],[quantity]]*sales[[#This Row],[price]]</f>
        <v>1196</v>
      </c>
      <c r="M552" s="9">
        <f>sales[[#This Row],[Total Price]]*3%</f>
        <v>35.879999999999995</v>
      </c>
      <c r="N552" s="171">
        <f>sales[[#This Row],[Total Price]]*2.5%</f>
        <v>29.900000000000002</v>
      </c>
      <c r="O552" s="9">
        <f>sales[[#This Row],[Total Price]]*1.5%</f>
        <v>17.939999999999998</v>
      </c>
      <c r="Q552" s="2">
        <v>1</v>
      </c>
      <c r="R552" s="5" t="str">
        <f>_xlfn.CONCAT(sales[[#This Row],[Shop]]," ",sales[[#This Row],[Location]])</f>
        <v>Kwai Fong Fortress</v>
      </c>
    </row>
    <row r="553" spans="1:18" ht="15.6" customHeight="1">
      <c r="A553" s="7">
        <v>551</v>
      </c>
      <c r="B553" s="2" t="s">
        <v>1016</v>
      </c>
      <c r="C553" s="5" t="s">
        <v>975</v>
      </c>
      <c r="D553" s="2" t="str">
        <f ca="1">OFFSET(Roster!$B$7, MATCH(B553&amp;" "&amp;C553&amp;"*",Roster!$B$8:$B$20,0),DAY(sales[[#This Row],[date]]),1, 1)</f>
        <v xml:space="preserve"> Wu Sir</v>
      </c>
      <c r="E553" s="2">
        <f>MONTH(sales[[#This Row],[date]])</f>
        <v>6</v>
      </c>
      <c r="F553" s="233">
        <v>46194</v>
      </c>
      <c r="G553" s="3" t="str">
        <f>VLOOKUP("*"&amp;sales[[#This Row],[Input]]&amp;"*",'Ref-List'!$A:$C,1,0)</f>
        <v>Model-Input-Ref</v>
      </c>
      <c r="H553" s="2" t="str">
        <f>VLOOKUP("*"&amp;G553&amp;"*",'Ref-List'!$A:$C,3,0)</f>
        <v>Product Line</v>
      </c>
      <c r="J553" s="2">
        <v>1</v>
      </c>
      <c r="K553" s="2">
        <v>798</v>
      </c>
      <c r="L553" s="2">
        <f>sales[[#This Row],[quantity]]*sales[[#This Row],[price]]</f>
        <v>798</v>
      </c>
      <c r="M553" s="9">
        <f>sales[[#This Row],[Total Price]]*3%</f>
        <v>23.939999999999998</v>
      </c>
      <c r="N553" s="171">
        <f>sales[[#This Row],[Total Price]]*2.5%</f>
        <v>19.950000000000003</v>
      </c>
      <c r="O553" s="9">
        <f>sales[[#This Row],[Total Price]]*1.5%</f>
        <v>11.969999999999999</v>
      </c>
      <c r="Q553" s="2">
        <v>1</v>
      </c>
      <c r="R553" s="5" t="str">
        <f>_xlfn.CONCAT(sales[[#This Row],[Shop]]," ",sales[[#This Row],[Location]])</f>
        <v>Kwai Fong Fortress</v>
      </c>
    </row>
    <row r="554" spans="1:18" ht="15.6" customHeight="1">
      <c r="A554" s="7">
        <v>552</v>
      </c>
      <c r="B554" s="2" t="s">
        <v>1016</v>
      </c>
      <c r="C554" s="5" t="s">
        <v>975</v>
      </c>
      <c r="D554" s="2" t="str">
        <f ca="1">OFFSET(Roster!$B$7, MATCH(B554&amp;" "&amp;C554&amp;"*",Roster!$B$8:$B$20,0),DAY(sales[[#This Row],[date]]),1, 1)</f>
        <v xml:space="preserve"> Wu Sir</v>
      </c>
      <c r="E554" s="2">
        <f>MONTH(sales[[#This Row],[date]])</f>
        <v>6</v>
      </c>
      <c r="F554" s="233">
        <v>46194</v>
      </c>
      <c r="G554" s="3" t="str">
        <f>VLOOKUP("*"&amp;sales[[#This Row],[Input]]&amp;"*",'Ref-List'!$A:$C,1,0)</f>
        <v>Model-Input-Ref</v>
      </c>
      <c r="H554" s="2" t="str">
        <f>VLOOKUP("*"&amp;G554&amp;"*",'Ref-List'!$A:$C,3,0)</f>
        <v>Product Line</v>
      </c>
      <c r="J554" s="2">
        <v>1</v>
      </c>
      <c r="K554" s="2">
        <v>3140</v>
      </c>
      <c r="L554" s="2">
        <f>sales[[#This Row],[quantity]]*sales[[#This Row],[price]]</f>
        <v>3140</v>
      </c>
      <c r="M554" s="9">
        <f>sales[[#This Row],[Total Price]]*3%</f>
        <v>94.2</v>
      </c>
      <c r="N554" s="171">
        <f>sales[[#This Row],[Total Price]]*2.5%</f>
        <v>78.5</v>
      </c>
      <c r="O554" s="9">
        <f>sales[[#This Row],[Total Price]]*1.5%</f>
        <v>47.1</v>
      </c>
      <c r="Q554" s="2">
        <v>1</v>
      </c>
      <c r="R554" s="5" t="str">
        <f>_xlfn.CONCAT(sales[[#This Row],[Shop]]," ",sales[[#This Row],[Location]])</f>
        <v>Kwai Fong Fortress</v>
      </c>
    </row>
    <row r="555" spans="1:18" ht="15.6" customHeight="1">
      <c r="A555" s="7">
        <v>553</v>
      </c>
      <c r="B555" s="2" t="s">
        <v>1016</v>
      </c>
      <c r="C555" s="5" t="s">
        <v>975</v>
      </c>
      <c r="D555" s="2" t="str">
        <f ca="1">OFFSET(Roster!$B$7, MATCH(B555&amp;" "&amp;C555&amp;"*",Roster!$B$8:$B$20,0),DAY(sales[[#This Row],[date]]),1, 1)</f>
        <v xml:space="preserve"> Wu Sir</v>
      </c>
      <c r="E555" s="2">
        <f>MONTH(sales[[#This Row],[date]])</f>
        <v>6</v>
      </c>
      <c r="F555" s="233">
        <v>46194</v>
      </c>
      <c r="G555" s="3" t="str">
        <f>VLOOKUP("*"&amp;sales[[#This Row],[Input]]&amp;"*",'Ref-List'!$A:$C,1,0)</f>
        <v>Model-Input-Ref</v>
      </c>
      <c r="H555" s="2" t="str">
        <f>VLOOKUP("*"&amp;G555&amp;"*",'Ref-List'!$A:$C,3,0)</f>
        <v>Product Line</v>
      </c>
      <c r="J555" s="2">
        <v>1</v>
      </c>
      <c r="K555" s="2">
        <v>840</v>
      </c>
      <c r="L555" s="2">
        <f>sales[[#This Row],[quantity]]*sales[[#This Row],[price]]</f>
        <v>840</v>
      </c>
      <c r="M555" s="9">
        <f>sales[[#This Row],[Total Price]]*3%</f>
        <v>25.2</v>
      </c>
      <c r="N555" s="171">
        <f>sales[[#This Row],[Total Price]]*2.5%</f>
        <v>21</v>
      </c>
      <c r="O555" s="9">
        <f>sales[[#This Row],[Total Price]]*1.5%</f>
        <v>12.6</v>
      </c>
      <c r="Q555" s="2">
        <v>1</v>
      </c>
      <c r="R555" s="5" t="str">
        <f>_xlfn.CONCAT(sales[[#This Row],[Shop]]," ",sales[[#This Row],[Location]])</f>
        <v>Kwai Fong Fortress</v>
      </c>
    </row>
    <row r="556" spans="1:18" ht="15.6" customHeight="1">
      <c r="A556" s="7">
        <v>554</v>
      </c>
      <c r="B556" s="2" t="s">
        <v>1016</v>
      </c>
      <c r="C556" s="5" t="s">
        <v>975</v>
      </c>
      <c r="D556" s="2" t="str">
        <f ca="1">OFFSET(Roster!$B$7, MATCH(B556&amp;" "&amp;C556&amp;"*",Roster!$B$8:$B$20,0),DAY(sales[[#This Row],[date]]),1, 1)</f>
        <v xml:space="preserve"> Wu Sir</v>
      </c>
      <c r="E556" s="2">
        <f>MONTH(sales[[#This Row],[date]])</f>
        <v>6</v>
      </c>
      <c r="F556" s="233">
        <v>46194</v>
      </c>
      <c r="G556" s="3" t="str">
        <f>VLOOKUP("*"&amp;sales[[#This Row],[Input]]&amp;"*",'Ref-List'!$A:$C,1,0)</f>
        <v>Model-Input-Ref</v>
      </c>
      <c r="H556" s="2" t="str">
        <f>VLOOKUP("*"&amp;G556&amp;"*",'Ref-List'!$A:$C,3,0)</f>
        <v>Product Line</v>
      </c>
      <c r="J556" s="2">
        <v>1</v>
      </c>
      <c r="K556" s="2">
        <v>1899</v>
      </c>
      <c r="L556" s="2">
        <f>sales[[#This Row],[quantity]]*sales[[#This Row],[price]]</f>
        <v>1899</v>
      </c>
      <c r="M556" s="9">
        <f>sales[[#This Row],[Total Price]]*3%</f>
        <v>56.97</v>
      </c>
      <c r="N556" s="171">
        <f>sales[[#This Row],[Total Price]]*2.5%</f>
        <v>47.475000000000001</v>
      </c>
      <c r="O556" s="9">
        <f>sales[[#This Row],[Total Price]]*1.5%</f>
        <v>28.484999999999999</v>
      </c>
      <c r="Q556" s="2">
        <v>1</v>
      </c>
      <c r="R556" s="5" t="str">
        <f>_xlfn.CONCAT(sales[[#This Row],[Shop]]," ",sales[[#This Row],[Location]])</f>
        <v>Kwai Fong Fortress</v>
      </c>
    </row>
    <row r="557" spans="1:18" ht="15.6" customHeight="1">
      <c r="A557" s="7">
        <v>555</v>
      </c>
      <c r="B557" s="2" t="s">
        <v>1016</v>
      </c>
      <c r="C557" s="5" t="s">
        <v>975</v>
      </c>
      <c r="D557" s="2" t="str">
        <f ca="1">OFFSET(Roster!$B$7, MATCH(B557&amp;" "&amp;C557&amp;"*",Roster!$B$8:$B$20,0),DAY(sales[[#This Row],[date]]),1, 1)</f>
        <v xml:space="preserve"> Wu Sir</v>
      </c>
      <c r="E557" s="2">
        <f>MONTH(sales[[#This Row],[date]])</f>
        <v>6</v>
      </c>
      <c r="F557" s="233">
        <v>46194</v>
      </c>
      <c r="G557" s="3" t="str">
        <f>VLOOKUP("*"&amp;sales[[#This Row],[Input]]&amp;"*",'Ref-List'!$A:$C,1,0)</f>
        <v>Model-Input-Ref</v>
      </c>
      <c r="H557" s="2" t="str">
        <f>VLOOKUP("*"&amp;G557&amp;"*",'Ref-List'!$A:$C,3,0)</f>
        <v>Product Line</v>
      </c>
      <c r="J557" s="2">
        <v>1</v>
      </c>
      <c r="K557" s="2">
        <v>1696</v>
      </c>
      <c r="L557" s="2">
        <f>sales[[#This Row],[quantity]]*sales[[#This Row],[price]]</f>
        <v>1696</v>
      </c>
      <c r="M557" s="9">
        <f>sales[[#This Row],[Total Price]]*3%</f>
        <v>50.879999999999995</v>
      </c>
      <c r="N557" s="171">
        <f>sales[[#This Row],[Total Price]]*2.5%</f>
        <v>42.400000000000006</v>
      </c>
      <c r="O557" s="9">
        <f>sales[[#This Row],[Total Price]]*1.5%</f>
        <v>25.439999999999998</v>
      </c>
      <c r="Q557" s="2">
        <v>2</v>
      </c>
      <c r="R557" s="5" t="str">
        <f>_xlfn.CONCAT(sales[[#This Row],[Shop]]," ",sales[[#This Row],[Location]])</f>
        <v>Kwai Fong Fortress</v>
      </c>
    </row>
    <row r="558" spans="1:18" ht="15.6" customHeight="1">
      <c r="A558" s="7">
        <v>556</v>
      </c>
      <c r="B558" s="2" t="s">
        <v>1016</v>
      </c>
      <c r="C558" s="5" t="s">
        <v>975</v>
      </c>
      <c r="D558" s="2" t="str">
        <f ca="1">OFFSET(Roster!$B$7, MATCH(B558&amp;" "&amp;C558&amp;"*",Roster!$B$8:$B$20,0),DAY(sales[[#This Row],[date]]),1, 1)</f>
        <v xml:space="preserve"> Wu Sir</v>
      </c>
      <c r="E558" s="2">
        <f>MONTH(sales[[#This Row],[date]])</f>
        <v>6</v>
      </c>
      <c r="F558" s="233">
        <v>46200</v>
      </c>
      <c r="G558" s="3" t="str">
        <f>VLOOKUP("*"&amp;sales[[#This Row],[Input]]&amp;"*",'Ref-List'!$A:$C,1,0)</f>
        <v>Model-Input-Ref</v>
      </c>
      <c r="H558" s="2" t="str">
        <f>VLOOKUP("*"&amp;G558&amp;"*",'Ref-List'!$A:$C,3,0)</f>
        <v>Product Line</v>
      </c>
      <c r="J558" s="2">
        <v>1</v>
      </c>
      <c r="K558" s="2">
        <v>798</v>
      </c>
      <c r="L558" s="2">
        <f>sales[[#This Row],[quantity]]*sales[[#This Row],[price]]</f>
        <v>798</v>
      </c>
      <c r="M558" s="9">
        <f>sales[[#This Row],[Total Price]]*3%</f>
        <v>23.939999999999998</v>
      </c>
      <c r="N558" s="171">
        <f>sales[[#This Row],[Total Price]]*2.5%</f>
        <v>19.950000000000003</v>
      </c>
      <c r="O558" s="9">
        <f>sales[[#This Row],[Total Price]]*1.5%</f>
        <v>11.969999999999999</v>
      </c>
      <c r="Q558" s="2">
        <v>2</v>
      </c>
      <c r="R558" s="5" t="str">
        <f>_xlfn.CONCAT(sales[[#This Row],[Shop]]," ",sales[[#This Row],[Location]])</f>
        <v>Kwai Fong Fortress</v>
      </c>
    </row>
    <row r="559" spans="1:18" ht="15.75" customHeight="1">
      <c r="A559" s="7">
        <v>557</v>
      </c>
      <c r="B559" s="2" t="s">
        <v>1016</v>
      </c>
      <c r="C559" s="5" t="s">
        <v>975</v>
      </c>
      <c r="D559" s="2" t="str">
        <f ca="1">OFFSET(Roster!$B$7, MATCH(B559&amp;" "&amp;C559&amp;"*",Roster!$B$8:$B$20,0),DAY(sales[[#This Row],[date]]),1, 1)</f>
        <v xml:space="preserve"> Wu Sir</v>
      </c>
      <c r="E559" s="2">
        <f>MONTH(sales[[#This Row],[date]])</f>
        <v>6</v>
      </c>
      <c r="F559" s="233">
        <v>46200</v>
      </c>
      <c r="G559" s="3" t="str">
        <f>VLOOKUP("*"&amp;sales[[#This Row],[Input]]&amp;"*",'Ref-List'!$A:$C,1,0)</f>
        <v>Model-Input-Ref</v>
      </c>
      <c r="H559" s="2" t="str">
        <f>VLOOKUP("*"&amp;G559&amp;"*",'Ref-List'!$A:$C,3,0)</f>
        <v>Product Line</v>
      </c>
      <c r="J559" s="2">
        <v>1</v>
      </c>
      <c r="K559" s="2">
        <v>1794</v>
      </c>
      <c r="L559" s="2">
        <f>sales[[#This Row],[quantity]]*sales[[#This Row],[price]]</f>
        <v>1794</v>
      </c>
      <c r="M559" s="9">
        <f>sales[[#This Row],[Total Price]]*3%</f>
        <v>53.82</v>
      </c>
      <c r="N559" s="171">
        <f>sales[[#This Row],[Total Price]]*2.5%</f>
        <v>44.85</v>
      </c>
      <c r="O559" s="9">
        <f>sales[[#This Row],[Total Price]]*1.5%</f>
        <v>26.91</v>
      </c>
      <c r="Q559" s="2">
        <v>2</v>
      </c>
      <c r="R559" s="5" t="str">
        <f>_xlfn.CONCAT(sales[[#This Row],[Shop]]," ",sales[[#This Row],[Location]])</f>
        <v>Kwai Fong Fortress</v>
      </c>
    </row>
    <row r="560" spans="1:18" ht="15.6" customHeight="1">
      <c r="A560" s="7">
        <v>558</v>
      </c>
      <c r="B560" s="2" t="s">
        <v>1016</v>
      </c>
      <c r="C560" s="5" t="s">
        <v>975</v>
      </c>
      <c r="D560" s="2" t="str">
        <f ca="1">OFFSET(Roster!$B$7, MATCH(B560&amp;" "&amp;C560&amp;"*",Roster!$B$8:$B$20,0),DAY(sales[[#This Row],[date]]),1, 1)</f>
        <v xml:space="preserve"> Wu Sir</v>
      </c>
      <c r="E560" s="2">
        <f>MONTH(sales[[#This Row],[date]])</f>
        <v>6</v>
      </c>
      <c r="F560" s="233">
        <v>46200</v>
      </c>
      <c r="G560" s="3" t="str">
        <f>VLOOKUP("*"&amp;sales[[#This Row],[Input]]&amp;"*",'Ref-List'!$A:$C,1,0)</f>
        <v>Model-Input-Ref</v>
      </c>
      <c r="H560" s="2" t="str">
        <f>VLOOKUP("*"&amp;G560&amp;"*",'Ref-List'!$A:$C,3,0)</f>
        <v>Product Line</v>
      </c>
      <c r="J560" s="2">
        <v>1</v>
      </c>
      <c r="K560" s="2">
        <v>3798</v>
      </c>
      <c r="L560" s="2">
        <f>sales[[#This Row],[quantity]]*sales[[#This Row],[price]]</f>
        <v>3798</v>
      </c>
      <c r="M560" s="9">
        <f>sales[[#This Row],[Total Price]]*3%</f>
        <v>113.94</v>
      </c>
      <c r="N560" s="171">
        <f>sales[[#This Row],[Total Price]]*2.5%</f>
        <v>94.95</v>
      </c>
      <c r="O560" s="9">
        <f>sales[[#This Row],[Total Price]]*1.5%</f>
        <v>56.97</v>
      </c>
      <c r="Q560" s="2">
        <v>2</v>
      </c>
      <c r="R560" s="5" t="str">
        <f>_xlfn.CONCAT(sales[[#This Row],[Shop]]," ",sales[[#This Row],[Location]])</f>
        <v>Kwai Fong Fortress</v>
      </c>
    </row>
    <row r="561" spans="1:18" ht="15.6" customHeight="1">
      <c r="A561" s="7">
        <v>559</v>
      </c>
      <c r="B561" s="2" t="s">
        <v>1016</v>
      </c>
      <c r="C561" s="5" t="s">
        <v>975</v>
      </c>
      <c r="D561" s="2" t="str">
        <f ca="1">OFFSET(Roster!$B$7, MATCH(B561&amp;" "&amp;C561&amp;"*",Roster!$B$8:$B$20,0),DAY(sales[[#This Row],[date]]),1, 1)</f>
        <v xml:space="preserve"> Wu Sir</v>
      </c>
      <c r="E561" s="2">
        <f>MONTH(sales[[#This Row],[date]])</f>
        <v>6</v>
      </c>
      <c r="F561" s="233">
        <v>46200</v>
      </c>
      <c r="G561" s="3" t="str">
        <f>VLOOKUP("*"&amp;sales[[#This Row],[Input]]&amp;"*",'Ref-List'!$A:$C,1,0)</f>
        <v>Model-Input-Ref</v>
      </c>
      <c r="H561" s="2" t="str">
        <f>VLOOKUP("*"&amp;G561&amp;"*",'Ref-List'!$A:$C,3,0)</f>
        <v>Product Line</v>
      </c>
      <c r="J561" s="2">
        <v>1</v>
      </c>
      <c r="K561" s="2">
        <v>328</v>
      </c>
      <c r="L561" s="2">
        <f>sales[[#This Row],[quantity]]*sales[[#This Row],[price]]</f>
        <v>328</v>
      </c>
      <c r="M561" s="9">
        <f>sales[[#This Row],[Total Price]]*3%</f>
        <v>9.84</v>
      </c>
      <c r="N561" s="171">
        <f>sales[[#This Row],[Total Price]]*2.5%</f>
        <v>8.2000000000000011</v>
      </c>
      <c r="O561" s="9">
        <f>sales[[#This Row],[Total Price]]*1.5%</f>
        <v>4.92</v>
      </c>
      <c r="Q561" s="2">
        <v>2</v>
      </c>
      <c r="R561" s="5" t="str">
        <f>_xlfn.CONCAT(sales[[#This Row],[Shop]]," ",sales[[#This Row],[Location]])</f>
        <v>Kwai Fong Fortress</v>
      </c>
    </row>
    <row r="562" spans="1:18" ht="15.6" customHeight="1">
      <c r="A562" s="7">
        <v>560</v>
      </c>
      <c r="B562" s="2" t="s">
        <v>1016</v>
      </c>
      <c r="C562" s="5" t="s">
        <v>975</v>
      </c>
      <c r="D562" s="2" t="str">
        <f ca="1">OFFSET(Roster!$B$7, MATCH(B562&amp;" "&amp;C562&amp;"*",Roster!$B$8:$B$20,0),DAY(sales[[#This Row],[date]]),1, 1)</f>
        <v xml:space="preserve"> Wu Sir</v>
      </c>
      <c r="E562" s="2">
        <f>MONTH(sales[[#This Row],[date]])</f>
        <v>6</v>
      </c>
      <c r="F562" s="233">
        <v>46200</v>
      </c>
      <c r="G562" s="3" t="str">
        <f>VLOOKUP("*"&amp;sales[[#This Row],[Input]]&amp;"*",'Ref-List'!$A:$C,1,0)</f>
        <v>Model-Input-Ref</v>
      </c>
      <c r="H562" s="2" t="str">
        <f>VLOOKUP("*"&amp;G562&amp;"*",'Ref-List'!$A:$C,3,0)</f>
        <v>Product Line</v>
      </c>
      <c r="J562" s="2">
        <v>1</v>
      </c>
      <c r="K562" s="2">
        <v>2990</v>
      </c>
      <c r="L562" s="2">
        <f>sales[[#This Row],[quantity]]*sales[[#This Row],[price]]</f>
        <v>2990</v>
      </c>
      <c r="M562" s="9">
        <f>sales[[#This Row],[Total Price]]*3%</f>
        <v>89.7</v>
      </c>
      <c r="N562" s="171">
        <f>sales[[#This Row],[Total Price]]*2.5%</f>
        <v>74.75</v>
      </c>
      <c r="O562" s="9">
        <f>sales[[#This Row],[Total Price]]*1.5%</f>
        <v>44.85</v>
      </c>
      <c r="Q562" s="2">
        <v>2</v>
      </c>
      <c r="R562" s="5" t="str">
        <f>_xlfn.CONCAT(sales[[#This Row],[Shop]]," ",sales[[#This Row],[Location]])</f>
        <v>Kwai Fong Fortress</v>
      </c>
    </row>
    <row r="563" spans="1:18" ht="15.6" customHeight="1">
      <c r="A563" s="7">
        <v>561</v>
      </c>
      <c r="B563" s="2" t="s">
        <v>1016</v>
      </c>
      <c r="C563" s="5" t="s">
        <v>975</v>
      </c>
      <c r="D563" s="2" t="str">
        <f ca="1">OFFSET(Roster!$B$7, MATCH(B563&amp;" "&amp;C563&amp;"*",Roster!$B$8:$B$20,0),DAY(sales[[#This Row],[date]]),1, 1)</f>
        <v xml:space="preserve"> Wu Sir</v>
      </c>
      <c r="E563" s="2">
        <f>MONTH(sales[[#This Row],[date]])</f>
        <v>6</v>
      </c>
      <c r="F563" s="233">
        <v>46200</v>
      </c>
      <c r="G563" s="3" t="str">
        <f>VLOOKUP("*"&amp;sales[[#This Row],[Input]]&amp;"*",'Ref-List'!$A:$C,1,0)</f>
        <v>Model-Input-Ref</v>
      </c>
      <c r="H563" s="2" t="str">
        <f>VLOOKUP("*"&amp;G563&amp;"*",'Ref-List'!$A:$C,3,0)</f>
        <v>Product Line</v>
      </c>
      <c r="J563" s="2">
        <v>1</v>
      </c>
      <c r="K563" s="2">
        <v>2512</v>
      </c>
      <c r="L563" s="2">
        <f>sales[[#This Row],[quantity]]*sales[[#This Row],[price]]</f>
        <v>2512</v>
      </c>
      <c r="M563" s="9">
        <f>sales[[#This Row],[Total Price]]*3%</f>
        <v>75.36</v>
      </c>
      <c r="N563" s="171">
        <f>sales[[#This Row],[Total Price]]*2.5%</f>
        <v>62.800000000000004</v>
      </c>
      <c r="O563" s="9">
        <f>sales[[#This Row],[Total Price]]*1.5%</f>
        <v>37.68</v>
      </c>
      <c r="Q563" s="2">
        <v>2</v>
      </c>
      <c r="R563" s="5" t="str">
        <f>_xlfn.CONCAT(sales[[#This Row],[Shop]]," ",sales[[#This Row],[Location]])</f>
        <v>Kwai Fong Fortress</v>
      </c>
    </row>
    <row r="564" spans="1:18" ht="15.6" customHeight="1">
      <c r="A564" s="7">
        <v>562</v>
      </c>
      <c r="B564" s="2" t="s">
        <v>1016</v>
      </c>
      <c r="C564" s="5" t="s">
        <v>975</v>
      </c>
      <c r="D564" s="2" t="str">
        <f ca="1">OFFSET(Roster!$B$7, MATCH(B564&amp;" "&amp;C564&amp;"*",Roster!$B$8:$B$20,0),DAY(sales[[#This Row],[date]]),1, 1)</f>
        <v xml:space="preserve"> Wu Sir</v>
      </c>
      <c r="E564" s="2">
        <f>MONTH(sales[[#This Row],[date]])</f>
        <v>6</v>
      </c>
      <c r="F564" s="233">
        <v>46200</v>
      </c>
      <c r="G564" s="3" t="str">
        <f>VLOOKUP("*"&amp;sales[[#This Row],[Input]]&amp;"*",'Ref-List'!$A:$C,1,0)</f>
        <v>Model-Input-Ref</v>
      </c>
      <c r="H564" s="2" t="str">
        <f>VLOOKUP("*"&amp;G564&amp;"*",'Ref-List'!$A:$C,3,0)</f>
        <v>Product Line</v>
      </c>
      <c r="J564" s="2">
        <v>1</v>
      </c>
      <c r="K564" s="2">
        <v>336</v>
      </c>
      <c r="L564" s="2">
        <f>sales[[#This Row],[quantity]]*sales[[#This Row],[price]]</f>
        <v>336</v>
      </c>
      <c r="M564" s="9">
        <f>sales[[#This Row],[Total Price]]*3%</f>
        <v>10.08</v>
      </c>
      <c r="N564" s="171">
        <f>sales[[#This Row],[Total Price]]*2.5%</f>
        <v>8.4</v>
      </c>
      <c r="O564" s="9">
        <f>sales[[#This Row],[Total Price]]*1.5%</f>
        <v>5.04</v>
      </c>
      <c r="Q564" s="2">
        <v>2</v>
      </c>
      <c r="R564" s="5" t="str">
        <f>_xlfn.CONCAT(sales[[#This Row],[Shop]]," ",sales[[#This Row],[Location]])</f>
        <v>Kwai Fong Fortress</v>
      </c>
    </row>
    <row r="565" spans="1:18" ht="15.6" customHeight="1">
      <c r="A565" s="7">
        <v>563</v>
      </c>
      <c r="B565" s="2" t="s">
        <v>1016</v>
      </c>
      <c r="C565" s="5" t="s">
        <v>975</v>
      </c>
      <c r="D565" s="2" t="str">
        <f ca="1">OFFSET(Roster!$B$7, MATCH(B565&amp;" "&amp;C565&amp;"*",Roster!$B$8:$B$20,0),DAY(sales[[#This Row],[date]]),1, 1)</f>
        <v xml:space="preserve"> Wu Sir</v>
      </c>
      <c r="E565" s="2">
        <f>MONTH(sales[[#This Row],[date]])</f>
        <v>6</v>
      </c>
      <c r="F565" s="233">
        <v>46200</v>
      </c>
      <c r="G565" s="3" t="str">
        <f>VLOOKUP("*"&amp;sales[[#This Row],[Input]]&amp;"*",'Ref-List'!$A:$C,1,0)</f>
        <v>Model-Input-Ref</v>
      </c>
      <c r="H565" s="2" t="str">
        <f>VLOOKUP("*"&amp;G565&amp;"*",'Ref-List'!$A:$C,3,0)</f>
        <v>Product Line</v>
      </c>
      <c r="J565" s="2">
        <v>1</v>
      </c>
      <c r="K565" s="2">
        <v>3688</v>
      </c>
      <c r="L565" s="2">
        <f>sales[[#This Row],[quantity]]*sales[[#This Row],[price]]</f>
        <v>3688</v>
      </c>
      <c r="M565" s="9">
        <f>sales[[#This Row],[Total Price]]*3%</f>
        <v>110.64</v>
      </c>
      <c r="N565" s="171">
        <f>sales[[#This Row],[Total Price]]*2.5%</f>
        <v>92.2</v>
      </c>
      <c r="O565" s="9">
        <f>sales[[#This Row],[Total Price]]*1.5%</f>
        <v>55.32</v>
      </c>
      <c r="Q565" s="2">
        <v>2</v>
      </c>
      <c r="R565" s="5" t="str">
        <f>_xlfn.CONCAT(sales[[#This Row],[Shop]]," ",sales[[#This Row],[Location]])</f>
        <v>Kwai Fong Fortress</v>
      </c>
    </row>
    <row r="566" spans="1:18" ht="15.6" customHeight="1">
      <c r="A566" s="7">
        <v>564</v>
      </c>
      <c r="B566" s="2" t="s">
        <v>1016</v>
      </c>
      <c r="C566" s="5" t="s">
        <v>975</v>
      </c>
      <c r="D566" s="2" t="str">
        <f ca="1">OFFSET(Roster!$B$7, MATCH(B566&amp;" "&amp;C566&amp;"*",Roster!$B$8:$B$20,0),DAY(sales[[#This Row],[date]]),1, 1)</f>
        <v xml:space="preserve"> Wu Sir</v>
      </c>
      <c r="E566" s="2">
        <f>MONTH(sales[[#This Row],[date]])</f>
        <v>6</v>
      </c>
      <c r="F566" s="233">
        <v>46200</v>
      </c>
      <c r="G566" s="3" t="str">
        <f>VLOOKUP("*"&amp;sales[[#This Row],[Input]]&amp;"*",'Ref-List'!$A:$C,1,0)</f>
        <v>Model-Input-Ref</v>
      </c>
      <c r="H566" s="2" t="str">
        <f>VLOOKUP("*"&amp;G566&amp;"*",'Ref-List'!$A:$C,3,0)</f>
        <v>Product Line</v>
      </c>
      <c r="J566" s="2">
        <v>1</v>
      </c>
      <c r="K566" s="2">
        <v>488</v>
      </c>
      <c r="L566" s="2">
        <f>sales[[#This Row],[quantity]]*sales[[#This Row],[price]]</f>
        <v>488</v>
      </c>
      <c r="M566" s="9">
        <f>sales[[#This Row],[Total Price]]*3%</f>
        <v>14.639999999999999</v>
      </c>
      <c r="N566" s="171">
        <f>sales[[#This Row],[Total Price]]*2.5%</f>
        <v>12.200000000000001</v>
      </c>
      <c r="O566" s="9">
        <f>sales[[#This Row],[Total Price]]*1.5%</f>
        <v>7.3199999999999994</v>
      </c>
      <c r="Q566" s="2">
        <v>2</v>
      </c>
      <c r="R566" s="5" t="str">
        <f>_xlfn.CONCAT(sales[[#This Row],[Shop]]," ",sales[[#This Row],[Location]])</f>
        <v>Kwai Fong Fortress</v>
      </c>
    </row>
    <row r="567" spans="1:18" ht="15.6" customHeight="1">
      <c r="A567" s="7">
        <v>565</v>
      </c>
      <c r="B567" s="2" t="s">
        <v>1016</v>
      </c>
      <c r="C567" s="5" t="s">
        <v>975</v>
      </c>
      <c r="D567" s="2" t="str">
        <f ca="1">OFFSET(Roster!$B$7, MATCH(B567&amp;" "&amp;C567&amp;"*",Roster!$B$8:$B$20,0),DAY(sales[[#This Row],[date]]),1, 1)</f>
        <v xml:space="preserve"> Wu Sir</v>
      </c>
      <c r="E567" s="2">
        <f>MONTH(sales[[#This Row],[date]])</f>
        <v>6</v>
      </c>
      <c r="F567" s="233">
        <v>46201</v>
      </c>
      <c r="G567" s="3" t="str">
        <f>VLOOKUP("*"&amp;sales[[#This Row],[Input]]&amp;"*",'Ref-List'!$A:$C,1,0)</f>
        <v>Model-Input-Ref</v>
      </c>
      <c r="H567" s="2" t="str">
        <f>VLOOKUP("*"&amp;G567&amp;"*",'Ref-List'!$A:$C,3,0)</f>
        <v>Product Line</v>
      </c>
      <c r="J567" s="2">
        <v>1</v>
      </c>
      <c r="K567" s="2">
        <v>2998</v>
      </c>
      <c r="L567" s="2">
        <f>sales[[#This Row],[quantity]]*sales[[#This Row],[price]]</f>
        <v>2998</v>
      </c>
      <c r="M567" s="9">
        <f>sales[[#This Row],[Total Price]]*3%</f>
        <v>89.94</v>
      </c>
      <c r="N567" s="171">
        <f>sales[[#This Row],[Total Price]]*2.5%</f>
        <v>74.95</v>
      </c>
      <c r="O567" s="9">
        <f>sales[[#This Row],[Total Price]]*1.5%</f>
        <v>44.97</v>
      </c>
      <c r="Q567" s="2">
        <v>2</v>
      </c>
      <c r="R567" s="5" t="str">
        <f>_xlfn.CONCAT(sales[[#This Row],[Shop]]," ",sales[[#This Row],[Location]])</f>
        <v>Kwai Fong Fortress</v>
      </c>
    </row>
    <row r="568" spans="1:18" ht="17.25" customHeight="1">
      <c r="A568" s="7">
        <v>566</v>
      </c>
      <c r="B568" s="2" t="s">
        <v>1016</v>
      </c>
      <c r="C568" s="5" t="s">
        <v>975</v>
      </c>
      <c r="D568" s="2" t="str">
        <f ca="1">OFFSET(Roster!$B$7, MATCH(B568&amp;" "&amp;C568&amp;"*",Roster!$B$8:$B$20,0),DAY(sales[[#This Row],[date]]),1, 1)</f>
        <v xml:space="preserve"> Wu Sir</v>
      </c>
      <c r="E568" s="2">
        <f>MONTH(sales[[#This Row],[date]])</f>
        <v>6</v>
      </c>
      <c r="F568" s="233">
        <v>46201</v>
      </c>
      <c r="G568" s="3" t="str">
        <f>VLOOKUP("*"&amp;sales[[#This Row],[Input]]&amp;"*",'Ref-List'!$A:$C,1,0)</f>
        <v>Model-Input-Ref</v>
      </c>
      <c r="H568" s="2" t="str">
        <f>VLOOKUP("*"&amp;G568&amp;"*",'Ref-List'!$A:$C,3,0)</f>
        <v>Product Line</v>
      </c>
      <c r="J568" s="2">
        <v>1</v>
      </c>
      <c r="K568" s="2">
        <v>3768</v>
      </c>
      <c r="L568" s="2">
        <f>sales[[#This Row],[quantity]]*sales[[#This Row],[price]]</f>
        <v>3768</v>
      </c>
      <c r="M568" s="9">
        <f>sales[[#This Row],[Total Price]]*3%</f>
        <v>113.03999999999999</v>
      </c>
      <c r="N568" s="171">
        <f>sales[[#This Row],[Total Price]]*2.5%</f>
        <v>94.2</v>
      </c>
      <c r="O568" s="9">
        <f>sales[[#This Row],[Total Price]]*1.5%</f>
        <v>56.519999999999996</v>
      </c>
      <c r="Q568" s="2">
        <v>2</v>
      </c>
      <c r="R568" s="5" t="str">
        <f>_xlfn.CONCAT(sales[[#This Row],[Shop]]," ",sales[[#This Row],[Location]])</f>
        <v>Kwai Fong Fortress</v>
      </c>
    </row>
    <row r="569" spans="1:18" ht="17.25" customHeight="1">
      <c r="A569" s="7">
        <v>567</v>
      </c>
      <c r="B569" s="2" t="s">
        <v>1016</v>
      </c>
      <c r="C569" s="5" t="s">
        <v>975</v>
      </c>
      <c r="D569" s="2" t="str">
        <f ca="1">OFFSET(Roster!$B$7, MATCH(B569&amp;" "&amp;C569&amp;"*",Roster!$B$8:$B$20,0),DAY(sales[[#This Row],[date]]),1, 1)</f>
        <v xml:space="preserve"> Wu Sir</v>
      </c>
      <c r="E569" s="2">
        <f>MONTH(sales[[#This Row],[date]])</f>
        <v>6</v>
      </c>
      <c r="F569" s="233">
        <v>46201</v>
      </c>
      <c r="G569" s="3" t="str">
        <f>VLOOKUP("*"&amp;sales[[#This Row],[Input]]&amp;"*",'Ref-List'!$A:$C,1,0)</f>
        <v>Model-Input-Ref</v>
      </c>
      <c r="H569" s="2" t="str">
        <f>VLOOKUP("*"&amp;G569&amp;"*",'Ref-List'!$A:$C,3,0)</f>
        <v>Product Line</v>
      </c>
      <c r="J569" s="2">
        <v>1</v>
      </c>
      <c r="K569" s="2">
        <v>504</v>
      </c>
      <c r="L569" s="2">
        <f>sales[[#This Row],[quantity]]*sales[[#This Row],[price]]</f>
        <v>504</v>
      </c>
      <c r="M569" s="9">
        <f>sales[[#This Row],[Total Price]]*3%</f>
        <v>15.12</v>
      </c>
      <c r="N569" s="171">
        <f>sales[[#This Row],[Total Price]]*2.5%</f>
        <v>12.600000000000001</v>
      </c>
      <c r="O569" s="9">
        <f>sales[[#This Row],[Total Price]]*1.5%</f>
        <v>7.56</v>
      </c>
      <c r="Q569" s="2">
        <v>2</v>
      </c>
      <c r="R569" s="5" t="str">
        <f>_xlfn.CONCAT(sales[[#This Row],[Shop]]," ",sales[[#This Row],[Location]])</f>
        <v>Kwai Fong Fortress</v>
      </c>
    </row>
    <row r="570" spans="1:18" ht="17.25" customHeight="1">
      <c r="A570" s="7">
        <v>568</v>
      </c>
      <c r="B570" s="2" t="s">
        <v>1016</v>
      </c>
      <c r="C570" s="5" t="s">
        <v>975</v>
      </c>
      <c r="D570" s="2" t="str">
        <f ca="1">OFFSET(Roster!$B$7, MATCH(B570&amp;" "&amp;C570&amp;"*",Roster!$B$8:$B$20,0),DAY(sales[[#This Row],[date]]),1, 1)</f>
        <v xml:space="preserve"> Wu Sir</v>
      </c>
      <c r="E570" s="2">
        <f>MONTH(sales[[#This Row],[date]])</f>
        <v>6</v>
      </c>
      <c r="F570" s="233">
        <v>46201</v>
      </c>
      <c r="G570" s="3" t="str">
        <f>VLOOKUP("*"&amp;sales[[#This Row],[Input]]&amp;"*",'Ref-List'!$A:$C,1,0)</f>
        <v>Model-Input-Ref</v>
      </c>
      <c r="H570" s="2" t="str">
        <f>VLOOKUP("*"&amp;G570&amp;"*",'Ref-List'!$A:$C,3,0)</f>
        <v>Product Line</v>
      </c>
      <c r="J570" s="2">
        <v>1</v>
      </c>
      <c r="K570" s="2">
        <v>798</v>
      </c>
      <c r="L570" s="2">
        <f>sales[[#This Row],[quantity]]*sales[[#This Row],[price]]</f>
        <v>798</v>
      </c>
      <c r="M570" s="9">
        <f>sales[[#This Row],[Total Price]]*3%</f>
        <v>23.939999999999998</v>
      </c>
      <c r="N570" s="171">
        <f>sales[[#This Row],[Total Price]]*2.5%</f>
        <v>19.950000000000003</v>
      </c>
      <c r="O570" s="9">
        <f>sales[[#This Row],[Total Price]]*1.5%</f>
        <v>11.969999999999999</v>
      </c>
      <c r="Q570" s="2">
        <v>2</v>
      </c>
      <c r="R570" s="5" t="str">
        <f>_xlfn.CONCAT(sales[[#This Row],[Shop]]," ",sales[[#This Row],[Location]])</f>
        <v>Kwai Fong Fortress</v>
      </c>
    </row>
    <row r="571" spans="1:18" ht="15.6" customHeight="1">
      <c r="A571" s="7">
        <v>569</v>
      </c>
      <c r="B571" s="2" t="s">
        <v>1016</v>
      </c>
      <c r="C571" s="5" t="s">
        <v>975</v>
      </c>
      <c r="D571" s="2" t="str">
        <f ca="1">OFFSET(Roster!$B$7, MATCH(B571&amp;" "&amp;C571&amp;"*",Roster!$B$8:$B$20,0),DAY(sales[[#This Row],[date]]),1, 1)</f>
        <v xml:space="preserve"> Wu Sir</v>
      </c>
      <c r="E571" s="2">
        <f>MONTH(sales[[#This Row],[date]])</f>
        <v>6</v>
      </c>
      <c r="F571" s="233">
        <v>46201</v>
      </c>
      <c r="G571" s="3" t="str">
        <f>VLOOKUP("*"&amp;sales[[#This Row],[Input]]&amp;"*",'Ref-List'!$A:$C,1,0)</f>
        <v>Model-Input-Ref</v>
      </c>
      <c r="H571" s="2" t="str">
        <f>VLOOKUP("*"&amp;G571&amp;"*",'Ref-List'!$A:$C,3,0)</f>
        <v>Product Line</v>
      </c>
      <c r="J571" s="2">
        <v>1</v>
      </c>
      <c r="K571" s="2">
        <v>598</v>
      </c>
      <c r="L571" s="2">
        <f>sales[[#This Row],[quantity]]*sales[[#This Row],[price]]</f>
        <v>598</v>
      </c>
      <c r="M571" s="9">
        <f>sales[[#This Row],[Total Price]]*3%</f>
        <v>17.939999999999998</v>
      </c>
      <c r="N571" s="171">
        <f>sales[[#This Row],[Total Price]]*2.5%</f>
        <v>14.950000000000001</v>
      </c>
      <c r="O571" s="9">
        <f>sales[[#This Row],[Total Price]]*1.5%</f>
        <v>8.9699999999999989</v>
      </c>
      <c r="Q571" s="2">
        <v>2</v>
      </c>
      <c r="R571" s="5" t="str">
        <f>_xlfn.CONCAT(sales[[#This Row],[Shop]]," ",sales[[#This Row],[Location]])</f>
        <v>Kwai Fong Fortress</v>
      </c>
    </row>
    <row r="572" spans="1:18" ht="15.6" customHeight="1">
      <c r="A572" s="7">
        <v>570</v>
      </c>
      <c r="B572" s="2" t="s">
        <v>1016</v>
      </c>
      <c r="C572" s="5" t="s">
        <v>975</v>
      </c>
      <c r="D572" s="2" t="str">
        <f ca="1">OFFSET(Roster!$B$7, MATCH(B572&amp;" "&amp;C572&amp;"*",Roster!$B$8:$B$20,0),DAY(sales[[#This Row],[date]]),1, 1)</f>
        <v xml:space="preserve"> Wu Sir</v>
      </c>
      <c r="E572" s="2">
        <f>MONTH(sales[[#This Row],[date]])</f>
        <v>6</v>
      </c>
      <c r="F572" s="233">
        <v>46201</v>
      </c>
      <c r="G572" s="3" t="str">
        <f>VLOOKUP("*"&amp;sales[[#This Row],[Input]]&amp;"*",'Ref-List'!$A:$C,1,0)</f>
        <v>Model-Input-Ref</v>
      </c>
      <c r="H572" s="2" t="str">
        <f>VLOOKUP("*"&amp;G572&amp;"*",'Ref-List'!$A:$C,3,0)</f>
        <v>Product Line</v>
      </c>
      <c r="J572" s="2">
        <v>1</v>
      </c>
      <c r="K572" s="2">
        <v>3688</v>
      </c>
      <c r="L572" s="2">
        <f>sales[[#This Row],[quantity]]*sales[[#This Row],[price]]</f>
        <v>3688</v>
      </c>
      <c r="M572" s="9">
        <f>sales[[#This Row],[Total Price]]*3%</f>
        <v>110.64</v>
      </c>
      <c r="N572" s="171">
        <f>sales[[#This Row],[Total Price]]*2.5%</f>
        <v>92.2</v>
      </c>
      <c r="O572" s="9">
        <f>sales[[#This Row],[Total Price]]*1.5%</f>
        <v>55.32</v>
      </c>
      <c r="Q572" s="2">
        <v>2</v>
      </c>
      <c r="R572" s="5" t="str">
        <f>_xlfn.CONCAT(sales[[#This Row],[Shop]]," ",sales[[#This Row],[Location]])</f>
        <v>Kwai Fong Fortress</v>
      </c>
    </row>
    <row r="573" spans="1:18" ht="15.6" customHeight="1">
      <c r="A573" s="7">
        <v>571</v>
      </c>
      <c r="B573" s="2" t="s">
        <v>1016</v>
      </c>
      <c r="C573" s="5" t="s">
        <v>975</v>
      </c>
      <c r="D573" s="2" t="str">
        <f ca="1">OFFSET(Roster!$B$7, MATCH(B573&amp;" "&amp;C573&amp;"*",Roster!$B$8:$B$20,0),DAY(sales[[#This Row],[date]]),1, 1)</f>
        <v xml:space="preserve"> Wu Sir</v>
      </c>
      <c r="E573" s="2">
        <f>MONTH(sales[[#This Row],[date]])</f>
        <v>6</v>
      </c>
      <c r="F573" s="233">
        <v>46201</v>
      </c>
      <c r="G573" s="3" t="str">
        <f>VLOOKUP("*"&amp;sales[[#This Row],[Input]]&amp;"*",'Ref-List'!$A:$C,1,0)</f>
        <v>Model-Input-Ref</v>
      </c>
      <c r="H573" s="2" t="str">
        <f>VLOOKUP("*"&amp;G573&amp;"*",'Ref-List'!$A:$C,3,0)</f>
        <v>Product Line</v>
      </c>
      <c r="J573" s="2">
        <v>1</v>
      </c>
      <c r="K573" s="2">
        <v>3088</v>
      </c>
      <c r="L573" s="2">
        <f>sales[[#This Row],[quantity]]*sales[[#This Row],[price]]</f>
        <v>3088</v>
      </c>
      <c r="M573" s="9">
        <f>sales[[#This Row],[Total Price]]*3%</f>
        <v>92.64</v>
      </c>
      <c r="N573" s="171">
        <f>sales[[#This Row],[Total Price]]*2.5%</f>
        <v>77.2</v>
      </c>
      <c r="O573" s="9">
        <f>sales[[#This Row],[Total Price]]*1.5%</f>
        <v>46.32</v>
      </c>
      <c r="Q573" s="2">
        <v>2</v>
      </c>
      <c r="R573" s="5" t="str">
        <f>_xlfn.CONCAT(sales[[#This Row],[Shop]]," ",sales[[#This Row],[Location]])</f>
        <v>Kwai Fong Fortress</v>
      </c>
    </row>
    <row r="574" spans="1:18" ht="15.6" customHeight="1">
      <c r="A574" s="7">
        <v>572</v>
      </c>
      <c r="B574" s="2" t="s">
        <v>1016</v>
      </c>
      <c r="C574" s="5" t="s">
        <v>975</v>
      </c>
      <c r="D574" s="2" t="str">
        <f ca="1">OFFSET(Roster!$B$7, MATCH(B574&amp;" "&amp;C574&amp;"*",Roster!$B$8:$B$20,0),DAY(sales[[#This Row],[date]]),1, 1)</f>
        <v xml:space="preserve"> Wu Sir</v>
      </c>
      <c r="E574" s="2">
        <f>MONTH(sales[[#This Row],[date]])</f>
        <v>6</v>
      </c>
      <c r="F574" s="233">
        <v>46201</v>
      </c>
      <c r="G574" s="3" t="str">
        <f>VLOOKUP("*"&amp;sales[[#This Row],[Input]]&amp;"*",'Ref-List'!$A:$C,1,0)</f>
        <v>Model-Input-Ref</v>
      </c>
      <c r="H574" s="2" t="str">
        <f>VLOOKUP("*"&amp;G574&amp;"*",'Ref-List'!$A:$C,3,0)</f>
        <v>Product Line</v>
      </c>
      <c r="J574" s="2">
        <v>1</v>
      </c>
      <c r="K574" s="2">
        <v>1696</v>
      </c>
      <c r="L574" s="2">
        <f>sales[[#This Row],[quantity]]*sales[[#This Row],[price]]</f>
        <v>1696</v>
      </c>
      <c r="M574" s="9">
        <f>sales[[#This Row],[Total Price]]*3%</f>
        <v>50.879999999999995</v>
      </c>
      <c r="N574" s="171">
        <f>sales[[#This Row],[Total Price]]*2.5%</f>
        <v>42.400000000000006</v>
      </c>
      <c r="O574" s="9">
        <f>sales[[#This Row],[Total Price]]*1.5%</f>
        <v>25.439999999999998</v>
      </c>
      <c r="Q574" s="2">
        <v>2</v>
      </c>
      <c r="R574" s="5" t="str">
        <f>_xlfn.CONCAT(sales[[#This Row],[Shop]]," ",sales[[#This Row],[Location]])</f>
        <v>Kwai Fong Fortress</v>
      </c>
    </row>
    <row r="575" spans="1:18" ht="15.6" customHeight="1">
      <c r="A575" s="7">
        <v>573</v>
      </c>
      <c r="B575" s="2" t="s">
        <v>1016</v>
      </c>
      <c r="C575" s="5" t="s">
        <v>975</v>
      </c>
      <c r="D575" s="2" t="str">
        <f ca="1">OFFSET(Roster!$B$7, MATCH(B575&amp;" "&amp;C575&amp;"*",Roster!$B$8:$B$20,0),DAY(sales[[#This Row],[date]]),1, 1)</f>
        <v xml:space="preserve"> Wu Sir</v>
      </c>
      <c r="E575" s="2">
        <f>MONTH(sales[[#This Row],[date]])</f>
        <v>6</v>
      </c>
      <c r="F575" s="233">
        <v>46201</v>
      </c>
      <c r="G575" s="3" t="str">
        <f>VLOOKUP("*"&amp;sales[[#This Row],[Input]]&amp;"*",'Ref-List'!$A:$C,1,0)</f>
        <v>Model-Input-Ref</v>
      </c>
      <c r="H575" s="2" t="str">
        <f>VLOOKUP("*"&amp;G575&amp;"*",'Ref-List'!$A:$C,3,0)</f>
        <v>Product Line</v>
      </c>
      <c r="J575" s="2">
        <v>1</v>
      </c>
      <c r="K575" s="2">
        <v>1736</v>
      </c>
      <c r="L575" s="2">
        <f>sales[[#This Row],[quantity]]*sales[[#This Row],[price]]</f>
        <v>1736</v>
      </c>
      <c r="M575" s="9">
        <f>sales[[#This Row],[Total Price]]*3%</f>
        <v>52.08</v>
      </c>
      <c r="N575" s="171">
        <f>sales[[#This Row],[Total Price]]*2.5%</f>
        <v>43.400000000000006</v>
      </c>
      <c r="O575" s="9">
        <f>sales[[#This Row],[Total Price]]*1.5%</f>
        <v>26.04</v>
      </c>
      <c r="Q575" s="2">
        <v>2</v>
      </c>
      <c r="R575" s="5" t="str">
        <f>_xlfn.CONCAT(sales[[#This Row],[Shop]]," ",sales[[#This Row],[Location]])</f>
        <v>Kwai Fong Fortress</v>
      </c>
    </row>
    <row r="576" spans="1:18" ht="15.6" customHeight="1">
      <c r="A576" s="7">
        <v>574</v>
      </c>
      <c r="B576" s="2" t="s">
        <v>1019</v>
      </c>
      <c r="C576" s="5" t="s">
        <v>975</v>
      </c>
      <c r="D576" s="2" t="str">
        <f ca="1">OFFSET(Roster!$B$7, MATCH(B576&amp;" "&amp;C576&amp;"*",Roster!$B$8:$B$20,0),DAY(sales[[#This Row],[date]]),1, 1)</f>
        <v>Tammy</v>
      </c>
      <c r="E576" s="2">
        <f>MONTH(sales[[#This Row],[date]])</f>
        <v>6</v>
      </c>
      <c r="F576" s="233">
        <v>46178</v>
      </c>
      <c r="G576" s="3" t="str">
        <f>VLOOKUP("*"&amp;sales[[#This Row],[Input]]&amp;"*",'Ref-List'!$A:$C,1,0)</f>
        <v>Model-Input-Ref</v>
      </c>
      <c r="H576" s="2" t="str">
        <f>VLOOKUP("*"&amp;G576&amp;"*",'Ref-List'!$A:$C,3,0)</f>
        <v>Product Line</v>
      </c>
      <c r="J576" s="2">
        <v>1</v>
      </c>
      <c r="K576" s="2">
        <v>650</v>
      </c>
      <c r="L576" s="2">
        <f>sales[[#This Row],[quantity]]*sales[[#This Row],[price]]</f>
        <v>650</v>
      </c>
      <c r="M576" s="9">
        <f>sales[[#This Row],[Total Price]]*3%</f>
        <v>19.5</v>
      </c>
      <c r="N576" s="171">
        <f>sales[[#This Row],[Total Price]]*2.5%</f>
        <v>16.25</v>
      </c>
      <c r="O576" s="9">
        <f>sales[[#This Row],[Total Price]]*1.5%</f>
        <v>9.75</v>
      </c>
      <c r="R576" s="5" t="str">
        <f>_xlfn.CONCAT(sales[[#This Row],[Shop]]," ",sales[[#This Row],[Location]])</f>
        <v>Tsing Yi Fortress</v>
      </c>
    </row>
    <row r="577" spans="1:18" ht="15.6" customHeight="1">
      <c r="A577" s="7">
        <v>575</v>
      </c>
      <c r="B577" s="2" t="s">
        <v>1019</v>
      </c>
      <c r="C577" s="5" t="s">
        <v>975</v>
      </c>
      <c r="D577" s="2" t="str">
        <f ca="1">OFFSET(Roster!$B$7, MATCH(B577&amp;" "&amp;C577&amp;"*",Roster!$B$8:$B$20,0),DAY(sales[[#This Row],[date]]),1, 1)</f>
        <v>Tammy</v>
      </c>
      <c r="E577" s="2">
        <f>MONTH(sales[[#This Row],[date]])</f>
        <v>6</v>
      </c>
      <c r="F577" s="233">
        <v>46178</v>
      </c>
      <c r="G577" s="3" t="str">
        <f>VLOOKUP("*"&amp;sales[[#This Row],[Input]]&amp;"*",'Ref-List'!$A:$C,1,0)</f>
        <v>Model-Input-Ref</v>
      </c>
      <c r="H577" s="2" t="str">
        <f>VLOOKUP("*"&amp;G577&amp;"*",'Ref-List'!$A:$C,3,0)</f>
        <v>Product Line</v>
      </c>
      <c r="J577" s="2">
        <v>1</v>
      </c>
      <c r="K577" s="2">
        <v>598</v>
      </c>
      <c r="L577" s="2">
        <f>sales[[#This Row],[quantity]]*sales[[#This Row],[price]]</f>
        <v>598</v>
      </c>
      <c r="M577" s="9">
        <f>sales[[#This Row],[Total Price]]*3%</f>
        <v>17.939999999999998</v>
      </c>
      <c r="N577" s="171">
        <f>sales[[#This Row],[Total Price]]*2.5%</f>
        <v>14.950000000000001</v>
      </c>
      <c r="O577" s="9">
        <f>sales[[#This Row],[Total Price]]*1.5%</f>
        <v>8.9699999999999989</v>
      </c>
      <c r="R577" s="5" t="str">
        <f>_xlfn.CONCAT(sales[[#This Row],[Shop]]," ",sales[[#This Row],[Location]])</f>
        <v>Tsing Yi Fortress</v>
      </c>
    </row>
    <row r="578" spans="1:18" ht="15.6" customHeight="1">
      <c r="A578" s="7">
        <v>576</v>
      </c>
      <c r="B578" s="2" t="s">
        <v>1019</v>
      </c>
      <c r="C578" s="5" t="s">
        <v>975</v>
      </c>
      <c r="D578" s="2" t="str">
        <f ca="1">OFFSET(Roster!$B$7, MATCH(B578&amp;" "&amp;C578&amp;"*",Roster!$B$8:$B$20,0),DAY(sales[[#This Row],[date]]),1, 1)</f>
        <v>Tammy</v>
      </c>
      <c r="E578" s="2">
        <f>MONTH(sales[[#This Row],[date]])</f>
        <v>6</v>
      </c>
      <c r="F578" s="233">
        <v>46178</v>
      </c>
      <c r="G578" s="3" t="str">
        <f>VLOOKUP("*"&amp;sales[[#This Row],[Input]]&amp;"*",'Ref-List'!$A:$C,1,0)</f>
        <v>Model-Input-Ref</v>
      </c>
      <c r="H578" s="2" t="str">
        <f>VLOOKUP("*"&amp;G578&amp;"*",'Ref-List'!$A:$C,3,0)</f>
        <v>Product Line</v>
      </c>
      <c r="J578" s="2">
        <v>1</v>
      </c>
      <c r="K578" s="2">
        <v>460</v>
      </c>
      <c r="L578" s="2">
        <f>sales[[#This Row],[quantity]]*sales[[#This Row],[price]]</f>
        <v>460</v>
      </c>
      <c r="M578" s="9">
        <f>sales[[#This Row],[Total Price]]*3%</f>
        <v>13.799999999999999</v>
      </c>
      <c r="N578" s="171">
        <f>sales[[#This Row],[Total Price]]*2.5%</f>
        <v>11.5</v>
      </c>
      <c r="O578" s="9">
        <f>sales[[#This Row],[Total Price]]*1.5%</f>
        <v>6.8999999999999995</v>
      </c>
      <c r="R578" s="5" t="str">
        <f>_xlfn.CONCAT(sales[[#This Row],[Shop]]," ",sales[[#This Row],[Location]])</f>
        <v>Tsing Yi Fortress</v>
      </c>
    </row>
    <row r="579" spans="1:18" ht="15.6" customHeight="1">
      <c r="A579" s="7">
        <v>577</v>
      </c>
      <c r="B579" s="2" t="s">
        <v>1019</v>
      </c>
      <c r="C579" s="5" t="s">
        <v>975</v>
      </c>
      <c r="D579" s="2" t="str">
        <f ca="1">OFFSET(Roster!$B$7, MATCH(B579&amp;" "&amp;C579&amp;"*",Roster!$B$8:$B$20,0),DAY(sales[[#This Row],[date]]),1, 1)</f>
        <v>Tammy</v>
      </c>
      <c r="E579" s="2">
        <f>MONTH(sales[[#This Row],[date]])</f>
        <v>6</v>
      </c>
      <c r="F579" s="233">
        <v>46179</v>
      </c>
      <c r="G579" s="3" t="str">
        <f>VLOOKUP("*"&amp;sales[[#This Row],[Input]]&amp;"*",'Ref-List'!$A:$C,1,0)</f>
        <v>Model-Input-Ref</v>
      </c>
      <c r="H579" s="2" t="str">
        <f>VLOOKUP("*"&amp;G579&amp;"*",'Ref-List'!$A:$C,3,0)</f>
        <v>Product Line</v>
      </c>
      <c r="J579" s="2">
        <v>1</v>
      </c>
      <c r="K579" s="2">
        <v>510</v>
      </c>
      <c r="L579" s="2">
        <f>sales[[#This Row],[quantity]]*sales[[#This Row],[price]]</f>
        <v>510</v>
      </c>
      <c r="M579" s="9">
        <f>sales[[#This Row],[Total Price]]*3%</f>
        <v>15.299999999999999</v>
      </c>
      <c r="N579" s="171">
        <f>sales[[#This Row],[Total Price]]*2.5%</f>
        <v>12.75</v>
      </c>
      <c r="O579" s="9">
        <f>sales[[#This Row],[Total Price]]*1.5%</f>
        <v>7.6499999999999995</v>
      </c>
      <c r="R579" s="5" t="str">
        <f>_xlfn.CONCAT(sales[[#This Row],[Shop]]," ",sales[[#This Row],[Location]])</f>
        <v>Tsing Yi Fortress</v>
      </c>
    </row>
    <row r="580" spans="1:18" ht="15.6" customHeight="1">
      <c r="A580" s="7">
        <v>578</v>
      </c>
      <c r="B580" s="2" t="s">
        <v>1019</v>
      </c>
      <c r="C580" s="5" t="s">
        <v>975</v>
      </c>
      <c r="D580" s="2" t="str">
        <f ca="1">OFFSET(Roster!$B$7, MATCH(B580&amp;" "&amp;C580&amp;"*",Roster!$B$8:$B$20,0),DAY(sales[[#This Row],[date]]),1, 1)</f>
        <v>Tammy</v>
      </c>
      <c r="E580" s="2">
        <f>MONTH(sales[[#This Row],[date]])</f>
        <v>6</v>
      </c>
      <c r="F580" s="233">
        <v>46179</v>
      </c>
      <c r="G580" s="3" t="str">
        <f>VLOOKUP("*"&amp;sales[[#This Row],[Input]]&amp;"*",'Ref-List'!$A:$C,1,0)</f>
        <v>Model-Input-Ref</v>
      </c>
      <c r="H580" s="2" t="str">
        <f>VLOOKUP("*"&amp;G580&amp;"*",'Ref-List'!$A:$C,3,0)</f>
        <v>Product Line</v>
      </c>
      <c r="J580" s="2">
        <v>1</v>
      </c>
      <c r="K580" s="2">
        <v>798</v>
      </c>
      <c r="L580" s="2">
        <f>sales[[#This Row],[quantity]]*sales[[#This Row],[price]]</f>
        <v>798</v>
      </c>
      <c r="M580" s="9">
        <f>sales[[#This Row],[Total Price]]*3%</f>
        <v>23.939999999999998</v>
      </c>
      <c r="N580" s="171">
        <f>sales[[#This Row],[Total Price]]*2.5%</f>
        <v>19.950000000000003</v>
      </c>
      <c r="O580" s="9">
        <f>sales[[#This Row],[Total Price]]*1.5%</f>
        <v>11.969999999999999</v>
      </c>
      <c r="R580" s="5" t="str">
        <f>_xlfn.CONCAT(sales[[#This Row],[Shop]]," ",sales[[#This Row],[Location]])</f>
        <v>Tsing Yi Fortress</v>
      </c>
    </row>
    <row r="581" spans="1:18" ht="15.6" customHeight="1">
      <c r="A581" s="7">
        <v>579</v>
      </c>
      <c r="B581" s="2" t="s">
        <v>1019</v>
      </c>
      <c r="C581" s="5" t="s">
        <v>975</v>
      </c>
      <c r="D581" s="2" t="str">
        <f ca="1">OFFSET(Roster!$B$7, MATCH(B581&amp;" "&amp;C581&amp;"*",Roster!$B$8:$B$20,0),DAY(sales[[#This Row],[date]]),1, 1)</f>
        <v>Tammy</v>
      </c>
      <c r="E581" s="2">
        <f>MONTH(sales[[#This Row],[date]])</f>
        <v>6</v>
      </c>
      <c r="F581" s="233">
        <v>46179</v>
      </c>
      <c r="G581" s="3" t="str">
        <f>VLOOKUP("*"&amp;sales[[#This Row],[Input]]&amp;"*",'Ref-List'!$A:$C,1,0)</f>
        <v>Model-Input-Ref</v>
      </c>
      <c r="H581" s="2" t="str">
        <f>VLOOKUP("*"&amp;G581&amp;"*",'Ref-List'!$A:$C,3,0)</f>
        <v>Product Line</v>
      </c>
      <c r="J581" s="2">
        <v>1</v>
      </c>
      <c r="K581" s="2">
        <v>1899</v>
      </c>
      <c r="L581" s="2">
        <f>sales[[#This Row],[quantity]]*sales[[#This Row],[price]]</f>
        <v>1899</v>
      </c>
      <c r="M581" s="9">
        <f>sales[[#This Row],[Total Price]]*3%</f>
        <v>56.97</v>
      </c>
      <c r="N581" s="171">
        <f>sales[[#This Row],[Total Price]]*2.5%</f>
        <v>47.475000000000001</v>
      </c>
      <c r="O581" s="9">
        <f>sales[[#This Row],[Total Price]]*1.5%</f>
        <v>28.484999999999999</v>
      </c>
      <c r="R581" s="5" t="str">
        <f>_xlfn.CONCAT(sales[[#This Row],[Shop]]," ",sales[[#This Row],[Location]])</f>
        <v>Tsing Yi Fortress</v>
      </c>
    </row>
    <row r="582" spans="1:18" ht="15.6" customHeight="1">
      <c r="A582" s="7">
        <v>580</v>
      </c>
      <c r="B582" s="2" t="s">
        <v>1019</v>
      </c>
      <c r="C582" s="5" t="s">
        <v>975</v>
      </c>
      <c r="D582" s="2" t="str">
        <f ca="1">OFFSET(Roster!$B$7, MATCH(B582&amp;" "&amp;C582&amp;"*",Roster!$B$8:$B$20,0),DAY(sales[[#This Row],[date]]),1, 1)</f>
        <v>Tammy</v>
      </c>
      <c r="E582" s="2">
        <f>MONTH(sales[[#This Row],[date]])</f>
        <v>6</v>
      </c>
      <c r="F582" s="233">
        <v>46179</v>
      </c>
      <c r="G582" s="3" t="str">
        <f>VLOOKUP("*"&amp;sales[[#This Row],[Input]]&amp;"*",'Ref-List'!$A:$C,1,0)</f>
        <v>Model-Input-Ref</v>
      </c>
      <c r="H582" s="2" t="str">
        <f>VLOOKUP("*"&amp;G582&amp;"*",'Ref-List'!$A:$C,3,0)</f>
        <v>Product Line</v>
      </c>
      <c r="J582" s="2">
        <v>1</v>
      </c>
      <c r="K582" s="2">
        <v>690</v>
      </c>
      <c r="L582" s="2">
        <f>sales[[#This Row],[quantity]]*sales[[#This Row],[price]]</f>
        <v>690</v>
      </c>
      <c r="M582" s="9">
        <f>sales[[#This Row],[Total Price]]*3%</f>
        <v>20.7</v>
      </c>
      <c r="N582" s="171">
        <f>sales[[#This Row],[Total Price]]*2.5%</f>
        <v>17.25</v>
      </c>
      <c r="O582" s="9">
        <f>sales[[#This Row],[Total Price]]*1.5%</f>
        <v>10.35</v>
      </c>
      <c r="R582" s="5" t="str">
        <f>_xlfn.CONCAT(sales[[#This Row],[Shop]]," ",sales[[#This Row],[Location]])</f>
        <v>Tsing Yi Fortress</v>
      </c>
    </row>
    <row r="583" spans="1:18" ht="15.6" customHeight="1">
      <c r="A583" s="7">
        <v>581</v>
      </c>
      <c r="B583" s="2" t="s">
        <v>1019</v>
      </c>
      <c r="C583" s="5" t="s">
        <v>975</v>
      </c>
      <c r="D583" s="2" t="str">
        <f ca="1">OFFSET(Roster!$B$7, MATCH(B583&amp;" "&amp;C583&amp;"*",Roster!$B$8:$B$20,0),DAY(sales[[#This Row],[date]]),1, 1)</f>
        <v>Tammy</v>
      </c>
      <c r="E583" s="2">
        <f>MONTH(sales[[#This Row],[date]])</f>
        <v>6</v>
      </c>
      <c r="F583" s="233">
        <v>46179</v>
      </c>
      <c r="G583" s="3" t="str">
        <f>VLOOKUP("*"&amp;sales[[#This Row],[Input]]&amp;"*",'Ref-List'!$A:$C,1,0)</f>
        <v>Model-Input-Ref</v>
      </c>
      <c r="H583" s="2" t="str">
        <f>VLOOKUP("*"&amp;G583&amp;"*",'Ref-List'!$A:$C,3,0)</f>
        <v>Product Line</v>
      </c>
      <c r="J583" s="2">
        <v>1</v>
      </c>
      <c r="K583" s="2">
        <v>2998</v>
      </c>
      <c r="L583" s="2">
        <f>sales[[#This Row],[quantity]]*sales[[#This Row],[price]]</f>
        <v>2998</v>
      </c>
      <c r="M583" s="9">
        <f>sales[[#This Row],[Total Price]]*3%</f>
        <v>89.94</v>
      </c>
      <c r="N583" s="171">
        <f>sales[[#This Row],[Total Price]]*2.5%</f>
        <v>74.95</v>
      </c>
      <c r="O583" s="9">
        <f>sales[[#This Row],[Total Price]]*1.5%</f>
        <v>44.97</v>
      </c>
      <c r="R583" s="5" t="str">
        <f>_xlfn.CONCAT(sales[[#This Row],[Shop]]," ",sales[[#This Row],[Location]])</f>
        <v>Tsing Yi Fortress</v>
      </c>
    </row>
    <row r="584" spans="1:18" ht="16.5" customHeight="1">
      <c r="A584" s="7">
        <v>582</v>
      </c>
      <c r="B584" s="2" t="s">
        <v>1019</v>
      </c>
      <c r="C584" s="5" t="s">
        <v>975</v>
      </c>
      <c r="D584" s="2" t="str">
        <f ca="1">OFFSET(Roster!$B$7, MATCH(B584&amp;" "&amp;C584&amp;"*",Roster!$B$8:$B$20,0),DAY(sales[[#This Row],[date]]),1, 1)</f>
        <v>Tammy</v>
      </c>
      <c r="E584" s="2">
        <f>MONTH(sales[[#This Row],[date]])</f>
        <v>6</v>
      </c>
      <c r="F584" s="233">
        <v>46179</v>
      </c>
      <c r="G584" s="3" t="str">
        <f>VLOOKUP("*"&amp;sales[[#This Row],[Input]]&amp;"*",'Ref-List'!$A:$C,1,0)</f>
        <v>Model-Input-Ref</v>
      </c>
      <c r="H584" s="2" t="str">
        <f>VLOOKUP("*"&amp;G584&amp;"*",'Ref-List'!$A:$C,3,0)</f>
        <v>Product Line</v>
      </c>
      <c r="J584" s="2">
        <v>1</v>
      </c>
      <c r="K584" s="2">
        <v>715</v>
      </c>
      <c r="L584" s="2">
        <f>sales[[#This Row],[quantity]]*sales[[#This Row],[price]]</f>
        <v>715</v>
      </c>
      <c r="M584" s="9">
        <f>sales[[#This Row],[Total Price]]*3%</f>
        <v>21.45</v>
      </c>
      <c r="N584" s="171">
        <f>sales[[#This Row],[Total Price]]*2.5%</f>
        <v>17.875</v>
      </c>
      <c r="O584" s="9">
        <f>sales[[#This Row],[Total Price]]*1.5%</f>
        <v>10.725</v>
      </c>
      <c r="R584" s="5" t="str">
        <f>_xlfn.CONCAT(sales[[#This Row],[Shop]]," ",sales[[#This Row],[Location]])</f>
        <v>Tsing Yi Fortress</v>
      </c>
    </row>
    <row r="585" spans="1:18" ht="15.6" customHeight="1">
      <c r="A585" s="7">
        <v>583</v>
      </c>
      <c r="B585" s="2" t="s">
        <v>1019</v>
      </c>
      <c r="C585" s="5" t="s">
        <v>975</v>
      </c>
      <c r="D585" s="2" t="str">
        <f ca="1">OFFSET(Roster!$B$7, MATCH(B585&amp;" "&amp;C585&amp;"*",Roster!$B$8:$B$20,0),DAY(sales[[#This Row],[date]]),1, 1)</f>
        <v>Tammy</v>
      </c>
      <c r="E585" s="2">
        <f>MONTH(sales[[#This Row],[date]])</f>
        <v>6</v>
      </c>
      <c r="F585" s="233">
        <v>46179</v>
      </c>
      <c r="G585" s="3" t="str">
        <f>VLOOKUP("*"&amp;sales[[#This Row],[Input]]&amp;"*",'Ref-List'!$A:$C,1,0)</f>
        <v>Model-Input-Ref</v>
      </c>
      <c r="H585" s="2" t="str">
        <f>VLOOKUP("*"&amp;G585&amp;"*",'Ref-List'!$A:$C,3,0)</f>
        <v>Product Line</v>
      </c>
      <c r="J585" s="2">
        <v>1</v>
      </c>
      <c r="K585" s="2">
        <v>164</v>
      </c>
      <c r="L585" s="2">
        <f>sales[[#This Row],[quantity]]*sales[[#This Row],[price]]</f>
        <v>164</v>
      </c>
      <c r="M585" s="9">
        <f>sales[[#This Row],[Total Price]]*3%</f>
        <v>4.92</v>
      </c>
      <c r="N585" s="171">
        <f>sales[[#This Row],[Total Price]]*2.5%</f>
        <v>4.1000000000000005</v>
      </c>
      <c r="O585" s="9">
        <f>sales[[#This Row],[Total Price]]*1.5%</f>
        <v>2.46</v>
      </c>
      <c r="R585" s="5" t="str">
        <f>_xlfn.CONCAT(sales[[#This Row],[Shop]]," ",sales[[#This Row],[Location]])</f>
        <v>Tsing Yi Fortress</v>
      </c>
    </row>
    <row r="586" spans="1:18" ht="15.6" customHeight="1">
      <c r="A586" s="7">
        <v>584</v>
      </c>
      <c r="B586" s="2" t="s">
        <v>1019</v>
      </c>
      <c r="C586" s="5" t="s">
        <v>975</v>
      </c>
      <c r="D586" s="2" t="str">
        <f ca="1">OFFSET(Roster!$B$7, MATCH(B586&amp;" "&amp;C586&amp;"*",Roster!$B$8:$B$20,0),DAY(sales[[#This Row],[date]]),1, 1)</f>
        <v>Tammy</v>
      </c>
      <c r="E586" s="2">
        <f>MONTH(sales[[#This Row],[date]])</f>
        <v>6</v>
      </c>
      <c r="F586" s="233">
        <v>46180</v>
      </c>
      <c r="G586" s="3" t="str">
        <f>VLOOKUP("*"&amp;sales[[#This Row],[Input]]&amp;"*",'Ref-List'!$A:$C,1,0)</f>
        <v>Model-Input-Ref</v>
      </c>
      <c r="H586" s="2" t="str">
        <f>VLOOKUP("*"&amp;G586&amp;"*",'Ref-List'!$A:$C,3,0)</f>
        <v>Product Line</v>
      </c>
      <c r="J586" s="2">
        <v>1</v>
      </c>
      <c r="K586" s="2">
        <v>690</v>
      </c>
      <c r="L586" s="2">
        <f>sales[[#This Row],[quantity]]*sales[[#This Row],[price]]</f>
        <v>690</v>
      </c>
      <c r="M586" s="9">
        <f>sales[[#This Row],[Total Price]]*3%</f>
        <v>20.7</v>
      </c>
      <c r="N586" s="171">
        <f>sales[[#This Row],[Total Price]]*2.5%</f>
        <v>17.25</v>
      </c>
      <c r="O586" s="9">
        <f>sales[[#This Row],[Total Price]]*1.5%</f>
        <v>10.35</v>
      </c>
      <c r="R586" s="5" t="str">
        <f>_xlfn.CONCAT(sales[[#This Row],[Shop]]," ",sales[[#This Row],[Location]])</f>
        <v>Tsing Yi Fortress</v>
      </c>
    </row>
    <row r="587" spans="1:18" ht="15.6" customHeight="1">
      <c r="A587" s="7">
        <v>585</v>
      </c>
      <c r="B587" s="2" t="s">
        <v>1019</v>
      </c>
      <c r="C587" s="5" t="s">
        <v>975</v>
      </c>
      <c r="D587" s="2" t="str">
        <f ca="1">OFFSET(Roster!$B$7, MATCH(B587&amp;" "&amp;C587&amp;"*",Roster!$B$8:$B$20,0),DAY(sales[[#This Row],[date]]),1, 1)</f>
        <v>Tammy</v>
      </c>
      <c r="E587" s="2">
        <f>MONTH(sales[[#This Row],[date]])</f>
        <v>6</v>
      </c>
      <c r="F587" s="233">
        <v>46180</v>
      </c>
      <c r="G587" s="3" t="str">
        <f>VLOOKUP("*"&amp;sales[[#This Row],[Input]]&amp;"*",'Ref-List'!$A:$C,1,0)</f>
        <v>Model-Input-Ref</v>
      </c>
      <c r="H587" s="2" t="str">
        <f>VLOOKUP("*"&amp;G587&amp;"*",'Ref-List'!$A:$C,3,0)</f>
        <v>Product Line</v>
      </c>
      <c r="J587" s="2">
        <v>1</v>
      </c>
      <c r="K587" s="2">
        <v>510</v>
      </c>
      <c r="L587" s="2">
        <f>sales[[#This Row],[quantity]]*sales[[#This Row],[price]]</f>
        <v>510</v>
      </c>
      <c r="M587" s="9">
        <f>sales[[#This Row],[Total Price]]*3%</f>
        <v>15.299999999999999</v>
      </c>
      <c r="N587" s="171">
        <f>sales[[#This Row],[Total Price]]*2.5%</f>
        <v>12.75</v>
      </c>
      <c r="O587" s="9">
        <f>sales[[#This Row],[Total Price]]*1.5%</f>
        <v>7.6499999999999995</v>
      </c>
      <c r="R587" s="5" t="str">
        <f>_xlfn.CONCAT(sales[[#This Row],[Shop]]," ",sales[[#This Row],[Location]])</f>
        <v>Tsing Yi Fortress</v>
      </c>
    </row>
    <row r="588" spans="1:18" ht="15.6" customHeight="1">
      <c r="A588" s="7">
        <v>586</v>
      </c>
      <c r="B588" s="2" t="s">
        <v>1019</v>
      </c>
      <c r="C588" s="5" t="s">
        <v>975</v>
      </c>
      <c r="D588" s="2" t="str">
        <f ca="1">OFFSET(Roster!$B$7, MATCH(B588&amp;" "&amp;C588&amp;"*",Roster!$B$8:$B$20,0),DAY(sales[[#This Row],[date]]),1, 1)</f>
        <v>Tammy</v>
      </c>
      <c r="E588" s="2">
        <f>MONTH(sales[[#This Row],[date]])</f>
        <v>6</v>
      </c>
      <c r="F588" s="233">
        <v>46180</v>
      </c>
      <c r="G588" s="3" t="str">
        <f>VLOOKUP("*"&amp;sales[[#This Row],[Input]]&amp;"*",'Ref-List'!$A:$C,1,0)</f>
        <v>Model-Input-Ref</v>
      </c>
      <c r="H588" s="2" t="str">
        <f>VLOOKUP("*"&amp;G588&amp;"*",'Ref-List'!$A:$C,3,0)</f>
        <v>Product Line</v>
      </c>
      <c r="J588" s="2">
        <v>1</v>
      </c>
      <c r="K588" s="2">
        <v>1899</v>
      </c>
      <c r="L588" s="2">
        <f>sales[[#This Row],[quantity]]*sales[[#This Row],[price]]</f>
        <v>1899</v>
      </c>
      <c r="M588" s="9">
        <f>sales[[#This Row],[Total Price]]*3%</f>
        <v>56.97</v>
      </c>
      <c r="N588" s="171">
        <f>sales[[#This Row],[Total Price]]*2.5%</f>
        <v>47.475000000000001</v>
      </c>
      <c r="O588" s="9">
        <f>sales[[#This Row],[Total Price]]*1.5%</f>
        <v>28.484999999999999</v>
      </c>
      <c r="R588" s="5" t="str">
        <f>_xlfn.CONCAT(sales[[#This Row],[Shop]]," ",sales[[#This Row],[Location]])</f>
        <v>Tsing Yi Fortress</v>
      </c>
    </row>
    <row r="589" spans="1:18" ht="15.6" customHeight="1">
      <c r="A589" s="7">
        <v>587</v>
      </c>
      <c r="B589" s="2" t="s">
        <v>1019</v>
      </c>
      <c r="C589" s="5" t="s">
        <v>975</v>
      </c>
      <c r="D589" s="2" t="str">
        <f ca="1">OFFSET(Roster!$B$7, MATCH(B589&amp;" "&amp;C589&amp;"*",Roster!$B$8:$B$20,0),DAY(sales[[#This Row],[date]]),1, 1)</f>
        <v>Tammy</v>
      </c>
      <c r="E589" s="2">
        <f>MONTH(sales[[#This Row],[date]])</f>
        <v>6</v>
      </c>
      <c r="F589" s="233">
        <v>46185</v>
      </c>
      <c r="G589" s="3" t="str">
        <f>VLOOKUP("*"&amp;sales[[#This Row],[Input]]&amp;"*",'Ref-List'!$A:$C,1,0)</f>
        <v>Model-Input-Ref</v>
      </c>
      <c r="H589" s="2" t="str">
        <f>VLOOKUP("*"&amp;G589&amp;"*",'Ref-List'!$A:$C,3,0)</f>
        <v>Product Line</v>
      </c>
      <c r="J589" s="2">
        <v>1</v>
      </c>
      <c r="K589" s="2">
        <v>1899</v>
      </c>
      <c r="L589" s="2">
        <f>sales[[#This Row],[quantity]]*sales[[#This Row],[price]]</f>
        <v>1899</v>
      </c>
      <c r="M589" s="9">
        <f>sales[[#This Row],[Total Price]]*3%</f>
        <v>56.97</v>
      </c>
      <c r="N589" s="171">
        <f>sales[[#This Row],[Total Price]]*2.5%</f>
        <v>47.475000000000001</v>
      </c>
      <c r="O589" s="9">
        <f>sales[[#This Row],[Total Price]]*1.5%</f>
        <v>28.484999999999999</v>
      </c>
      <c r="R589" s="5" t="str">
        <f>_xlfn.CONCAT(sales[[#This Row],[Shop]]," ",sales[[#This Row],[Location]])</f>
        <v>Tsing Yi Fortress</v>
      </c>
    </row>
    <row r="590" spans="1:18" ht="15.6" customHeight="1">
      <c r="A590" s="7">
        <v>588</v>
      </c>
      <c r="B590" s="2" t="s">
        <v>1019</v>
      </c>
      <c r="C590" s="5" t="s">
        <v>975</v>
      </c>
      <c r="D590" s="2" t="str">
        <f ca="1">OFFSET(Roster!$B$7, MATCH(B590&amp;" "&amp;C590&amp;"*",Roster!$B$8:$B$20,0),DAY(sales[[#This Row],[date]]),1, 1)</f>
        <v>Tammy</v>
      </c>
      <c r="E590" s="2">
        <f>MONTH(sales[[#This Row],[date]])</f>
        <v>6</v>
      </c>
      <c r="F590" s="233">
        <v>46186</v>
      </c>
      <c r="G590" s="3" t="str">
        <f>VLOOKUP("*"&amp;sales[[#This Row],[Input]]&amp;"*",'Ref-List'!$A:$C,1,0)</f>
        <v>Model-Input-Ref</v>
      </c>
      <c r="H590" s="2" t="str">
        <f>VLOOKUP("*"&amp;G590&amp;"*",'Ref-List'!$A:$C,3,0)</f>
        <v>Product Line</v>
      </c>
      <c r="J590" s="2">
        <v>1</v>
      </c>
      <c r="K590" s="2">
        <v>598</v>
      </c>
      <c r="L590" s="2">
        <f>sales[[#This Row],[quantity]]*sales[[#This Row],[price]]</f>
        <v>598</v>
      </c>
      <c r="M590" s="9">
        <f>sales[[#This Row],[Total Price]]*3%</f>
        <v>17.939999999999998</v>
      </c>
      <c r="N590" s="171">
        <f>sales[[#This Row],[Total Price]]*2.5%</f>
        <v>14.950000000000001</v>
      </c>
      <c r="O590" s="9">
        <f>sales[[#This Row],[Total Price]]*1.5%</f>
        <v>8.9699999999999989</v>
      </c>
      <c r="R590" s="5" t="str">
        <f>_xlfn.CONCAT(sales[[#This Row],[Shop]]," ",sales[[#This Row],[Location]])</f>
        <v>Tsing Yi Fortress</v>
      </c>
    </row>
    <row r="591" spans="1:18" ht="15.6" customHeight="1">
      <c r="A591" s="7">
        <v>589</v>
      </c>
      <c r="B591" s="2" t="s">
        <v>1019</v>
      </c>
      <c r="C591" s="5" t="s">
        <v>975</v>
      </c>
      <c r="D591" s="2" t="str">
        <f ca="1">OFFSET(Roster!$B$7, MATCH(B591&amp;" "&amp;C591&amp;"*",Roster!$B$8:$B$20,0),DAY(sales[[#This Row],[date]]),1, 1)</f>
        <v>Tammy</v>
      </c>
      <c r="E591" s="2">
        <f>MONTH(sales[[#This Row],[date]])</f>
        <v>6</v>
      </c>
      <c r="F591" s="233">
        <v>46186</v>
      </c>
      <c r="G591" s="3" t="str">
        <f>VLOOKUP("*"&amp;sales[[#This Row],[Input]]&amp;"*",'Ref-List'!$A:$C,1,0)</f>
        <v>Model-Input-Ref</v>
      </c>
      <c r="H591" s="2" t="str">
        <f>VLOOKUP("*"&amp;G591&amp;"*",'Ref-List'!$A:$C,3,0)</f>
        <v>Product Line</v>
      </c>
      <c r="J591" s="2">
        <v>1</v>
      </c>
      <c r="K591" s="2">
        <v>3688</v>
      </c>
      <c r="L591" s="2">
        <f>sales[[#This Row],[quantity]]*sales[[#This Row],[price]]</f>
        <v>3688</v>
      </c>
      <c r="M591" s="9">
        <f>sales[[#This Row],[Total Price]]*3%</f>
        <v>110.64</v>
      </c>
      <c r="N591" s="171">
        <f>sales[[#This Row],[Total Price]]*2.5%</f>
        <v>92.2</v>
      </c>
      <c r="O591" s="9">
        <f>sales[[#This Row],[Total Price]]*1.5%</f>
        <v>55.32</v>
      </c>
      <c r="R591" s="5" t="str">
        <f>_xlfn.CONCAT(sales[[#This Row],[Shop]]," ",sales[[#This Row],[Location]])</f>
        <v>Tsing Yi Fortress</v>
      </c>
    </row>
    <row r="592" spans="1:18" ht="15.6" customHeight="1">
      <c r="A592" s="7">
        <v>590</v>
      </c>
      <c r="B592" s="2" t="s">
        <v>1019</v>
      </c>
      <c r="C592" s="5" t="s">
        <v>975</v>
      </c>
      <c r="D592" s="2" t="str">
        <f ca="1">OFFSET(Roster!$B$7, MATCH(B592&amp;" "&amp;C592&amp;"*",Roster!$B$8:$B$20,0),DAY(sales[[#This Row],[date]]),1, 1)</f>
        <v>Tammy</v>
      </c>
      <c r="E592" s="2">
        <f>MONTH(sales[[#This Row],[date]])</f>
        <v>6</v>
      </c>
      <c r="F592" s="233">
        <v>46186</v>
      </c>
      <c r="G592" s="3" t="str">
        <f>VLOOKUP("*"&amp;sales[[#This Row],[Input]]&amp;"*",'Ref-List'!$A:$C,1,0)</f>
        <v>Model-Input-Ref</v>
      </c>
      <c r="H592" s="2" t="str">
        <f>VLOOKUP("*"&amp;G592&amp;"*",'Ref-List'!$A:$C,3,0)</f>
        <v>Product Line</v>
      </c>
      <c r="J592" s="2">
        <v>1</v>
      </c>
      <c r="K592" s="2">
        <v>628</v>
      </c>
      <c r="L592" s="2">
        <f>sales[[#This Row],[quantity]]*sales[[#This Row],[price]]</f>
        <v>628</v>
      </c>
      <c r="M592" s="9">
        <f>sales[[#This Row],[Total Price]]*3%</f>
        <v>18.84</v>
      </c>
      <c r="N592" s="171">
        <f>sales[[#This Row],[Total Price]]*2.5%</f>
        <v>15.700000000000001</v>
      </c>
      <c r="O592" s="9">
        <f>sales[[#This Row],[Total Price]]*1.5%</f>
        <v>9.42</v>
      </c>
      <c r="R592" s="5" t="str">
        <f>_xlfn.CONCAT(sales[[#This Row],[Shop]]," ",sales[[#This Row],[Location]])</f>
        <v>Tsing Yi Fortress</v>
      </c>
    </row>
    <row r="593" spans="1:18" ht="15.6" customHeight="1">
      <c r="A593" s="7">
        <v>591</v>
      </c>
      <c r="B593" s="2" t="s">
        <v>1019</v>
      </c>
      <c r="C593" s="5" t="s">
        <v>975</v>
      </c>
      <c r="D593" s="2" t="str">
        <f ca="1">OFFSET(Roster!$B$7, MATCH(B593&amp;" "&amp;C593&amp;"*",Roster!$B$8:$B$20,0),DAY(sales[[#This Row],[date]]),1, 1)</f>
        <v>Tammy</v>
      </c>
      <c r="E593" s="2">
        <f>MONTH(sales[[#This Row],[date]])</f>
        <v>6</v>
      </c>
      <c r="F593" s="233">
        <v>46186</v>
      </c>
      <c r="G593" s="3" t="str">
        <f>VLOOKUP("*"&amp;sales[[#This Row],[Input]]&amp;"*",'Ref-List'!$A:$C,1,0)</f>
        <v>Model-Input-Ref</v>
      </c>
      <c r="H593" s="2" t="str">
        <f>VLOOKUP("*"&amp;G593&amp;"*",'Ref-List'!$A:$C,3,0)</f>
        <v>Product Line</v>
      </c>
      <c r="J593" s="2">
        <v>1</v>
      </c>
      <c r="K593" s="2">
        <v>598</v>
      </c>
      <c r="L593" s="2">
        <f>sales[[#This Row],[quantity]]*sales[[#This Row],[price]]</f>
        <v>598</v>
      </c>
      <c r="M593" s="9">
        <f>sales[[#This Row],[Total Price]]*3%</f>
        <v>17.939999999999998</v>
      </c>
      <c r="N593" s="171">
        <f>sales[[#This Row],[Total Price]]*2.5%</f>
        <v>14.950000000000001</v>
      </c>
      <c r="O593" s="9">
        <f>sales[[#This Row],[Total Price]]*1.5%</f>
        <v>8.9699999999999989</v>
      </c>
      <c r="R593" s="5" t="str">
        <f>_xlfn.CONCAT(sales[[#This Row],[Shop]]," ",sales[[#This Row],[Location]])</f>
        <v>Tsing Yi Fortress</v>
      </c>
    </row>
    <row r="594" spans="1:18" ht="15.6" customHeight="1">
      <c r="A594" s="7">
        <v>592</v>
      </c>
      <c r="B594" s="2" t="s">
        <v>1019</v>
      </c>
      <c r="C594" s="5" t="s">
        <v>975</v>
      </c>
      <c r="D594" s="2" t="str">
        <f ca="1">OFFSET(Roster!$B$7, MATCH(B594&amp;" "&amp;C594&amp;"*",Roster!$B$8:$B$20,0),DAY(sales[[#This Row],[date]]),1, 1)</f>
        <v>Tammy</v>
      </c>
      <c r="E594" s="2">
        <f>MONTH(sales[[#This Row],[date]])</f>
        <v>6</v>
      </c>
      <c r="F594" s="233">
        <v>46186</v>
      </c>
      <c r="G594" s="3" t="str">
        <f>VLOOKUP("*"&amp;sales[[#This Row],[Input]]&amp;"*",'Ref-List'!$A:$C,1,0)</f>
        <v>Model-Input-Ref</v>
      </c>
      <c r="H594" s="2" t="str">
        <f>VLOOKUP("*"&amp;G594&amp;"*",'Ref-List'!$A:$C,3,0)</f>
        <v>Product Line</v>
      </c>
      <c r="J594" s="2">
        <v>1</v>
      </c>
      <c r="K594" s="2">
        <v>598</v>
      </c>
      <c r="L594" s="2">
        <f>sales[[#This Row],[quantity]]*sales[[#This Row],[price]]</f>
        <v>598</v>
      </c>
      <c r="M594" s="9">
        <f>sales[[#This Row],[Total Price]]*3%</f>
        <v>17.939999999999998</v>
      </c>
      <c r="N594" s="171">
        <f>sales[[#This Row],[Total Price]]*2.5%</f>
        <v>14.950000000000001</v>
      </c>
      <c r="O594" s="9">
        <f>sales[[#This Row],[Total Price]]*1.5%</f>
        <v>8.9699999999999989</v>
      </c>
      <c r="R594" s="5" t="str">
        <f>_xlfn.CONCAT(sales[[#This Row],[Shop]]," ",sales[[#This Row],[Location]])</f>
        <v>Tsing Yi Fortress</v>
      </c>
    </row>
    <row r="595" spans="1:18" ht="15.6" customHeight="1">
      <c r="A595" s="7">
        <v>593</v>
      </c>
      <c r="B595" s="2" t="s">
        <v>1019</v>
      </c>
      <c r="C595" s="5" t="s">
        <v>975</v>
      </c>
      <c r="D595" s="2" t="str">
        <f ca="1">OFFSET(Roster!$B$7, MATCH(B595&amp;" "&amp;C595&amp;"*",Roster!$B$8:$B$20,0),DAY(sales[[#This Row],[date]]),1, 1)</f>
        <v>Tammy</v>
      </c>
      <c r="E595" s="2">
        <f>MONTH(sales[[#This Row],[date]])</f>
        <v>6</v>
      </c>
      <c r="F595" s="233">
        <v>46186</v>
      </c>
      <c r="G595" s="3" t="str">
        <f>VLOOKUP("*"&amp;sales[[#This Row],[Input]]&amp;"*",'Ref-List'!$A:$C,1,0)</f>
        <v>Model-Input-Ref</v>
      </c>
      <c r="H595" s="2" t="str">
        <f>VLOOKUP("*"&amp;G595&amp;"*",'Ref-List'!$A:$C,3,0)</f>
        <v>Product Line</v>
      </c>
      <c r="J595" s="2">
        <v>1</v>
      </c>
      <c r="K595" s="2">
        <v>848</v>
      </c>
      <c r="L595" s="2">
        <f>sales[[#This Row],[quantity]]*sales[[#This Row],[price]]</f>
        <v>848</v>
      </c>
      <c r="M595" s="9">
        <f>sales[[#This Row],[Total Price]]*3%</f>
        <v>25.439999999999998</v>
      </c>
      <c r="N595" s="171">
        <f>sales[[#This Row],[Total Price]]*2.5%</f>
        <v>21.200000000000003</v>
      </c>
      <c r="O595" s="9">
        <f>sales[[#This Row],[Total Price]]*1.5%</f>
        <v>12.719999999999999</v>
      </c>
      <c r="R595" s="5" t="str">
        <f>_xlfn.CONCAT(sales[[#This Row],[Shop]]," ",sales[[#This Row],[Location]])</f>
        <v>Tsing Yi Fortress</v>
      </c>
    </row>
    <row r="596" spans="1:18" ht="15.6" customHeight="1">
      <c r="A596" s="7">
        <v>594</v>
      </c>
      <c r="B596" s="2" t="s">
        <v>1019</v>
      </c>
      <c r="C596" s="5" t="s">
        <v>975</v>
      </c>
      <c r="D596" s="2" t="str">
        <f ca="1">OFFSET(Roster!$B$7, MATCH(B596&amp;" "&amp;C596&amp;"*",Roster!$B$8:$B$20,0),DAY(sales[[#This Row],[date]]),1, 1)</f>
        <v>Tammy</v>
      </c>
      <c r="E596" s="2">
        <f>MONTH(sales[[#This Row],[date]])</f>
        <v>6</v>
      </c>
      <c r="F596" s="233">
        <v>46187</v>
      </c>
      <c r="G596" s="3" t="str">
        <f>VLOOKUP("*"&amp;sales[[#This Row],[Input]]&amp;"*",'Ref-List'!$A:$C,1,0)</f>
        <v>Model-Input-Ref</v>
      </c>
      <c r="H596" s="2" t="str">
        <f>VLOOKUP("*"&amp;G596&amp;"*",'Ref-List'!$A:$C,3,0)</f>
        <v>Product Line</v>
      </c>
      <c r="J596" s="2">
        <v>1</v>
      </c>
      <c r="K596" s="2">
        <v>598</v>
      </c>
      <c r="L596" s="2">
        <f>sales[[#This Row],[quantity]]*sales[[#This Row],[price]]</f>
        <v>598</v>
      </c>
      <c r="M596" s="9">
        <f>sales[[#This Row],[Total Price]]*3%</f>
        <v>17.939999999999998</v>
      </c>
      <c r="N596" s="171">
        <f>sales[[#This Row],[Total Price]]*2.5%</f>
        <v>14.950000000000001</v>
      </c>
      <c r="O596" s="9">
        <f>sales[[#This Row],[Total Price]]*1.5%</f>
        <v>8.9699999999999989</v>
      </c>
      <c r="R596" s="5" t="str">
        <f>_xlfn.CONCAT(sales[[#This Row],[Shop]]," ",sales[[#This Row],[Location]])</f>
        <v>Tsing Yi Fortress</v>
      </c>
    </row>
    <row r="597" spans="1:18" ht="15.6" customHeight="1">
      <c r="A597" s="7">
        <v>595</v>
      </c>
      <c r="B597" s="2" t="s">
        <v>1019</v>
      </c>
      <c r="C597" s="5" t="s">
        <v>975</v>
      </c>
      <c r="D597" s="2" t="str">
        <f ca="1">OFFSET(Roster!$B$7, MATCH(B597&amp;" "&amp;C597&amp;"*",Roster!$B$8:$B$20,0),DAY(sales[[#This Row],[date]]),1, 1)</f>
        <v>Tammy</v>
      </c>
      <c r="E597" s="2">
        <f>MONTH(sales[[#This Row],[date]])</f>
        <v>6</v>
      </c>
      <c r="F597" s="233">
        <v>46187</v>
      </c>
      <c r="G597" s="3" t="str">
        <f>VLOOKUP("*"&amp;sales[[#This Row],[Input]]&amp;"*",'Ref-List'!$A:$C,1,0)</f>
        <v>Model-Input-Ref</v>
      </c>
      <c r="H597" s="2" t="str">
        <f>VLOOKUP("*"&amp;G597&amp;"*",'Ref-List'!$A:$C,3,0)</f>
        <v>Product Line</v>
      </c>
      <c r="J597" s="2">
        <v>1</v>
      </c>
      <c r="K597" s="2">
        <v>598</v>
      </c>
      <c r="L597" s="2">
        <f>sales[[#This Row],[quantity]]*sales[[#This Row],[price]]</f>
        <v>598</v>
      </c>
      <c r="M597" s="9">
        <f>sales[[#This Row],[Total Price]]*3%</f>
        <v>17.939999999999998</v>
      </c>
      <c r="N597" s="171">
        <f>sales[[#This Row],[Total Price]]*2.5%</f>
        <v>14.950000000000001</v>
      </c>
      <c r="O597" s="9">
        <f>sales[[#This Row],[Total Price]]*1.5%</f>
        <v>8.9699999999999989</v>
      </c>
      <c r="R597" s="5" t="str">
        <f>_xlfn.CONCAT(sales[[#This Row],[Shop]]," ",sales[[#This Row],[Location]])</f>
        <v>Tsing Yi Fortress</v>
      </c>
    </row>
    <row r="598" spans="1:18" ht="15.6" customHeight="1">
      <c r="A598" s="7">
        <v>596</v>
      </c>
      <c r="B598" s="2" t="s">
        <v>1019</v>
      </c>
      <c r="C598" s="5" t="s">
        <v>975</v>
      </c>
      <c r="D598" s="2" t="str">
        <f ca="1">OFFSET(Roster!$B$7, MATCH(B598&amp;" "&amp;C598&amp;"*",Roster!$B$8:$B$20,0),DAY(sales[[#This Row],[date]]),1, 1)</f>
        <v>Tammy</v>
      </c>
      <c r="E598" s="2">
        <f>MONTH(sales[[#This Row],[date]])</f>
        <v>6</v>
      </c>
      <c r="F598" s="233">
        <v>46187</v>
      </c>
      <c r="G598" s="3" t="str">
        <f>VLOOKUP("*"&amp;sales[[#This Row],[Input]]&amp;"*",'Ref-List'!$A:$C,1,0)</f>
        <v>Model-Input-Ref</v>
      </c>
      <c r="H598" s="2" t="str">
        <f>VLOOKUP("*"&amp;G598&amp;"*",'Ref-List'!$A:$C,3,0)</f>
        <v>Product Line</v>
      </c>
      <c r="J598" s="2">
        <v>1</v>
      </c>
      <c r="K598" s="2">
        <v>598</v>
      </c>
      <c r="L598" s="2">
        <f>sales[[#This Row],[quantity]]*sales[[#This Row],[price]]</f>
        <v>598</v>
      </c>
      <c r="M598" s="9">
        <f>sales[[#This Row],[Total Price]]*3%</f>
        <v>17.939999999999998</v>
      </c>
      <c r="N598" s="171">
        <f>sales[[#This Row],[Total Price]]*2.5%</f>
        <v>14.950000000000001</v>
      </c>
      <c r="O598" s="9">
        <f>sales[[#This Row],[Total Price]]*1.5%</f>
        <v>8.9699999999999989</v>
      </c>
      <c r="R598" s="5" t="str">
        <f>_xlfn.CONCAT(sales[[#This Row],[Shop]]," ",sales[[#This Row],[Location]])</f>
        <v>Tsing Yi Fortress</v>
      </c>
    </row>
    <row r="599" spans="1:18" ht="16.5" customHeight="1">
      <c r="A599" s="7">
        <v>597</v>
      </c>
      <c r="B599" s="2" t="s">
        <v>1019</v>
      </c>
      <c r="C599" s="5" t="s">
        <v>975</v>
      </c>
      <c r="D599" s="2" t="str">
        <f ca="1">OFFSET(Roster!$B$7, MATCH(B599&amp;" "&amp;C599&amp;"*",Roster!$B$8:$B$20,0),DAY(sales[[#This Row],[date]]),1, 1)</f>
        <v>Tammy</v>
      </c>
      <c r="E599" s="2">
        <f>MONTH(sales[[#This Row],[date]])</f>
        <v>6</v>
      </c>
      <c r="F599" s="233">
        <v>46187</v>
      </c>
      <c r="G599" s="3" t="str">
        <f>VLOOKUP("*"&amp;sales[[#This Row],[Input]]&amp;"*",'Ref-List'!$A:$C,1,0)</f>
        <v>Model-Input-Ref</v>
      </c>
      <c r="H599" s="2" t="str">
        <f>VLOOKUP("*"&amp;G599&amp;"*",'Ref-List'!$A:$C,3,0)</f>
        <v>Product Line</v>
      </c>
      <c r="J599" s="2">
        <v>1</v>
      </c>
      <c r="K599" s="2">
        <v>848</v>
      </c>
      <c r="L599" s="2">
        <f>sales[[#This Row],[quantity]]*sales[[#This Row],[price]]</f>
        <v>848</v>
      </c>
      <c r="M599" s="9">
        <f>sales[[#This Row],[Total Price]]*3%</f>
        <v>25.439999999999998</v>
      </c>
      <c r="N599" s="171">
        <f>sales[[#This Row],[Total Price]]*2.5%</f>
        <v>21.200000000000003</v>
      </c>
      <c r="O599" s="9">
        <f>sales[[#This Row],[Total Price]]*1.5%</f>
        <v>12.719999999999999</v>
      </c>
      <c r="R599" s="5" t="str">
        <f>_xlfn.CONCAT(sales[[#This Row],[Shop]]," ",sales[[#This Row],[Location]])</f>
        <v>Tsing Yi Fortress</v>
      </c>
    </row>
    <row r="600" spans="1:18" ht="15.6" customHeight="1">
      <c r="A600" s="7">
        <v>598</v>
      </c>
      <c r="B600" s="2" t="s">
        <v>1019</v>
      </c>
      <c r="C600" s="5" t="s">
        <v>975</v>
      </c>
      <c r="D600" s="2" t="str">
        <f ca="1">OFFSET(Roster!$B$7, MATCH(B600&amp;" "&amp;C600&amp;"*",Roster!$B$8:$B$20,0),DAY(sales[[#This Row],[date]]),1, 1)</f>
        <v>Tammy</v>
      </c>
      <c r="E600" s="2">
        <f>MONTH(sales[[#This Row],[date]])</f>
        <v>6</v>
      </c>
      <c r="F600" s="233">
        <v>46187</v>
      </c>
      <c r="G600" s="3" t="str">
        <f>VLOOKUP("*"&amp;sales[[#This Row],[Input]]&amp;"*",'Ref-List'!$A:$C,1,0)</f>
        <v>Model-Input-Ref</v>
      </c>
      <c r="H600" s="2" t="str">
        <f>VLOOKUP("*"&amp;G600&amp;"*",'Ref-List'!$A:$C,3,0)</f>
        <v>Product Line</v>
      </c>
      <c r="J600" s="2">
        <v>1</v>
      </c>
      <c r="K600" s="2">
        <v>528</v>
      </c>
      <c r="L600" s="2">
        <f>sales[[#This Row],[quantity]]*sales[[#This Row],[price]]</f>
        <v>528</v>
      </c>
      <c r="M600" s="9">
        <f>sales[[#This Row],[Total Price]]*3%</f>
        <v>15.84</v>
      </c>
      <c r="N600" s="171">
        <f>sales[[#This Row],[Total Price]]*2.5%</f>
        <v>13.200000000000001</v>
      </c>
      <c r="O600" s="9">
        <f>sales[[#This Row],[Total Price]]*1.5%</f>
        <v>7.92</v>
      </c>
      <c r="R600" s="5" t="str">
        <f>_xlfn.CONCAT(sales[[#This Row],[Shop]]," ",sales[[#This Row],[Location]])</f>
        <v>Tsing Yi Fortress</v>
      </c>
    </row>
    <row r="601" spans="1:18" ht="15.6" customHeight="1">
      <c r="A601" s="7">
        <v>599</v>
      </c>
      <c r="B601" s="2" t="s">
        <v>1019</v>
      </c>
      <c r="C601" s="5" t="s">
        <v>975</v>
      </c>
      <c r="D601" s="2" t="str">
        <f ca="1">OFFSET(Roster!$B$7, MATCH(B601&amp;" "&amp;C601&amp;"*",Roster!$B$8:$B$20,0),DAY(sales[[#This Row],[date]]),1, 1)</f>
        <v>Tammy</v>
      </c>
      <c r="E601" s="2">
        <f>MONTH(sales[[#This Row],[date]])</f>
        <v>6</v>
      </c>
      <c r="F601" s="233">
        <v>46187</v>
      </c>
      <c r="G601" s="3" t="str">
        <f>VLOOKUP("*"&amp;sales[[#This Row],[Input]]&amp;"*",'Ref-List'!$A:$C,1,0)</f>
        <v>Model-Input-Ref</v>
      </c>
      <c r="H601" s="2" t="str">
        <f>VLOOKUP("*"&amp;G601&amp;"*",'Ref-List'!$A:$C,3,0)</f>
        <v>Product Line</v>
      </c>
      <c r="J601" s="2">
        <v>1</v>
      </c>
      <c r="K601" s="2">
        <v>2998</v>
      </c>
      <c r="L601" s="2">
        <f>sales[[#This Row],[quantity]]*sales[[#This Row],[price]]</f>
        <v>2998</v>
      </c>
      <c r="M601" s="9">
        <f>sales[[#This Row],[Total Price]]*3%</f>
        <v>89.94</v>
      </c>
      <c r="N601" s="171">
        <f>sales[[#This Row],[Total Price]]*2.5%</f>
        <v>74.95</v>
      </c>
      <c r="O601" s="9">
        <f>sales[[#This Row],[Total Price]]*1.5%</f>
        <v>44.97</v>
      </c>
      <c r="R601" s="5" t="str">
        <f>_xlfn.CONCAT(sales[[#This Row],[Shop]]," ",sales[[#This Row],[Location]])</f>
        <v>Tsing Yi Fortress</v>
      </c>
    </row>
    <row r="602" spans="1:18" ht="15.6" customHeight="1">
      <c r="A602" s="7">
        <v>600</v>
      </c>
      <c r="B602" s="2" t="s">
        <v>1019</v>
      </c>
      <c r="C602" s="5" t="s">
        <v>975</v>
      </c>
      <c r="D602" s="2" t="str">
        <f ca="1">OFFSET(Roster!$B$7, MATCH(B602&amp;" "&amp;C602&amp;"*",Roster!$B$8:$B$20,0),DAY(sales[[#This Row],[date]]),1, 1)</f>
        <v>Tammy</v>
      </c>
      <c r="E602" s="2">
        <f>MONTH(sales[[#This Row],[date]])</f>
        <v>6</v>
      </c>
      <c r="F602" s="233">
        <v>46187</v>
      </c>
      <c r="G602" s="3" t="str">
        <f>VLOOKUP("*"&amp;sales[[#This Row],[Input]]&amp;"*",'Ref-List'!$A:$C,1,0)</f>
        <v>Model-Input-Ref</v>
      </c>
      <c r="H602" s="2" t="str">
        <f>VLOOKUP("*"&amp;G602&amp;"*",'Ref-List'!$A:$C,3,0)</f>
        <v>Product Line</v>
      </c>
      <c r="J602" s="2">
        <v>1</v>
      </c>
      <c r="K602" s="2">
        <v>2998</v>
      </c>
      <c r="L602" s="2">
        <f>sales[[#This Row],[quantity]]*sales[[#This Row],[price]]</f>
        <v>2998</v>
      </c>
      <c r="M602" s="9">
        <f>sales[[#This Row],[Total Price]]*3%</f>
        <v>89.94</v>
      </c>
      <c r="N602" s="171">
        <f>sales[[#This Row],[Total Price]]*2.5%</f>
        <v>74.95</v>
      </c>
      <c r="O602" s="9">
        <f>sales[[#This Row],[Total Price]]*1.5%</f>
        <v>44.97</v>
      </c>
      <c r="R602" s="5" t="str">
        <f>_xlfn.CONCAT(sales[[#This Row],[Shop]]," ",sales[[#This Row],[Location]])</f>
        <v>Tsing Yi Fortress</v>
      </c>
    </row>
    <row r="603" spans="1:18" ht="15.6" customHeight="1">
      <c r="A603" s="7">
        <v>601</v>
      </c>
      <c r="B603" s="2" t="s">
        <v>1022</v>
      </c>
      <c r="C603" s="2" t="s">
        <v>1023</v>
      </c>
      <c r="D603" s="2" t="str">
        <f ca="1">OFFSET(Roster!$B$7, MATCH(B603&amp;" "&amp;C603&amp;"*",Roster!$B$8:$B$20,0),DAY(sales[[#This Row],[date]]),1, 1)</f>
        <v>May M</v>
      </c>
      <c r="E603" s="2">
        <f>MONTH(sales[[#This Row],[date]])</f>
        <v>6</v>
      </c>
      <c r="F603" s="233">
        <v>46177</v>
      </c>
      <c r="G603" s="3" t="str">
        <f>VLOOKUP("*"&amp;sales[[#This Row],[Input]]&amp;"*",'Ref-List'!$A:$C,1,0)</f>
        <v>Model-Input-Ref</v>
      </c>
      <c r="H603" s="2" t="str">
        <f>VLOOKUP("*"&amp;G603&amp;"*",'Ref-List'!$A:$C,3,0)</f>
        <v>Product Line</v>
      </c>
      <c r="J603" s="2">
        <v>1</v>
      </c>
      <c r="K603" s="2">
        <v>848</v>
      </c>
      <c r="L603" s="2">
        <f>sales[[#This Row],[quantity]]*sales[[#This Row],[price]]</f>
        <v>848</v>
      </c>
      <c r="M603" s="9">
        <f>sales[[#This Row],[Total Price]]*3%</f>
        <v>25.439999999999998</v>
      </c>
      <c r="N603" s="171">
        <f>sales[[#This Row],[Total Price]]*2.5%</f>
        <v>21.200000000000003</v>
      </c>
      <c r="O603" s="9">
        <f>sales[[#This Row],[Total Price]]*1.5%</f>
        <v>12.719999999999999</v>
      </c>
      <c r="Q603" s="2">
        <v>1</v>
      </c>
      <c r="R603" s="5" t="str">
        <f>_xlfn.CONCAT(sales[[#This Row],[Shop]]," ",sales[[#This Row],[Location]])</f>
        <v>Tuen Mun Broadway</v>
      </c>
    </row>
    <row r="604" spans="1:18" ht="15.6" customHeight="1">
      <c r="A604" s="7">
        <v>602</v>
      </c>
      <c r="B604" s="2" t="s">
        <v>1022</v>
      </c>
      <c r="C604" s="2" t="s">
        <v>1023</v>
      </c>
      <c r="D604" s="2" t="str">
        <f ca="1">OFFSET(Roster!$B$7, MATCH(B604&amp;" "&amp;C604&amp;"*",Roster!$B$8:$B$20,0),DAY(sales[[#This Row],[date]]),1, 1)</f>
        <v>May M</v>
      </c>
      <c r="E604" s="2">
        <f>MONTH(sales[[#This Row],[date]])</f>
        <v>6</v>
      </c>
      <c r="F604" s="233">
        <v>46177</v>
      </c>
      <c r="G604" s="3" t="str">
        <f>VLOOKUP("*"&amp;sales[[#This Row],[Input]]&amp;"*",'Ref-List'!$A:$C,1,0)</f>
        <v>Model-Input-Ref</v>
      </c>
      <c r="H604" s="2" t="str">
        <f>VLOOKUP("*"&amp;G604&amp;"*",'Ref-List'!$A:$C,3,0)</f>
        <v>Product Line</v>
      </c>
      <c r="J604" s="2">
        <v>1</v>
      </c>
      <c r="K604" s="2">
        <v>298</v>
      </c>
      <c r="L604" s="2">
        <f>sales[[#This Row],[quantity]]*sales[[#This Row],[price]]</f>
        <v>298</v>
      </c>
      <c r="M604" s="9">
        <f>sales[[#This Row],[Total Price]]*3%</f>
        <v>8.94</v>
      </c>
      <c r="N604" s="171">
        <f>sales[[#This Row],[Total Price]]*2.5%</f>
        <v>7.45</v>
      </c>
      <c r="O604" s="9">
        <f>sales[[#This Row],[Total Price]]*1.5%</f>
        <v>4.47</v>
      </c>
      <c r="Q604" s="2">
        <v>1</v>
      </c>
      <c r="R604" s="5" t="str">
        <f>_xlfn.CONCAT(sales[[#This Row],[Shop]]," ",sales[[#This Row],[Location]])</f>
        <v>Tuen Mun Broadway</v>
      </c>
    </row>
    <row r="605" spans="1:18" ht="15.6" customHeight="1">
      <c r="A605" s="7">
        <v>603</v>
      </c>
      <c r="B605" s="2" t="s">
        <v>1022</v>
      </c>
      <c r="C605" s="2" t="s">
        <v>1023</v>
      </c>
      <c r="D605" s="2" t="str">
        <f ca="1">OFFSET(Roster!$B$7, MATCH(B605&amp;" "&amp;C605&amp;"*",Roster!$B$8:$B$20,0),DAY(sales[[#This Row],[date]]),1, 1)</f>
        <v>May M</v>
      </c>
      <c r="E605" s="2">
        <f>MONTH(sales[[#This Row],[date]])</f>
        <v>6</v>
      </c>
      <c r="F605" s="233">
        <v>46177</v>
      </c>
      <c r="G605" s="3" t="str">
        <f>VLOOKUP("*"&amp;sales[[#This Row],[Input]]&amp;"*",'Ref-List'!$A:$C,1,0)</f>
        <v>Model-Input-Ref</v>
      </c>
      <c r="H605" s="2" t="str">
        <f>VLOOKUP("*"&amp;G605&amp;"*",'Ref-List'!$A:$C,3,0)</f>
        <v>Product Line</v>
      </c>
      <c r="J605" s="2">
        <v>1</v>
      </c>
      <c r="K605" s="2">
        <v>620</v>
      </c>
      <c r="L605" s="2">
        <f>sales[[#This Row],[quantity]]*sales[[#This Row],[price]]</f>
        <v>620</v>
      </c>
      <c r="M605" s="9">
        <f>sales[[#This Row],[Total Price]]*3%</f>
        <v>18.599999999999998</v>
      </c>
      <c r="N605" s="171">
        <f>sales[[#This Row],[Total Price]]*2.5%</f>
        <v>15.5</v>
      </c>
      <c r="O605" s="9">
        <f>sales[[#This Row],[Total Price]]*1.5%</f>
        <v>9.2999999999999989</v>
      </c>
      <c r="Q605" s="2">
        <v>1</v>
      </c>
      <c r="R605" s="5" t="str">
        <f>_xlfn.CONCAT(sales[[#This Row],[Shop]]," ",sales[[#This Row],[Location]])</f>
        <v>Tuen Mun Broadway</v>
      </c>
    </row>
    <row r="606" spans="1:18" ht="16.5" customHeight="1">
      <c r="A606" s="7">
        <v>604</v>
      </c>
      <c r="B606" s="2" t="s">
        <v>1022</v>
      </c>
      <c r="C606" s="2" t="s">
        <v>1023</v>
      </c>
      <c r="D606" s="2" t="str">
        <f ca="1">OFFSET(Roster!$B$7, MATCH(B606&amp;" "&amp;C606&amp;"*",Roster!$B$8:$B$20,0),DAY(sales[[#This Row],[date]]),1, 1)</f>
        <v>May M</v>
      </c>
      <c r="E606" s="2">
        <f>MONTH(sales[[#This Row],[date]])</f>
        <v>6</v>
      </c>
      <c r="F606" s="233">
        <v>46177</v>
      </c>
      <c r="G606" s="3" t="str">
        <f>VLOOKUP("*"&amp;sales[[#This Row],[Input]]&amp;"*",'Ref-List'!$A:$C,1,0)</f>
        <v>Model-Input-Ref</v>
      </c>
      <c r="H606" s="2" t="str">
        <f>VLOOKUP("*"&amp;G606&amp;"*",'Ref-List'!$A:$C,3,0)</f>
        <v>Product Line</v>
      </c>
      <c r="J606" s="2">
        <v>1</v>
      </c>
      <c r="K606" s="2">
        <v>160</v>
      </c>
      <c r="L606" s="2">
        <f>sales[[#This Row],[quantity]]*sales[[#This Row],[price]]</f>
        <v>160</v>
      </c>
      <c r="M606" s="9">
        <f>sales[[#This Row],[Total Price]]*3%</f>
        <v>4.8</v>
      </c>
      <c r="N606" s="171">
        <f>sales[[#This Row],[Total Price]]*2.5%</f>
        <v>4</v>
      </c>
      <c r="O606" s="9">
        <f>sales[[#This Row],[Total Price]]*1.5%</f>
        <v>2.4</v>
      </c>
      <c r="Q606" s="2">
        <v>1</v>
      </c>
      <c r="R606" s="5" t="str">
        <f>_xlfn.CONCAT(sales[[#This Row],[Shop]]," ",sales[[#This Row],[Location]])</f>
        <v>Tuen Mun Broadway</v>
      </c>
    </row>
    <row r="607" spans="1:18" ht="15.6" customHeight="1">
      <c r="A607" s="7">
        <v>605</v>
      </c>
      <c r="B607" s="2" t="s">
        <v>1022</v>
      </c>
      <c r="C607" s="2" t="s">
        <v>1023</v>
      </c>
      <c r="D607" s="2" t="str">
        <f ca="1">OFFSET(Roster!$B$7, MATCH(B607&amp;" "&amp;C607&amp;"*",Roster!$B$8:$B$20,0),DAY(sales[[#This Row],[date]]),1, 1)</f>
        <v>May M</v>
      </c>
      <c r="E607" s="2">
        <f>MONTH(sales[[#This Row],[date]])</f>
        <v>6</v>
      </c>
      <c r="F607" s="233">
        <v>46177</v>
      </c>
      <c r="G607" s="3" t="str">
        <f>VLOOKUP("*"&amp;sales[[#This Row],[Input]]&amp;"*",'Ref-List'!$A:$C,1,0)</f>
        <v>Model-Input-Ref</v>
      </c>
      <c r="H607" s="2" t="str">
        <f>VLOOKUP("*"&amp;G607&amp;"*",'Ref-List'!$A:$C,3,0)</f>
        <v>Product Line</v>
      </c>
      <c r="J607" s="2">
        <v>1</v>
      </c>
      <c r="K607" s="2">
        <v>2688</v>
      </c>
      <c r="L607" s="2">
        <f>sales[[#This Row],[quantity]]*sales[[#This Row],[price]]</f>
        <v>2688</v>
      </c>
      <c r="M607" s="9">
        <f>sales[[#This Row],[Total Price]]*3%</f>
        <v>80.64</v>
      </c>
      <c r="N607" s="171">
        <f>sales[[#This Row],[Total Price]]*2.5%</f>
        <v>67.2</v>
      </c>
      <c r="O607" s="9">
        <f>sales[[#This Row],[Total Price]]*1.5%</f>
        <v>40.32</v>
      </c>
      <c r="Q607" s="2">
        <v>1</v>
      </c>
      <c r="R607" s="5" t="str">
        <f>_xlfn.CONCAT(sales[[#This Row],[Shop]]," ",sales[[#This Row],[Location]])</f>
        <v>Tuen Mun Broadway</v>
      </c>
    </row>
    <row r="608" spans="1:18" ht="15.6" customHeight="1">
      <c r="A608" s="7">
        <v>606</v>
      </c>
      <c r="B608" s="2" t="s">
        <v>1022</v>
      </c>
      <c r="C608" s="2" t="s">
        <v>1023</v>
      </c>
      <c r="D608" s="2" t="str">
        <f ca="1">OFFSET(Roster!$B$7, MATCH(B608&amp;" "&amp;C608&amp;"*",Roster!$B$8:$B$20,0),DAY(sales[[#This Row],[date]]),1, 1)</f>
        <v>May M</v>
      </c>
      <c r="E608" s="2">
        <f>MONTH(sales[[#This Row],[date]])</f>
        <v>6</v>
      </c>
      <c r="F608" s="233">
        <v>46177</v>
      </c>
      <c r="G608" s="3" t="str">
        <f>VLOOKUP("*"&amp;sales[[#This Row],[Input]]&amp;"*",'Ref-List'!$A:$C,1,0)</f>
        <v>Model-Input-Ref</v>
      </c>
      <c r="H608" s="2" t="str">
        <f>VLOOKUP("*"&amp;G608&amp;"*",'Ref-List'!$A:$C,3,0)</f>
        <v>Product Line</v>
      </c>
      <c r="J608" s="2">
        <v>1</v>
      </c>
      <c r="K608" s="2">
        <v>3688</v>
      </c>
      <c r="L608" s="2">
        <f>sales[[#This Row],[quantity]]*sales[[#This Row],[price]]</f>
        <v>3688</v>
      </c>
      <c r="M608" s="9">
        <f>sales[[#This Row],[Total Price]]*3%</f>
        <v>110.64</v>
      </c>
      <c r="N608" s="171">
        <f>sales[[#This Row],[Total Price]]*2.5%</f>
        <v>92.2</v>
      </c>
      <c r="O608" s="9">
        <f>sales[[#This Row],[Total Price]]*1.5%</f>
        <v>55.32</v>
      </c>
      <c r="Q608" s="2">
        <v>1</v>
      </c>
      <c r="R608" s="5" t="str">
        <f>_xlfn.CONCAT(sales[[#This Row],[Shop]]," ",sales[[#This Row],[Location]])</f>
        <v>Tuen Mun Broadway</v>
      </c>
    </row>
    <row r="609" spans="1:18" ht="15.6" customHeight="1">
      <c r="A609" s="7">
        <v>607</v>
      </c>
      <c r="B609" s="2" t="s">
        <v>1022</v>
      </c>
      <c r="C609" s="2" t="s">
        <v>1023</v>
      </c>
      <c r="D609" s="2" t="str">
        <f ca="1">OFFSET(Roster!$B$7, MATCH(B609&amp;" "&amp;C609&amp;"*",Roster!$B$8:$B$20,0),DAY(sales[[#This Row],[date]]),1, 1)</f>
        <v>May M</v>
      </c>
      <c r="E609" s="2">
        <f>MONTH(sales[[#This Row],[date]])</f>
        <v>6</v>
      </c>
      <c r="F609" s="233">
        <v>46177</v>
      </c>
      <c r="G609" s="3" t="str">
        <f>VLOOKUP("*"&amp;sales[[#This Row],[Input]]&amp;"*",'Ref-List'!$A:$C,1,0)</f>
        <v>Model-Input-Ref</v>
      </c>
      <c r="H609" s="2" t="str">
        <f>VLOOKUP("*"&amp;G609&amp;"*",'Ref-List'!$A:$C,3,0)</f>
        <v>Product Line</v>
      </c>
      <c r="J609" s="2">
        <v>1</v>
      </c>
      <c r="K609" s="2">
        <v>2988</v>
      </c>
      <c r="L609" s="2">
        <f>sales[[#This Row],[quantity]]*sales[[#This Row],[price]]</f>
        <v>2988</v>
      </c>
      <c r="M609" s="9">
        <f>sales[[#This Row],[Total Price]]*3%</f>
        <v>89.64</v>
      </c>
      <c r="N609" s="171">
        <f>sales[[#This Row],[Total Price]]*2.5%</f>
        <v>74.7</v>
      </c>
      <c r="O609" s="9">
        <f>sales[[#This Row],[Total Price]]*1.5%</f>
        <v>44.82</v>
      </c>
      <c r="Q609" s="2">
        <v>1</v>
      </c>
      <c r="R609" s="5" t="str">
        <f>_xlfn.CONCAT(sales[[#This Row],[Shop]]," ",sales[[#This Row],[Location]])</f>
        <v>Tuen Mun Broadway</v>
      </c>
    </row>
    <row r="610" spans="1:18" ht="15.6" customHeight="1">
      <c r="A610" s="7">
        <v>608</v>
      </c>
      <c r="B610" s="2" t="s">
        <v>1022</v>
      </c>
      <c r="C610" s="2" t="s">
        <v>1023</v>
      </c>
      <c r="D610" s="2" t="str">
        <f ca="1">OFFSET(Roster!$B$7, MATCH(B610&amp;" "&amp;C610&amp;"*",Roster!$B$8:$B$20,0),DAY(sales[[#This Row],[date]]),1, 1)</f>
        <v>May M</v>
      </c>
      <c r="E610" s="2">
        <f>MONTH(sales[[#This Row],[date]])</f>
        <v>6</v>
      </c>
      <c r="F610" s="233">
        <v>46177</v>
      </c>
      <c r="G610" s="3" t="str">
        <f>VLOOKUP("*"&amp;sales[[#This Row],[Input]]&amp;"*",'Ref-List'!$A:$C,1,0)</f>
        <v>Model-Input-Ref</v>
      </c>
      <c r="H610" s="2" t="str">
        <f>VLOOKUP("*"&amp;G610&amp;"*",'Ref-List'!$A:$C,3,0)</f>
        <v>Product Line</v>
      </c>
      <c r="J610" s="2">
        <v>1</v>
      </c>
      <c r="K610" s="2">
        <v>1330</v>
      </c>
      <c r="L610" s="2">
        <f>sales[[#This Row],[quantity]]*sales[[#This Row],[price]]</f>
        <v>1330</v>
      </c>
      <c r="M610" s="9">
        <f>sales[[#This Row],[Total Price]]*3%</f>
        <v>39.9</v>
      </c>
      <c r="N610" s="171">
        <f>sales[[#This Row],[Total Price]]*2.5%</f>
        <v>33.25</v>
      </c>
      <c r="O610" s="9">
        <f>sales[[#This Row],[Total Price]]*1.5%</f>
        <v>19.95</v>
      </c>
      <c r="Q610" s="2">
        <v>1</v>
      </c>
      <c r="R610" s="5" t="str">
        <f>_xlfn.CONCAT(sales[[#This Row],[Shop]]," ",sales[[#This Row],[Location]])</f>
        <v>Tuen Mun Broadway</v>
      </c>
    </row>
    <row r="611" spans="1:18" ht="15.6" customHeight="1">
      <c r="A611" s="7">
        <v>609</v>
      </c>
      <c r="B611" s="2" t="s">
        <v>1022</v>
      </c>
      <c r="C611" s="2" t="s">
        <v>1023</v>
      </c>
      <c r="D611" s="2" t="str">
        <f ca="1">OFFSET(Roster!$B$7, MATCH(B611&amp;" "&amp;C611&amp;"*",Roster!$B$8:$B$20,0),DAY(sales[[#This Row],[date]]),1, 1)</f>
        <v>May M</v>
      </c>
      <c r="E611" s="2">
        <f>MONTH(sales[[#This Row],[date]])</f>
        <v>6</v>
      </c>
      <c r="F611" s="233">
        <v>46178</v>
      </c>
      <c r="G611" s="3" t="str">
        <f>VLOOKUP("*"&amp;sales[[#This Row],[Input]]&amp;"*",'Ref-List'!$A:$C,1,0)</f>
        <v>Model-Input-Ref</v>
      </c>
      <c r="H611" s="2" t="str">
        <f>VLOOKUP("*"&amp;G611&amp;"*",'Ref-List'!$A:$C,3,0)</f>
        <v>Product Line</v>
      </c>
      <c r="J611" s="2">
        <v>1</v>
      </c>
      <c r="K611" s="2">
        <v>160</v>
      </c>
      <c r="L611" s="2">
        <f>sales[[#This Row],[quantity]]*sales[[#This Row],[price]]</f>
        <v>160</v>
      </c>
      <c r="M611" s="9">
        <f>sales[[#This Row],[Total Price]]*3%</f>
        <v>4.8</v>
      </c>
      <c r="N611" s="171">
        <f>sales[[#This Row],[Total Price]]*2.5%</f>
        <v>4</v>
      </c>
      <c r="O611" s="9">
        <f>sales[[#This Row],[Total Price]]*1.5%</f>
        <v>2.4</v>
      </c>
      <c r="Q611" s="2">
        <v>1</v>
      </c>
      <c r="R611" s="5" t="str">
        <f>_xlfn.CONCAT(sales[[#This Row],[Shop]]," ",sales[[#This Row],[Location]])</f>
        <v>Tuen Mun Broadway</v>
      </c>
    </row>
    <row r="612" spans="1:18" ht="15.6" customHeight="1">
      <c r="A612" s="7">
        <v>610</v>
      </c>
      <c r="B612" s="2" t="s">
        <v>1022</v>
      </c>
      <c r="C612" s="2" t="s">
        <v>1023</v>
      </c>
      <c r="D612" s="2" t="str">
        <f ca="1">OFFSET(Roster!$B$7, MATCH(B612&amp;" "&amp;C612&amp;"*",Roster!$B$8:$B$20,0),DAY(sales[[#This Row],[date]]),1, 1)</f>
        <v>May M</v>
      </c>
      <c r="E612" s="2">
        <f>MONTH(sales[[#This Row],[date]])</f>
        <v>6</v>
      </c>
      <c r="F612" s="233">
        <v>46178</v>
      </c>
      <c r="G612" s="3" t="str">
        <f>VLOOKUP("*"&amp;sales[[#This Row],[Input]]&amp;"*",'Ref-List'!$A:$C,1,0)</f>
        <v>Model-Input-Ref</v>
      </c>
      <c r="H612" s="2" t="str">
        <f>VLOOKUP("*"&amp;G612&amp;"*",'Ref-List'!$A:$C,3,0)</f>
        <v>Product Line</v>
      </c>
      <c r="J612" s="2">
        <v>1</v>
      </c>
      <c r="K612" s="2">
        <v>160</v>
      </c>
      <c r="L612" s="2">
        <f>sales[[#This Row],[quantity]]*sales[[#This Row],[price]]</f>
        <v>160</v>
      </c>
      <c r="M612" s="9">
        <f>sales[[#This Row],[Total Price]]*3%</f>
        <v>4.8</v>
      </c>
      <c r="N612" s="171">
        <f>sales[[#This Row],[Total Price]]*2.5%</f>
        <v>4</v>
      </c>
      <c r="O612" s="9">
        <f>sales[[#This Row],[Total Price]]*1.5%</f>
        <v>2.4</v>
      </c>
      <c r="Q612" s="2">
        <v>1</v>
      </c>
      <c r="R612" s="5" t="str">
        <f>_xlfn.CONCAT(sales[[#This Row],[Shop]]," ",sales[[#This Row],[Location]])</f>
        <v>Tuen Mun Broadway</v>
      </c>
    </row>
    <row r="613" spans="1:18" ht="15.6" customHeight="1">
      <c r="A613" s="7">
        <v>611</v>
      </c>
      <c r="B613" s="2" t="s">
        <v>1022</v>
      </c>
      <c r="C613" s="2" t="s">
        <v>1023</v>
      </c>
      <c r="D613" s="2" t="str">
        <f ca="1">OFFSET(Roster!$B$7, MATCH(B613&amp;" "&amp;C613&amp;"*",Roster!$B$8:$B$20,0),DAY(sales[[#This Row],[date]]),1, 1)</f>
        <v>May M</v>
      </c>
      <c r="E613" s="2">
        <f>MONTH(sales[[#This Row],[date]])</f>
        <v>6</v>
      </c>
      <c r="F613" s="233">
        <v>46178</v>
      </c>
      <c r="G613" s="3" t="str">
        <f>VLOOKUP("*"&amp;sales[[#This Row],[Input]]&amp;"*",'Ref-List'!$A:$C,1,0)</f>
        <v>Model-Input-Ref</v>
      </c>
      <c r="H613" s="2" t="str">
        <f>VLOOKUP("*"&amp;G613&amp;"*",'Ref-List'!$A:$C,3,0)</f>
        <v>Product Line</v>
      </c>
      <c r="J613" s="2">
        <v>1</v>
      </c>
      <c r="K613" s="2">
        <v>620</v>
      </c>
      <c r="L613" s="2">
        <f>sales[[#This Row],[quantity]]*sales[[#This Row],[price]]</f>
        <v>620</v>
      </c>
      <c r="M613" s="9">
        <f>sales[[#This Row],[Total Price]]*3%</f>
        <v>18.599999999999998</v>
      </c>
      <c r="N613" s="171">
        <f>sales[[#This Row],[Total Price]]*2.5%</f>
        <v>15.5</v>
      </c>
      <c r="O613" s="9">
        <f>sales[[#This Row],[Total Price]]*1.5%</f>
        <v>9.2999999999999989</v>
      </c>
      <c r="Q613" s="2">
        <v>1</v>
      </c>
      <c r="R613" s="5" t="str">
        <f>_xlfn.CONCAT(sales[[#This Row],[Shop]]," ",sales[[#This Row],[Location]])</f>
        <v>Tuen Mun Broadway</v>
      </c>
    </row>
    <row r="614" spans="1:18" ht="15.6" customHeight="1">
      <c r="A614" s="7">
        <v>612</v>
      </c>
      <c r="B614" s="2" t="s">
        <v>1022</v>
      </c>
      <c r="C614" s="2" t="s">
        <v>1023</v>
      </c>
      <c r="D614" s="2" t="str">
        <f ca="1">OFFSET(Roster!$B$7, MATCH(B614&amp;" "&amp;C614&amp;"*",Roster!$B$8:$B$20,0),DAY(sales[[#This Row],[date]]),1, 1)</f>
        <v>May M</v>
      </c>
      <c r="E614" s="2">
        <f>MONTH(sales[[#This Row],[date]])</f>
        <v>6</v>
      </c>
      <c r="F614" s="233">
        <v>46178</v>
      </c>
      <c r="G614" s="3" t="str">
        <f>VLOOKUP("*"&amp;sales[[#This Row],[Input]]&amp;"*",'Ref-List'!$A:$C,1,0)</f>
        <v>Model-Input-Ref</v>
      </c>
      <c r="H614" s="2" t="str">
        <f>VLOOKUP("*"&amp;G614&amp;"*",'Ref-List'!$A:$C,3,0)</f>
        <v>Product Line</v>
      </c>
      <c r="J614" s="2">
        <v>1</v>
      </c>
      <c r="K614" s="2">
        <v>598</v>
      </c>
      <c r="L614" s="2">
        <f>sales[[#This Row],[quantity]]*sales[[#This Row],[price]]</f>
        <v>598</v>
      </c>
      <c r="M614" s="9">
        <f>sales[[#This Row],[Total Price]]*3%</f>
        <v>17.939999999999998</v>
      </c>
      <c r="N614" s="171">
        <f>sales[[#This Row],[Total Price]]*2.5%</f>
        <v>14.950000000000001</v>
      </c>
      <c r="O614" s="9">
        <f>sales[[#This Row],[Total Price]]*1.5%</f>
        <v>8.9699999999999989</v>
      </c>
      <c r="Q614" s="2">
        <v>1</v>
      </c>
      <c r="R614" s="5" t="str">
        <f>_xlfn.CONCAT(sales[[#This Row],[Shop]]," ",sales[[#This Row],[Location]])</f>
        <v>Tuen Mun Broadway</v>
      </c>
    </row>
    <row r="615" spans="1:18" ht="15.6" customHeight="1">
      <c r="A615" s="7">
        <v>613</v>
      </c>
      <c r="B615" s="2" t="s">
        <v>1022</v>
      </c>
      <c r="C615" s="2" t="s">
        <v>1023</v>
      </c>
      <c r="D615" s="2" t="str">
        <f ca="1">OFFSET(Roster!$B$7, MATCH(B615&amp;" "&amp;C615&amp;"*",Roster!$B$8:$B$20,0),DAY(sales[[#This Row],[date]]),1, 1)</f>
        <v>May M</v>
      </c>
      <c r="E615" s="2">
        <f>MONTH(sales[[#This Row],[date]])</f>
        <v>6</v>
      </c>
      <c r="F615" s="233">
        <v>46178</v>
      </c>
      <c r="G615" s="3" t="str">
        <f>VLOOKUP("*"&amp;sales[[#This Row],[Input]]&amp;"*",'Ref-List'!$A:$C,1,0)</f>
        <v>Model-Input-Ref</v>
      </c>
      <c r="H615" s="2" t="str">
        <f>VLOOKUP("*"&amp;G615&amp;"*",'Ref-List'!$A:$C,3,0)</f>
        <v>Product Line</v>
      </c>
      <c r="I615" s="8"/>
      <c r="J615" s="2">
        <v>1</v>
      </c>
      <c r="K615" s="239">
        <v>2588</v>
      </c>
      <c r="L615" s="2">
        <f>sales[[#This Row],[quantity]]*sales[[#This Row],[price]]</f>
        <v>2588</v>
      </c>
      <c r="M615" s="9">
        <f>sales[[#This Row],[Total Price]]*3%</f>
        <v>77.64</v>
      </c>
      <c r="N615" s="171">
        <f>sales[[#This Row],[Total Price]]*2.5%</f>
        <v>64.7</v>
      </c>
      <c r="O615" s="9">
        <f>sales[[#This Row],[Total Price]]*1.5%</f>
        <v>38.82</v>
      </c>
      <c r="Q615" s="2">
        <v>1</v>
      </c>
      <c r="R615" s="5" t="str">
        <f>_xlfn.CONCAT(sales[[#This Row],[Shop]]," ",sales[[#This Row],[Location]])</f>
        <v>Tuen Mun Broadway</v>
      </c>
    </row>
    <row r="616" spans="1:18" ht="15.6" customHeight="1">
      <c r="A616" s="7">
        <v>614</v>
      </c>
      <c r="B616" s="2" t="s">
        <v>1022</v>
      </c>
      <c r="C616" s="2" t="s">
        <v>1023</v>
      </c>
      <c r="D616" s="2" t="str">
        <f ca="1">OFFSET(Roster!$B$7, MATCH(B616&amp;" "&amp;C616&amp;"*",Roster!$B$8:$B$20,0),DAY(sales[[#This Row],[date]]),1, 1)</f>
        <v>May M</v>
      </c>
      <c r="E616" s="2">
        <f>MONTH(sales[[#This Row],[date]])</f>
        <v>6</v>
      </c>
      <c r="F616" s="233">
        <v>46179</v>
      </c>
      <c r="G616" s="3" t="str">
        <f>VLOOKUP("*"&amp;sales[[#This Row],[Input]]&amp;"*",'Ref-List'!$A:$C,1,0)</f>
        <v>Model-Input-Ref</v>
      </c>
      <c r="H616" s="2" t="str">
        <f>VLOOKUP("*"&amp;G616&amp;"*",'Ref-List'!$A:$C,3,0)</f>
        <v>Product Line</v>
      </c>
      <c r="I616" s="8"/>
      <c r="J616" s="2">
        <v>1</v>
      </c>
      <c r="K616" s="239">
        <v>848</v>
      </c>
      <c r="L616" s="2">
        <f>sales[[#This Row],[quantity]]*sales[[#This Row],[price]]</f>
        <v>848</v>
      </c>
      <c r="M616" s="9">
        <f>sales[[#This Row],[Total Price]]*3%</f>
        <v>25.439999999999998</v>
      </c>
      <c r="N616" s="171">
        <f>sales[[#This Row],[Total Price]]*2.5%</f>
        <v>21.200000000000003</v>
      </c>
      <c r="O616" s="9">
        <f>sales[[#This Row],[Total Price]]*1.5%</f>
        <v>12.719999999999999</v>
      </c>
      <c r="Q616" s="2">
        <v>1</v>
      </c>
      <c r="R616" s="5" t="str">
        <f>_xlfn.CONCAT(sales[[#This Row],[Shop]]," ",sales[[#This Row],[Location]])</f>
        <v>Tuen Mun Broadway</v>
      </c>
    </row>
    <row r="617" spans="1:18" ht="15.6" customHeight="1">
      <c r="A617" s="7">
        <v>615</v>
      </c>
      <c r="B617" s="2" t="s">
        <v>1022</v>
      </c>
      <c r="C617" s="2" t="s">
        <v>1023</v>
      </c>
      <c r="D617" s="2" t="str">
        <f ca="1">OFFSET(Roster!$B$7, MATCH(B617&amp;" "&amp;C617&amp;"*",Roster!$B$8:$B$20,0),DAY(sales[[#This Row],[date]]),1, 1)</f>
        <v>May M</v>
      </c>
      <c r="E617" s="2">
        <f>MONTH(sales[[#This Row],[date]])</f>
        <v>6</v>
      </c>
      <c r="F617" s="233">
        <v>46179</v>
      </c>
      <c r="G617" s="3" t="str">
        <f>VLOOKUP("*"&amp;sales[[#This Row],[Input]]&amp;"*",'Ref-List'!$A:$C,1,0)</f>
        <v>Model-Input-Ref</v>
      </c>
      <c r="H617" s="2" t="str">
        <f>VLOOKUP("*"&amp;G617&amp;"*",'Ref-List'!$A:$C,3,0)</f>
        <v>Product Line</v>
      </c>
      <c r="J617" s="2">
        <v>1</v>
      </c>
      <c r="K617" s="2">
        <v>620</v>
      </c>
      <c r="L617" s="2">
        <f>sales[[#This Row],[quantity]]*sales[[#This Row],[price]]</f>
        <v>620</v>
      </c>
      <c r="M617" s="9">
        <f>sales[[#This Row],[Total Price]]*3%</f>
        <v>18.599999999999998</v>
      </c>
      <c r="N617" s="171">
        <f>sales[[#This Row],[Total Price]]*2.5%</f>
        <v>15.5</v>
      </c>
      <c r="O617" s="9">
        <f>sales[[#This Row],[Total Price]]*1.5%</f>
        <v>9.2999999999999989</v>
      </c>
      <c r="Q617" s="2">
        <v>1</v>
      </c>
      <c r="R617" s="5" t="str">
        <f>_xlfn.CONCAT(sales[[#This Row],[Shop]]," ",sales[[#This Row],[Location]])</f>
        <v>Tuen Mun Broadway</v>
      </c>
    </row>
    <row r="618" spans="1:18" ht="15.6" customHeight="1">
      <c r="A618" s="7">
        <v>616</v>
      </c>
      <c r="B618" s="2" t="s">
        <v>1022</v>
      </c>
      <c r="C618" s="2" t="s">
        <v>1023</v>
      </c>
      <c r="D618" s="2" t="str">
        <f ca="1">OFFSET(Roster!$B$7, MATCH(B618&amp;" "&amp;C618&amp;"*",Roster!$B$8:$B$20,0),DAY(sales[[#This Row],[date]]),1, 1)</f>
        <v>May M</v>
      </c>
      <c r="E618" s="2">
        <f>MONTH(sales[[#This Row],[date]])</f>
        <v>6</v>
      </c>
      <c r="F618" s="233">
        <v>46179</v>
      </c>
      <c r="G618" s="3" t="str">
        <f>VLOOKUP("*"&amp;sales[[#This Row],[Input]]&amp;"*",'Ref-List'!$A:$C,1,0)</f>
        <v>Model-Input-Ref</v>
      </c>
      <c r="H618" s="2" t="str">
        <f>VLOOKUP("*"&amp;G618&amp;"*",'Ref-List'!$A:$C,3,0)</f>
        <v>Product Line</v>
      </c>
      <c r="J618" s="2">
        <v>1</v>
      </c>
      <c r="K618" s="2">
        <v>620</v>
      </c>
      <c r="L618" s="2">
        <f>sales[[#This Row],[quantity]]*sales[[#This Row],[price]]</f>
        <v>620</v>
      </c>
      <c r="M618" s="9">
        <f>sales[[#This Row],[Total Price]]*3%</f>
        <v>18.599999999999998</v>
      </c>
      <c r="N618" s="171">
        <f>sales[[#This Row],[Total Price]]*2.5%</f>
        <v>15.5</v>
      </c>
      <c r="O618" s="9">
        <f>sales[[#This Row],[Total Price]]*1.5%</f>
        <v>9.2999999999999989</v>
      </c>
      <c r="Q618" s="2">
        <v>1</v>
      </c>
      <c r="R618" s="5" t="str">
        <f>_xlfn.CONCAT(sales[[#This Row],[Shop]]," ",sales[[#This Row],[Location]])</f>
        <v>Tuen Mun Broadway</v>
      </c>
    </row>
    <row r="619" spans="1:18" ht="15.6" customHeight="1">
      <c r="A619" s="7">
        <v>617</v>
      </c>
      <c r="B619" s="2" t="s">
        <v>1022</v>
      </c>
      <c r="C619" s="2" t="s">
        <v>1023</v>
      </c>
      <c r="D619" s="2" t="str">
        <f ca="1">OFFSET(Roster!$B$7, MATCH(B619&amp;" "&amp;C619&amp;"*",Roster!$B$8:$B$20,0),DAY(sales[[#This Row],[date]]),1, 1)</f>
        <v>May M</v>
      </c>
      <c r="E619" s="2">
        <f>MONTH(sales[[#This Row],[date]])</f>
        <v>6</v>
      </c>
      <c r="F619" s="233">
        <v>46179</v>
      </c>
      <c r="G619" s="3" t="str">
        <f>VLOOKUP("*"&amp;sales[[#This Row],[Input]]&amp;"*",'Ref-List'!$A:$C,1,0)</f>
        <v>Model-Input-Ref</v>
      </c>
      <c r="H619" s="2" t="str">
        <f>VLOOKUP("*"&amp;G619&amp;"*",'Ref-List'!$A:$C,3,0)</f>
        <v>Product Line</v>
      </c>
      <c r="J619" s="2">
        <v>1</v>
      </c>
      <c r="K619" s="2">
        <v>620</v>
      </c>
      <c r="L619" s="2">
        <f>sales[[#This Row],[quantity]]*sales[[#This Row],[price]]</f>
        <v>620</v>
      </c>
      <c r="M619" s="9">
        <f>sales[[#This Row],[Total Price]]*3%</f>
        <v>18.599999999999998</v>
      </c>
      <c r="N619" s="171">
        <f>sales[[#This Row],[Total Price]]*2.5%</f>
        <v>15.5</v>
      </c>
      <c r="O619" s="9">
        <f>sales[[#This Row],[Total Price]]*1.5%</f>
        <v>9.2999999999999989</v>
      </c>
      <c r="Q619" s="2">
        <v>1</v>
      </c>
      <c r="R619" s="5" t="str">
        <f>_xlfn.CONCAT(sales[[#This Row],[Shop]]," ",sales[[#This Row],[Location]])</f>
        <v>Tuen Mun Broadway</v>
      </c>
    </row>
    <row r="620" spans="1:18" ht="15.6" customHeight="1">
      <c r="A620" s="7">
        <v>618</v>
      </c>
      <c r="B620" s="2" t="s">
        <v>1022</v>
      </c>
      <c r="C620" s="2" t="s">
        <v>1023</v>
      </c>
      <c r="D620" s="2" t="str">
        <f ca="1">OFFSET(Roster!$B$7, MATCH(B620&amp;" "&amp;C620&amp;"*",Roster!$B$8:$B$20,0),DAY(sales[[#This Row],[date]]),1, 1)</f>
        <v>May M</v>
      </c>
      <c r="E620" s="2">
        <f>MONTH(sales[[#This Row],[date]])</f>
        <v>6</v>
      </c>
      <c r="F620" s="233">
        <v>46179</v>
      </c>
      <c r="G620" s="3" t="str">
        <f>VLOOKUP("*"&amp;sales[[#This Row],[Input]]&amp;"*",'Ref-List'!$A:$C,1,0)</f>
        <v>Model-Input-Ref</v>
      </c>
      <c r="H620" s="2" t="str">
        <f>VLOOKUP("*"&amp;G620&amp;"*",'Ref-List'!$A:$C,3,0)</f>
        <v>Product Line</v>
      </c>
      <c r="J620" s="2">
        <v>1</v>
      </c>
      <c r="K620" s="2">
        <v>3688</v>
      </c>
      <c r="L620" s="2">
        <f>sales[[#This Row],[quantity]]*sales[[#This Row],[price]]</f>
        <v>3688</v>
      </c>
      <c r="M620" s="9">
        <f>sales[[#This Row],[Total Price]]*3%</f>
        <v>110.64</v>
      </c>
      <c r="N620" s="171">
        <f>sales[[#This Row],[Total Price]]*2.5%</f>
        <v>92.2</v>
      </c>
      <c r="O620" s="9">
        <f>sales[[#This Row],[Total Price]]*1.5%</f>
        <v>55.32</v>
      </c>
      <c r="Q620" s="2">
        <v>1</v>
      </c>
      <c r="R620" s="5" t="str">
        <f>_xlfn.CONCAT(sales[[#This Row],[Shop]]," ",sales[[#This Row],[Location]])</f>
        <v>Tuen Mun Broadway</v>
      </c>
    </row>
    <row r="621" spans="1:18" ht="15.6" customHeight="1">
      <c r="A621" s="7">
        <v>619</v>
      </c>
      <c r="B621" s="2" t="s">
        <v>1022</v>
      </c>
      <c r="C621" s="2" t="s">
        <v>1023</v>
      </c>
      <c r="D621" s="2" t="str">
        <f ca="1">OFFSET(Roster!$B$7, MATCH(B621&amp;" "&amp;C621&amp;"*",Roster!$B$8:$B$20,0),DAY(sales[[#This Row],[date]]),1, 1)</f>
        <v>May M</v>
      </c>
      <c r="E621" s="2">
        <f>MONTH(sales[[#This Row],[date]])</f>
        <v>6</v>
      </c>
      <c r="F621" s="233">
        <v>46179</v>
      </c>
      <c r="G621" s="3" t="str">
        <f>VLOOKUP("*"&amp;sales[[#This Row],[Input]]&amp;"*",'Ref-List'!$A:$C,1,0)</f>
        <v>Model-Input-Ref</v>
      </c>
      <c r="H621" s="2" t="str">
        <f>VLOOKUP("*"&amp;G621&amp;"*",'Ref-List'!$A:$C,3,0)</f>
        <v>Product Line</v>
      </c>
      <c r="J621" s="2">
        <v>1</v>
      </c>
      <c r="K621" s="2">
        <v>3980</v>
      </c>
      <c r="L621" s="2">
        <f>sales[[#This Row],[quantity]]*sales[[#This Row],[price]]</f>
        <v>3980</v>
      </c>
      <c r="M621" s="9">
        <f>sales[[#This Row],[Total Price]]*3%</f>
        <v>119.39999999999999</v>
      </c>
      <c r="N621" s="171">
        <f>sales[[#This Row],[Total Price]]*2.5%</f>
        <v>99.5</v>
      </c>
      <c r="O621" s="9">
        <f>sales[[#This Row],[Total Price]]*1.5%</f>
        <v>59.699999999999996</v>
      </c>
      <c r="Q621" s="2">
        <v>1</v>
      </c>
      <c r="R621" s="5" t="str">
        <f>_xlfn.CONCAT(sales[[#This Row],[Shop]]," ",sales[[#This Row],[Location]])</f>
        <v>Tuen Mun Broadway</v>
      </c>
    </row>
    <row r="622" spans="1:18" ht="15.6" customHeight="1">
      <c r="A622" s="7">
        <v>620</v>
      </c>
      <c r="B622" s="2" t="s">
        <v>1022</v>
      </c>
      <c r="C622" s="2" t="s">
        <v>1023</v>
      </c>
      <c r="D622" s="2" t="str">
        <f ca="1">OFFSET(Roster!$B$7, MATCH(B622&amp;" "&amp;C622&amp;"*",Roster!$B$8:$B$20,0),DAY(sales[[#This Row],[date]]),1, 1)</f>
        <v>May M</v>
      </c>
      <c r="E622" s="2">
        <f>MONTH(sales[[#This Row],[date]])</f>
        <v>6</v>
      </c>
      <c r="F622" s="233">
        <v>46179</v>
      </c>
      <c r="G622" s="3" t="str">
        <f>VLOOKUP("*"&amp;sales[[#This Row],[Input]]&amp;"*",'Ref-List'!$A:$C,1,0)</f>
        <v>Model-Input-Ref</v>
      </c>
      <c r="H622" s="2" t="str">
        <f>VLOOKUP("*"&amp;G622&amp;"*",'Ref-List'!$A:$C,3,0)</f>
        <v>Product Line</v>
      </c>
      <c r="J622" s="2">
        <v>1</v>
      </c>
      <c r="K622" s="2">
        <v>160</v>
      </c>
      <c r="L622" s="2">
        <f>sales[[#This Row],[quantity]]*sales[[#This Row],[price]]</f>
        <v>160</v>
      </c>
      <c r="M622" s="9">
        <f>sales[[#This Row],[Total Price]]*3%</f>
        <v>4.8</v>
      </c>
      <c r="N622" s="171">
        <f>sales[[#This Row],[Total Price]]*2.5%</f>
        <v>4</v>
      </c>
      <c r="O622" s="9">
        <f>sales[[#This Row],[Total Price]]*1.5%</f>
        <v>2.4</v>
      </c>
      <c r="Q622" s="2">
        <v>1</v>
      </c>
      <c r="R622" s="5" t="str">
        <f>_xlfn.CONCAT(sales[[#This Row],[Shop]]," ",sales[[#This Row],[Location]])</f>
        <v>Tuen Mun Broadway</v>
      </c>
    </row>
    <row r="623" spans="1:18" ht="15.6" customHeight="1">
      <c r="A623" s="7">
        <v>621</v>
      </c>
      <c r="B623" s="2" t="s">
        <v>1022</v>
      </c>
      <c r="C623" s="2" t="s">
        <v>1023</v>
      </c>
      <c r="D623" s="2" t="str">
        <f ca="1">OFFSET(Roster!$B$7, MATCH(B623&amp;" "&amp;C623&amp;"*",Roster!$B$8:$B$20,0),DAY(sales[[#This Row],[date]]),1, 1)</f>
        <v>May M</v>
      </c>
      <c r="E623" s="2">
        <f>MONTH(sales[[#This Row],[date]])</f>
        <v>6</v>
      </c>
      <c r="F623" s="233">
        <v>46179</v>
      </c>
      <c r="G623" s="3" t="str">
        <f>VLOOKUP("*"&amp;sales[[#This Row],[Input]]&amp;"*",'Ref-List'!$A:$C,1,0)</f>
        <v>Model-Input-Ref</v>
      </c>
      <c r="H623" s="2" t="str">
        <f>VLOOKUP("*"&amp;G623&amp;"*",'Ref-List'!$A:$C,3,0)</f>
        <v>Product Line</v>
      </c>
      <c r="I623" s="8"/>
      <c r="J623" s="2">
        <v>1</v>
      </c>
      <c r="K623" s="2">
        <v>160</v>
      </c>
      <c r="L623" s="2">
        <f>sales[[#This Row],[quantity]]*sales[[#This Row],[price]]</f>
        <v>160</v>
      </c>
      <c r="M623" s="9">
        <f>sales[[#This Row],[Total Price]]*3%</f>
        <v>4.8</v>
      </c>
      <c r="N623" s="171">
        <f>sales[[#This Row],[Total Price]]*2.5%</f>
        <v>4</v>
      </c>
      <c r="O623" s="9">
        <f>sales[[#This Row],[Total Price]]*1.5%</f>
        <v>2.4</v>
      </c>
      <c r="Q623" s="2">
        <v>1</v>
      </c>
      <c r="R623" s="5" t="str">
        <f>_xlfn.CONCAT(sales[[#This Row],[Shop]]," ",sales[[#This Row],[Location]])</f>
        <v>Tuen Mun Broadway</v>
      </c>
    </row>
    <row r="624" spans="1:18" ht="15.6" customHeight="1">
      <c r="A624" s="7">
        <v>622</v>
      </c>
      <c r="B624" s="2" t="s">
        <v>1022</v>
      </c>
      <c r="C624" s="2" t="s">
        <v>1023</v>
      </c>
      <c r="D624" s="2" t="str">
        <f ca="1">OFFSET(Roster!$B$7, MATCH(B624&amp;" "&amp;C624&amp;"*",Roster!$B$8:$B$20,0),DAY(sales[[#This Row],[date]]),1, 1)</f>
        <v>May M</v>
      </c>
      <c r="E624" s="2">
        <f>MONTH(sales[[#This Row],[date]])</f>
        <v>6</v>
      </c>
      <c r="F624" s="233">
        <v>46179</v>
      </c>
      <c r="G624" s="3" t="str">
        <f>VLOOKUP("*"&amp;sales[[#This Row],[Input]]&amp;"*",'Ref-List'!$A:$C,1,0)</f>
        <v>Model-Input-Ref</v>
      </c>
      <c r="H624" s="2" t="str">
        <f>VLOOKUP("*"&amp;G624&amp;"*",'Ref-List'!$A:$C,3,0)</f>
        <v>Product Line</v>
      </c>
      <c r="J624" s="2">
        <v>1</v>
      </c>
      <c r="K624" s="2">
        <v>298</v>
      </c>
      <c r="L624" s="2">
        <f>sales[[#This Row],[quantity]]*sales[[#This Row],[price]]</f>
        <v>298</v>
      </c>
      <c r="M624" s="9">
        <f>sales[[#This Row],[Total Price]]*3%</f>
        <v>8.94</v>
      </c>
      <c r="N624" s="171">
        <f>sales[[#This Row],[Total Price]]*2.5%</f>
        <v>7.45</v>
      </c>
      <c r="O624" s="9">
        <f>sales[[#This Row],[Total Price]]*1.5%</f>
        <v>4.47</v>
      </c>
      <c r="Q624" s="2">
        <v>1</v>
      </c>
      <c r="R624" s="5" t="str">
        <f>_xlfn.CONCAT(sales[[#This Row],[Shop]]," ",sales[[#This Row],[Location]])</f>
        <v>Tuen Mun Broadway</v>
      </c>
    </row>
    <row r="625" spans="1:18" ht="15.6" customHeight="1">
      <c r="A625" s="7">
        <v>623</v>
      </c>
      <c r="B625" s="2" t="s">
        <v>1022</v>
      </c>
      <c r="C625" s="2" t="s">
        <v>1023</v>
      </c>
      <c r="D625" s="2" t="str">
        <f ca="1">OFFSET(Roster!$B$7, MATCH(B625&amp;" "&amp;C625&amp;"*",Roster!$B$8:$B$20,0),DAY(sales[[#This Row],[date]]),1, 1)</f>
        <v>May M</v>
      </c>
      <c r="E625" s="2">
        <f>MONTH(sales[[#This Row],[date]])</f>
        <v>6</v>
      </c>
      <c r="F625" s="233">
        <v>46179</v>
      </c>
      <c r="G625" s="3" t="str">
        <f>VLOOKUP("*"&amp;sales[[#This Row],[Input]]&amp;"*",'Ref-List'!$A:$C,1,0)</f>
        <v>Model-Input-Ref</v>
      </c>
      <c r="H625" s="2" t="str">
        <f>VLOOKUP("*"&amp;G625&amp;"*",'Ref-List'!$A:$C,3,0)</f>
        <v>Product Line</v>
      </c>
      <c r="J625" s="2">
        <v>1</v>
      </c>
      <c r="K625" s="2">
        <v>298</v>
      </c>
      <c r="L625" s="2">
        <f>sales[[#This Row],[quantity]]*sales[[#This Row],[price]]</f>
        <v>298</v>
      </c>
      <c r="M625" s="9">
        <f>sales[[#This Row],[Total Price]]*3%</f>
        <v>8.94</v>
      </c>
      <c r="N625" s="171">
        <f>sales[[#This Row],[Total Price]]*2.5%</f>
        <v>7.45</v>
      </c>
      <c r="O625" s="9">
        <f>sales[[#This Row],[Total Price]]*1.5%</f>
        <v>4.47</v>
      </c>
      <c r="Q625" s="2">
        <v>1</v>
      </c>
      <c r="R625" s="5" t="str">
        <f>_xlfn.CONCAT(sales[[#This Row],[Shop]]," ",sales[[#This Row],[Location]])</f>
        <v>Tuen Mun Broadway</v>
      </c>
    </row>
    <row r="626" spans="1:18" ht="15.6" customHeight="1">
      <c r="A626" s="7">
        <v>624</v>
      </c>
      <c r="B626" s="2" t="s">
        <v>1022</v>
      </c>
      <c r="C626" s="2" t="s">
        <v>1023</v>
      </c>
      <c r="D626" s="2" t="str">
        <f ca="1">OFFSET(Roster!$B$7, MATCH(B626&amp;" "&amp;C626&amp;"*",Roster!$B$8:$B$20,0),DAY(sales[[#This Row],[date]]),1, 1)</f>
        <v>May M</v>
      </c>
      <c r="E626" s="2">
        <f>MONTH(sales[[#This Row],[date]])</f>
        <v>6</v>
      </c>
      <c r="F626" s="233">
        <v>46179</v>
      </c>
      <c r="G626" s="3" t="str">
        <f>VLOOKUP("*"&amp;sales[[#This Row],[Input]]&amp;"*",'Ref-List'!$A:$C,1,0)</f>
        <v>Model-Input-Ref</v>
      </c>
      <c r="H626" s="2" t="str">
        <f>VLOOKUP("*"&amp;G626&amp;"*",'Ref-List'!$A:$C,3,0)</f>
        <v>Product Line</v>
      </c>
      <c r="J626" s="2">
        <v>1</v>
      </c>
      <c r="K626" s="2">
        <v>298</v>
      </c>
      <c r="L626" s="2">
        <f>sales[[#This Row],[quantity]]*sales[[#This Row],[price]]</f>
        <v>298</v>
      </c>
      <c r="M626" s="9">
        <f>sales[[#This Row],[Total Price]]*3%</f>
        <v>8.94</v>
      </c>
      <c r="N626" s="171">
        <f>sales[[#This Row],[Total Price]]*2.5%</f>
        <v>7.45</v>
      </c>
      <c r="O626" s="9">
        <f>sales[[#This Row],[Total Price]]*1.5%</f>
        <v>4.47</v>
      </c>
      <c r="Q626" s="2">
        <v>1</v>
      </c>
      <c r="R626" s="5" t="str">
        <f>_xlfn.CONCAT(sales[[#This Row],[Shop]]," ",sales[[#This Row],[Location]])</f>
        <v>Tuen Mun Broadway</v>
      </c>
    </row>
    <row r="627" spans="1:18" ht="15.6" customHeight="1">
      <c r="A627" s="7">
        <v>625</v>
      </c>
      <c r="B627" s="2" t="s">
        <v>1022</v>
      </c>
      <c r="C627" s="2" t="s">
        <v>1023</v>
      </c>
      <c r="D627" s="2" t="str">
        <f ca="1">OFFSET(Roster!$B$7, MATCH(B627&amp;" "&amp;C627&amp;"*",Roster!$B$8:$B$20,0),DAY(sales[[#This Row],[date]]),1, 1)</f>
        <v>May M</v>
      </c>
      <c r="E627" s="2">
        <f>MONTH(sales[[#This Row],[date]])</f>
        <v>6</v>
      </c>
      <c r="F627" s="233">
        <v>46179</v>
      </c>
      <c r="G627" s="3" t="str">
        <f>VLOOKUP("*"&amp;sales[[#This Row],[Input]]&amp;"*",'Ref-List'!$A:$C,1,0)</f>
        <v>Model-Input-Ref</v>
      </c>
      <c r="H627" s="2" t="str">
        <f>VLOOKUP("*"&amp;G627&amp;"*",'Ref-List'!$A:$C,3,0)</f>
        <v>Product Line</v>
      </c>
      <c r="J627" s="2">
        <v>1</v>
      </c>
      <c r="K627" s="2">
        <v>368</v>
      </c>
      <c r="L627" s="2">
        <f>sales[[#This Row],[quantity]]*sales[[#This Row],[price]]</f>
        <v>368</v>
      </c>
      <c r="M627" s="9">
        <f>sales[[#This Row],[Total Price]]*3%</f>
        <v>11.04</v>
      </c>
      <c r="N627" s="171">
        <f>sales[[#This Row],[Total Price]]*2.5%</f>
        <v>9.2000000000000011</v>
      </c>
      <c r="O627" s="9">
        <f>sales[[#This Row],[Total Price]]*1.5%</f>
        <v>5.52</v>
      </c>
      <c r="Q627" s="2">
        <v>2</v>
      </c>
      <c r="R627" s="5" t="str">
        <f>_xlfn.CONCAT(sales[[#This Row],[Shop]]," ",sales[[#This Row],[Location]])</f>
        <v>Tuen Mun Broadway</v>
      </c>
    </row>
    <row r="628" spans="1:18" ht="15.6" customHeight="1">
      <c r="A628" s="7">
        <v>626</v>
      </c>
      <c r="B628" s="2" t="s">
        <v>1022</v>
      </c>
      <c r="C628" s="2" t="s">
        <v>1023</v>
      </c>
      <c r="D628" s="2" t="str">
        <f ca="1">OFFSET(Roster!$B$7, MATCH(B628&amp;" "&amp;C628&amp;"*",Roster!$B$8:$B$20,0),DAY(sales[[#This Row],[date]]),1, 1)</f>
        <v>May M</v>
      </c>
      <c r="E628" s="2">
        <f>MONTH(sales[[#This Row],[date]])</f>
        <v>6</v>
      </c>
      <c r="F628" s="233">
        <v>46179</v>
      </c>
      <c r="G628" s="3" t="str">
        <f>VLOOKUP("*"&amp;sales[[#This Row],[Input]]&amp;"*",'Ref-List'!$A:$C,1,0)</f>
        <v>Model-Input-Ref</v>
      </c>
      <c r="H628" s="2" t="str">
        <f>VLOOKUP("*"&amp;G628&amp;"*",'Ref-List'!$A:$C,3,0)</f>
        <v>Product Line</v>
      </c>
      <c r="J628" s="2">
        <v>1</v>
      </c>
      <c r="K628" s="2">
        <v>598</v>
      </c>
      <c r="L628" s="2">
        <f>sales[[#This Row],[quantity]]*sales[[#This Row],[price]]</f>
        <v>598</v>
      </c>
      <c r="M628" s="9">
        <f>sales[[#This Row],[Total Price]]*3%</f>
        <v>17.939999999999998</v>
      </c>
      <c r="N628" s="171">
        <f>sales[[#This Row],[Total Price]]*2.5%</f>
        <v>14.950000000000001</v>
      </c>
      <c r="O628" s="9">
        <f>sales[[#This Row],[Total Price]]*1.5%</f>
        <v>8.9699999999999989</v>
      </c>
      <c r="Q628" s="2">
        <v>2</v>
      </c>
      <c r="R628" s="5" t="str">
        <f>_xlfn.CONCAT(sales[[#This Row],[Shop]]," ",sales[[#This Row],[Location]])</f>
        <v>Tuen Mun Broadway</v>
      </c>
    </row>
    <row r="629" spans="1:18" ht="15.6" customHeight="1">
      <c r="A629" s="7">
        <v>627</v>
      </c>
      <c r="B629" s="2" t="s">
        <v>1022</v>
      </c>
      <c r="C629" s="2" t="s">
        <v>1023</v>
      </c>
      <c r="D629" s="2" t="str">
        <f ca="1">OFFSET(Roster!$B$7, MATCH(B629&amp;" "&amp;C629&amp;"*",Roster!$B$8:$B$20,0),DAY(sales[[#This Row],[date]]),1, 1)</f>
        <v>May M</v>
      </c>
      <c r="E629" s="2">
        <f>MONTH(sales[[#This Row],[date]])</f>
        <v>6</v>
      </c>
      <c r="F629" s="233">
        <v>46179</v>
      </c>
      <c r="G629" s="3" t="str">
        <f>VLOOKUP("*"&amp;sales[[#This Row],[Input]]&amp;"*",'Ref-List'!$A:$C,1,0)</f>
        <v>Model-Input-Ref</v>
      </c>
      <c r="H629" s="2" t="str">
        <f>VLOOKUP("*"&amp;G629&amp;"*",'Ref-List'!$A:$C,3,0)</f>
        <v>Product Line</v>
      </c>
      <c r="J629" s="2">
        <v>1</v>
      </c>
      <c r="K629" s="2">
        <v>598</v>
      </c>
      <c r="L629" s="2">
        <f>sales[[#This Row],[quantity]]*sales[[#This Row],[price]]</f>
        <v>598</v>
      </c>
      <c r="M629" s="9">
        <f>sales[[#This Row],[Total Price]]*3%</f>
        <v>17.939999999999998</v>
      </c>
      <c r="N629" s="171">
        <f>sales[[#This Row],[Total Price]]*2.5%</f>
        <v>14.950000000000001</v>
      </c>
      <c r="O629" s="9">
        <f>sales[[#This Row],[Total Price]]*1.5%</f>
        <v>8.9699999999999989</v>
      </c>
      <c r="Q629" s="2">
        <v>2</v>
      </c>
      <c r="R629" s="5" t="str">
        <f>_xlfn.CONCAT(sales[[#This Row],[Shop]]," ",sales[[#This Row],[Location]])</f>
        <v>Tuen Mun Broadway</v>
      </c>
    </row>
    <row r="630" spans="1:18" ht="15.6" customHeight="1">
      <c r="A630" s="7">
        <v>628</v>
      </c>
      <c r="B630" s="2" t="s">
        <v>1022</v>
      </c>
      <c r="C630" s="2" t="s">
        <v>1023</v>
      </c>
      <c r="D630" s="2" t="str">
        <f ca="1">OFFSET(Roster!$B$7, MATCH(B630&amp;" "&amp;C630&amp;"*",Roster!$B$8:$B$20,0),DAY(sales[[#This Row],[date]]),1, 1)</f>
        <v>May M</v>
      </c>
      <c r="E630" s="2">
        <f>MONTH(sales[[#This Row],[date]])</f>
        <v>6</v>
      </c>
      <c r="F630" s="233">
        <v>46179</v>
      </c>
      <c r="G630" s="3" t="str">
        <f>VLOOKUP("*"&amp;sales[[#This Row],[Input]]&amp;"*",'Ref-List'!$A:$C,1,0)</f>
        <v>Model-Input-Ref</v>
      </c>
      <c r="H630" s="2" t="str">
        <f>VLOOKUP("*"&amp;G630&amp;"*",'Ref-List'!$A:$C,3,0)</f>
        <v>Product Line</v>
      </c>
      <c r="J630" s="2">
        <v>1</v>
      </c>
      <c r="K630" s="2">
        <v>598</v>
      </c>
      <c r="L630" s="2">
        <f>sales[[#This Row],[quantity]]*sales[[#This Row],[price]]</f>
        <v>598</v>
      </c>
      <c r="M630" s="9">
        <f>sales[[#This Row],[Total Price]]*3%</f>
        <v>17.939999999999998</v>
      </c>
      <c r="N630" s="171">
        <f>sales[[#This Row],[Total Price]]*2.5%</f>
        <v>14.950000000000001</v>
      </c>
      <c r="O630" s="9">
        <f>sales[[#This Row],[Total Price]]*1.5%</f>
        <v>8.9699999999999989</v>
      </c>
      <c r="Q630" s="2">
        <v>2</v>
      </c>
      <c r="R630" s="5" t="str">
        <f>_xlfn.CONCAT(sales[[#This Row],[Shop]]," ",sales[[#This Row],[Location]])</f>
        <v>Tuen Mun Broadway</v>
      </c>
    </row>
    <row r="631" spans="1:18" ht="15.6" customHeight="1">
      <c r="A631" s="7">
        <v>629</v>
      </c>
      <c r="B631" s="2" t="s">
        <v>1022</v>
      </c>
      <c r="C631" s="2" t="s">
        <v>1023</v>
      </c>
      <c r="D631" s="2" t="str">
        <f ca="1">OFFSET(Roster!$B$7, MATCH(B631&amp;" "&amp;C631&amp;"*",Roster!$B$8:$B$20,0),DAY(sales[[#This Row],[date]]),1, 1)</f>
        <v>May M</v>
      </c>
      <c r="E631" s="2">
        <f>MONTH(sales[[#This Row],[date]])</f>
        <v>6</v>
      </c>
      <c r="F631" s="233">
        <v>46180</v>
      </c>
      <c r="G631" s="3" t="str">
        <f>VLOOKUP("*"&amp;sales[[#This Row],[Input]]&amp;"*",'Ref-List'!$A:$C,1,0)</f>
        <v>Model-Input-Ref</v>
      </c>
      <c r="H631" s="2" t="str">
        <f>VLOOKUP("*"&amp;G631&amp;"*",'Ref-List'!$A:$C,3,0)</f>
        <v>Product Line</v>
      </c>
      <c r="I631" s="8"/>
      <c r="J631" s="2">
        <v>1</v>
      </c>
      <c r="K631" s="2">
        <v>2688</v>
      </c>
      <c r="L631" s="2">
        <f>sales[[#This Row],[quantity]]*sales[[#This Row],[price]]</f>
        <v>2688</v>
      </c>
      <c r="M631" s="9">
        <f>sales[[#This Row],[Total Price]]*3%</f>
        <v>80.64</v>
      </c>
      <c r="N631" s="171">
        <f>sales[[#This Row],[Total Price]]*2.5%</f>
        <v>67.2</v>
      </c>
      <c r="O631" s="9">
        <f>sales[[#This Row],[Total Price]]*1.5%</f>
        <v>40.32</v>
      </c>
      <c r="Q631" s="2">
        <v>2</v>
      </c>
      <c r="R631" s="5" t="str">
        <f>_xlfn.CONCAT(sales[[#This Row],[Shop]]," ",sales[[#This Row],[Location]])</f>
        <v>Tuen Mun Broadway</v>
      </c>
    </row>
    <row r="632" spans="1:18" ht="15.6" customHeight="1">
      <c r="A632" s="7">
        <v>630</v>
      </c>
      <c r="B632" s="2" t="s">
        <v>1022</v>
      </c>
      <c r="C632" s="2" t="s">
        <v>1023</v>
      </c>
      <c r="D632" s="2" t="str">
        <f ca="1">OFFSET(Roster!$B$7, MATCH(B632&amp;" "&amp;C632&amp;"*",Roster!$B$8:$B$20,0),DAY(sales[[#This Row],[date]]),1, 1)</f>
        <v>May M</v>
      </c>
      <c r="E632" s="2">
        <f>MONTH(sales[[#This Row],[date]])</f>
        <v>6</v>
      </c>
      <c r="F632" s="233">
        <v>46180</v>
      </c>
      <c r="G632" s="3" t="str">
        <f>VLOOKUP("*"&amp;sales[[#This Row],[Input]]&amp;"*",'Ref-List'!$A:$C,1,0)</f>
        <v>Model-Input-Ref</v>
      </c>
      <c r="H632" s="2" t="str">
        <f>VLOOKUP("*"&amp;G632&amp;"*",'Ref-List'!$A:$C,3,0)</f>
        <v>Product Line</v>
      </c>
      <c r="I632" s="8"/>
      <c r="J632" s="2">
        <v>1</v>
      </c>
      <c r="K632" s="2">
        <v>1388</v>
      </c>
      <c r="L632" s="2">
        <f>sales[[#This Row],[quantity]]*sales[[#This Row],[price]]</f>
        <v>1388</v>
      </c>
      <c r="M632" s="9">
        <f>sales[[#This Row],[Total Price]]*3%</f>
        <v>41.64</v>
      </c>
      <c r="N632" s="171">
        <f>sales[[#This Row],[Total Price]]*2.5%</f>
        <v>34.700000000000003</v>
      </c>
      <c r="O632" s="9">
        <f>sales[[#This Row],[Total Price]]*1.5%</f>
        <v>20.82</v>
      </c>
      <c r="Q632" s="2">
        <v>2</v>
      </c>
      <c r="R632" s="5" t="str">
        <f>_xlfn.CONCAT(sales[[#This Row],[Shop]]," ",sales[[#This Row],[Location]])</f>
        <v>Tuen Mun Broadway</v>
      </c>
    </row>
    <row r="633" spans="1:18" ht="15.6" customHeight="1">
      <c r="A633" s="7">
        <v>631</v>
      </c>
      <c r="B633" s="2" t="s">
        <v>1022</v>
      </c>
      <c r="C633" s="2" t="s">
        <v>1023</v>
      </c>
      <c r="D633" s="2" t="str">
        <f ca="1">OFFSET(Roster!$B$7, MATCH(B633&amp;" "&amp;C633&amp;"*",Roster!$B$8:$B$20,0),DAY(sales[[#This Row],[date]]),1, 1)</f>
        <v>May M</v>
      </c>
      <c r="E633" s="2">
        <f>MONTH(sales[[#This Row],[date]])</f>
        <v>6</v>
      </c>
      <c r="F633" s="233">
        <v>46180</v>
      </c>
      <c r="G633" s="3" t="str">
        <f>VLOOKUP("*"&amp;sales[[#This Row],[Input]]&amp;"*",'Ref-List'!$A:$C,1,0)</f>
        <v>Model-Input-Ref</v>
      </c>
      <c r="H633" s="2" t="str">
        <f>VLOOKUP("*"&amp;G633&amp;"*",'Ref-List'!$A:$C,3,0)</f>
        <v>Product Line</v>
      </c>
      <c r="I633" s="8"/>
      <c r="J633" s="2">
        <v>1</v>
      </c>
      <c r="K633" s="2">
        <v>3688</v>
      </c>
      <c r="L633" s="2">
        <f>sales[[#This Row],[quantity]]*sales[[#This Row],[price]]</f>
        <v>3688</v>
      </c>
      <c r="M633" s="9">
        <f>sales[[#This Row],[Total Price]]*3%</f>
        <v>110.64</v>
      </c>
      <c r="N633" s="171">
        <f>sales[[#This Row],[Total Price]]*2.5%</f>
        <v>92.2</v>
      </c>
      <c r="O633" s="9">
        <f>sales[[#This Row],[Total Price]]*1.5%</f>
        <v>55.32</v>
      </c>
      <c r="Q633" s="2">
        <v>2</v>
      </c>
      <c r="R633" s="5" t="str">
        <f>_xlfn.CONCAT(sales[[#This Row],[Shop]]," ",sales[[#This Row],[Location]])</f>
        <v>Tuen Mun Broadway</v>
      </c>
    </row>
    <row r="634" spans="1:18" ht="15.6" customHeight="1">
      <c r="A634" s="7">
        <v>632</v>
      </c>
      <c r="B634" s="2" t="s">
        <v>1022</v>
      </c>
      <c r="C634" s="2" t="s">
        <v>1023</v>
      </c>
      <c r="D634" s="2" t="str">
        <f ca="1">OFFSET(Roster!$B$7, MATCH(B634&amp;" "&amp;C634&amp;"*",Roster!$B$8:$B$20,0),DAY(sales[[#This Row],[date]]),1, 1)</f>
        <v>May M</v>
      </c>
      <c r="E634" s="2">
        <f>MONTH(sales[[#This Row],[date]])</f>
        <v>6</v>
      </c>
      <c r="F634" s="233">
        <v>46180</v>
      </c>
      <c r="G634" s="3" t="str">
        <f>VLOOKUP("*"&amp;sales[[#This Row],[Input]]&amp;"*",'Ref-List'!$A:$C,1,0)</f>
        <v>Model-Input-Ref</v>
      </c>
      <c r="H634" s="2" t="str">
        <f>VLOOKUP("*"&amp;G634&amp;"*",'Ref-List'!$A:$C,3,0)</f>
        <v>Product Line</v>
      </c>
      <c r="I634" s="8"/>
      <c r="J634" s="2">
        <v>1</v>
      </c>
      <c r="K634" s="2">
        <v>5580</v>
      </c>
      <c r="L634" s="2">
        <f>sales[[#This Row],[quantity]]*sales[[#This Row],[price]]</f>
        <v>5580</v>
      </c>
      <c r="M634" s="9">
        <f>sales[[#This Row],[Total Price]]*3%</f>
        <v>167.4</v>
      </c>
      <c r="N634" s="171">
        <f>sales[[#This Row],[Total Price]]*2.5%</f>
        <v>139.5</v>
      </c>
      <c r="O634" s="9">
        <f>sales[[#This Row],[Total Price]]*1.5%</f>
        <v>83.7</v>
      </c>
      <c r="Q634" s="2">
        <v>2</v>
      </c>
      <c r="R634" s="5" t="str">
        <f>_xlfn.CONCAT(sales[[#This Row],[Shop]]," ",sales[[#This Row],[Location]])</f>
        <v>Tuen Mun Broadway</v>
      </c>
    </row>
    <row r="635" spans="1:18" ht="15.6" customHeight="1">
      <c r="A635" s="7">
        <v>633</v>
      </c>
      <c r="B635" s="2" t="s">
        <v>1022</v>
      </c>
      <c r="C635" s="2" t="s">
        <v>1023</v>
      </c>
      <c r="D635" s="2" t="str">
        <f ca="1">OFFSET(Roster!$B$7, MATCH(B635&amp;" "&amp;C635&amp;"*",Roster!$B$8:$B$20,0),DAY(sales[[#This Row],[date]]),1, 1)</f>
        <v>May M</v>
      </c>
      <c r="E635" s="2">
        <f>MONTH(sales[[#This Row],[date]])</f>
        <v>6</v>
      </c>
      <c r="F635" s="233">
        <v>46180</v>
      </c>
      <c r="G635" s="3" t="str">
        <f>VLOOKUP("*"&amp;sales[[#This Row],[Input]]&amp;"*",'Ref-List'!$A:$C,1,0)</f>
        <v>Model-Input-Ref</v>
      </c>
      <c r="H635" s="2" t="str">
        <f>VLOOKUP("*"&amp;G635&amp;"*",'Ref-List'!$A:$C,3,0)</f>
        <v>Product Line</v>
      </c>
      <c r="I635" s="8"/>
      <c r="J635" s="2">
        <v>1</v>
      </c>
      <c r="K635" s="2">
        <v>3980</v>
      </c>
      <c r="L635" s="2">
        <f>sales[[#This Row],[quantity]]*sales[[#This Row],[price]]</f>
        <v>3980</v>
      </c>
      <c r="M635" s="9">
        <f>sales[[#This Row],[Total Price]]*3%</f>
        <v>119.39999999999999</v>
      </c>
      <c r="N635" s="171">
        <f>sales[[#This Row],[Total Price]]*2.5%</f>
        <v>99.5</v>
      </c>
      <c r="O635" s="9">
        <f>sales[[#This Row],[Total Price]]*1.5%</f>
        <v>59.699999999999996</v>
      </c>
      <c r="Q635" s="2">
        <v>2</v>
      </c>
      <c r="R635" s="5" t="str">
        <f>_xlfn.CONCAT(sales[[#This Row],[Shop]]," ",sales[[#This Row],[Location]])</f>
        <v>Tuen Mun Broadway</v>
      </c>
    </row>
    <row r="636" spans="1:18" ht="15.6" customHeight="1">
      <c r="A636" s="7">
        <v>634</v>
      </c>
      <c r="B636" s="2" t="s">
        <v>1022</v>
      </c>
      <c r="C636" s="2" t="s">
        <v>1023</v>
      </c>
      <c r="D636" s="2" t="str">
        <f ca="1">OFFSET(Roster!$B$7, MATCH(B636&amp;" "&amp;C636&amp;"*",Roster!$B$8:$B$20,0),DAY(sales[[#This Row],[date]]),1, 1)</f>
        <v>May M</v>
      </c>
      <c r="E636" s="2">
        <f>MONTH(sales[[#This Row],[date]])</f>
        <v>6</v>
      </c>
      <c r="F636" s="233">
        <v>46180</v>
      </c>
      <c r="G636" s="3" t="str">
        <f>VLOOKUP("*"&amp;sales[[#This Row],[Input]]&amp;"*",'Ref-List'!$A:$C,1,0)</f>
        <v>Model-Input-Ref</v>
      </c>
      <c r="H636" s="2" t="str">
        <f>VLOOKUP("*"&amp;G636&amp;"*",'Ref-List'!$A:$C,3,0)</f>
        <v>Product Line</v>
      </c>
      <c r="I636" s="8"/>
      <c r="J636" s="2">
        <v>1</v>
      </c>
      <c r="K636" s="2">
        <v>598</v>
      </c>
      <c r="L636" s="2">
        <f>sales[[#This Row],[quantity]]*sales[[#This Row],[price]]</f>
        <v>598</v>
      </c>
      <c r="M636" s="9">
        <f>sales[[#This Row],[Total Price]]*3%</f>
        <v>17.939999999999998</v>
      </c>
      <c r="N636" s="171">
        <f>sales[[#This Row],[Total Price]]*2.5%</f>
        <v>14.950000000000001</v>
      </c>
      <c r="O636" s="9">
        <f>sales[[#This Row],[Total Price]]*1.5%</f>
        <v>8.9699999999999989</v>
      </c>
      <c r="Q636" s="2">
        <v>2</v>
      </c>
      <c r="R636" s="5" t="str">
        <f>_xlfn.CONCAT(sales[[#This Row],[Shop]]," ",sales[[#This Row],[Location]])</f>
        <v>Tuen Mun Broadway</v>
      </c>
    </row>
    <row r="637" spans="1:18" ht="15.6" customHeight="1">
      <c r="A637" s="7">
        <v>635</v>
      </c>
      <c r="B637" s="2" t="s">
        <v>1022</v>
      </c>
      <c r="C637" s="2" t="s">
        <v>1023</v>
      </c>
      <c r="D637" s="2" t="str">
        <f ca="1">OFFSET(Roster!$B$7, MATCH(B637&amp;" "&amp;C637&amp;"*",Roster!$B$8:$B$20,0),DAY(sales[[#This Row],[date]]),1, 1)</f>
        <v>May M</v>
      </c>
      <c r="E637" s="2">
        <f>MONTH(sales[[#This Row],[date]])</f>
        <v>6</v>
      </c>
      <c r="F637" s="233">
        <v>46180</v>
      </c>
      <c r="G637" s="3" t="str">
        <f>VLOOKUP("*"&amp;sales[[#This Row],[Input]]&amp;"*",'Ref-List'!$A:$C,1,0)</f>
        <v>Model-Input-Ref</v>
      </c>
      <c r="H637" s="2" t="str">
        <f>VLOOKUP("*"&amp;G637&amp;"*",'Ref-List'!$A:$C,3,0)</f>
        <v>Product Line</v>
      </c>
      <c r="I637" s="240"/>
      <c r="J637" s="2">
        <v>1</v>
      </c>
      <c r="K637" s="239">
        <v>3980</v>
      </c>
      <c r="L637" s="2">
        <f>sales[[#This Row],[quantity]]*sales[[#This Row],[price]]</f>
        <v>3980</v>
      </c>
      <c r="M637" s="9">
        <f>sales[[#This Row],[Total Price]]*3%</f>
        <v>119.39999999999999</v>
      </c>
      <c r="N637" s="171">
        <f>sales[[#This Row],[Total Price]]*2.5%</f>
        <v>99.5</v>
      </c>
      <c r="O637" s="9">
        <f>sales[[#This Row],[Total Price]]*1.5%</f>
        <v>59.699999999999996</v>
      </c>
      <c r="Q637" s="2">
        <v>2</v>
      </c>
      <c r="R637" s="5" t="str">
        <f>_xlfn.CONCAT(sales[[#This Row],[Shop]]," ",sales[[#This Row],[Location]])</f>
        <v>Tuen Mun Broadway</v>
      </c>
    </row>
    <row r="638" spans="1:18" ht="15.6" customHeight="1">
      <c r="A638" s="7">
        <v>636</v>
      </c>
      <c r="B638" s="2" t="s">
        <v>1022</v>
      </c>
      <c r="C638" s="2" t="s">
        <v>1023</v>
      </c>
      <c r="D638" s="2" t="str">
        <f ca="1">OFFSET(Roster!$B$7, MATCH(B638&amp;" "&amp;C638&amp;"*",Roster!$B$8:$B$20,0),DAY(sales[[#This Row],[date]]),1, 1)</f>
        <v>May M</v>
      </c>
      <c r="E638" s="2">
        <f>MONTH(sales[[#This Row],[date]])</f>
        <v>6</v>
      </c>
      <c r="F638" s="233">
        <v>46180</v>
      </c>
      <c r="G638" s="3" t="str">
        <f>VLOOKUP("*"&amp;sales[[#This Row],[Input]]&amp;"*",'Ref-List'!$A:$C,1,0)</f>
        <v>Model-Input-Ref</v>
      </c>
      <c r="H638" s="2" t="str">
        <f>VLOOKUP("*"&amp;G638&amp;"*",'Ref-List'!$A:$C,3,0)</f>
        <v>Product Line</v>
      </c>
      <c r="I638" s="8"/>
      <c r="J638" s="2">
        <v>1</v>
      </c>
      <c r="K638" s="2">
        <v>2250</v>
      </c>
      <c r="L638" s="2">
        <f>sales[[#This Row],[quantity]]*sales[[#This Row],[price]]</f>
        <v>2250</v>
      </c>
      <c r="M638" s="9">
        <f>sales[[#This Row],[Total Price]]*3%</f>
        <v>67.5</v>
      </c>
      <c r="N638" s="171">
        <f>sales[[#This Row],[Total Price]]*2.5%</f>
        <v>56.25</v>
      </c>
      <c r="O638" s="9">
        <f>sales[[#This Row],[Total Price]]*1.5%</f>
        <v>33.75</v>
      </c>
      <c r="Q638" s="2">
        <v>2</v>
      </c>
      <c r="R638" s="5" t="str">
        <f>_xlfn.CONCAT(sales[[#This Row],[Shop]]," ",sales[[#This Row],[Location]])</f>
        <v>Tuen Mun Broadway</v>
      </c>
    </row>
    <row r="639" spans="1:18" ht="15.6" customHeight="1">
      <c r="A639" s="7">
        <v>637</v>
      </c>
      <c r="B639" s="2" t="s">
        <v>1022</v>
      </c>
      <c r="C639" s="2" t="s">
        <v>1023</v>
      </c>
      <c r="D639" s="2" t="str">
        <f ca="1">OFFSET(Roster!$B$7, MATCH(B639&amp;" "&amp;C639&amp;"*",Roster!$B$8:$B$20,0),DAY(sales[[#This Row],[date]]),1, 1)</f>
        <v>May M</v>
      </c>
      <c r="E639" s="2">
        <f>MONTH(sales[[#This Row],[date]])</f>
        <v>6</v>
      </c>
      <c r="F639" s="233">
        <v>46180</v>
      </c>
      <c r="G639" s="3" t="str">
        <f>VLOOKUP("*"&amp;sales[[#This Row],[Input]]&amp;"*",'Ref-List'!$A:$C,1,0)</f>
        <v>Model-Input-Ref</v>
      </c>
      <c r="H639" s="2" t="str">
        <f>VLOOKUP("*"&amp;G639&amp;"*",'Ref-List'!$A:$C,3,0)</f>
        <v>Product Line</v>
      </c>
      <c r="I639" s="8"/>
      <c r="J639" s="2">
        <v>1</v>
      </c>
      <c r="K639" s="2">
        <v>1330</v>
      </c>
      <c r="L639" s="2">
        <f>sales[[#This Row],[quantity]]*sales[[#This Row],[price]]</f>
        <v>1330</v>
      </c>
      <c r="M639" s="9">
        <f>sales[[#This Row],[Total Price]]*3%</f>
        <v>39.9</v>
      </c>
      <c r="N639" s="171">
        <f>sales[[#This Row],[Total Price]]*2.5%</f>
        <v>33.25</v>
      </c>
      <c r="O639" s="9">
        <f>sales[[#This Row],[Total Price]]*1.5%</f>
        <v>19.95</v>
      </c>
      <c r="Q639" s="2">
        <v>2</v>
      </c>
      <c r="R639" s="5" t="str">
        <f>_xlfn.CONCAT(sales[[#This Row],[Shop]]," ",sales[[#This Row],[Location]])</f>
        <v>Tuen Mun Broadway</v>
      </c>
    </row>
    <row r="640" spans="1:18" ht="15.6" customHeight="1">
      <c r="A640" s="7">
        <v>638</v>
      </c>
      <c r="B640" s="2" t="s">
        <v>1022</v>
      </c>
      <c r="C640" s="2" t="s">
        <v>1023</v>
      </c>
      <c r="D640" s="2" t="str">
        <f ca="1">OFFSET(Roster!$B$7, MATCH(B640&amp;" "&amp;C640&amp;"*",Roster!$B$8:$B$20,0),DAY(sales[[#This Row],[date]]),1, 1)</f>
        <v>May M</v>
      </c>
      <c r="E640" s="2">
        <f>MONTH(sales[[#This Row],[date]])</f>
        <v>6</v>
      </c>
      <c r="F640" s="233">
        <v>46180</v>
      </c>
      <c r="G640" s="3" t="str">
        <f>VLOOKUP("*"&amp;sales[[#This Row],[Input]]&amp;"*",'Ref-List'!$A:$C,1,0)</f>
        <v>Model-Input-Ref</v>
      </c>
      <c r="H640" s="2" t="str">
        <f>VLOOKUP("*"&amp;G640&amp;"*",'Ref-List'!$A:$C,3,0)</f>
        <v>Product Line</v>
      </c>
      <c r="I640" s="8"/>
      <c r="J640" s="2">
        <v>1</v>
      </c>
      <c r="K640" s="2">
        <v>2988</v>
      </c>
      <c r="L640" s="2">
        <f>sales[[#This Row],[quantity]]*sales[[#This Row],[price]]</f>
        <v>2988</v>
      </c>
      <c r="M640" s="9">
        <f>sales[[#This Row],[Total Price]]*3%</f>
        <v>89.64</v>
      </c>
      <c r="N640" s="171">
        <f>sales[[#This Row],[Total Price]]*2.5%</f>
        <v>74.7</v>
      </c>
      <c r="O640" s="9">
        <f>sales[[#This Row],[Total Price]]*1.5%</f>
        <v>44.82</v>
      </c>
      <c r="Q640" s="2">
        <v>2</v>
      </c>
      <c r="R640" s="5" t="str">
        <f>_xlfn.CONCAT(sales[[#This Row],[Shop]]," ",sales[[#This Row],[Location]])</f>
        <v>Tuen Mun Broadway</v>
      </c>
    </row>
    <row r="641" spans="1:18" ht="15.6" customHeight="1">
      <c r="A641" s="7">
        <v>639</v>
      </c>
      <c r="B641" s="2" t="s">
        <v>1022</v>
      </c>
      <c r="C641" s="2" t="s">
        <v>1023</v>
      </c>
      <c r="D641" s="2" t="str">
        <f ca="1">OFFSET(Roster!$B$7, MATCH(B641&amp;" "&amp;C641&amp;"*",Roster!$B$8:$B$20,0),DAY(sales[[#This Row],[date]]),1, 1)</f>
        <v>May M</v>
      </c>
      <c r="E641" s="2">
        <f>MONTH(sales[[#This Row],[date]])</f>
        <v>6</v>
      </c>
      <c r="F641" s="233">
        <v>46180</v>
      </c>
      <c r="G641" s="3" t="str">
        <f>VLOOKUP("*"&amp;sales[[#This Row],[Input]]&amp;"*",'Ref-List'!$A:$C,1,0)</f>
        <v>Model-Input-Ref</v>
      </c>
      <c r="H641" s="2" t="str">
        <f>VLOOKUP("*"&amp;G641&amp;"*",'Ref-List'!$A:$C,3,0)</f>
        <v>Product Line</v>
      </c>
      <c r="I641" s="8"/>
      <c r="J641" s="2">
        <v>1</v>
      </c>
      <c r="K641" s="2">
        <v>3980</v>
      </c>
      <c r="L641" s="2">
        <f>sales[[#This Row],[quantity]]*sales[[#This Row],[price]]</f>
        <v>3980</v>
      </c>
      <c r="M641" s="9">
        <f>sales[[#This Row],[Total Price]]*3%</f>
        <v>119.39999999999999</v>
      </c>
      <c r="N641" s="171">
        <f>sales[[#This Row],[Total Price]]*2.5%</f>
        <v>99.5</v>
      </c>
      <c r="O641" s="9">
        <f>sales[[#This Row],[Total Price]]*1.5%</f>
        <v>59.699999999999996</v>
      </c>
      <c r="Q641" s="2">
        <v>2</v>
      </c>
      <c r="R641" s="5" t="str">
        <f>_xlfn.CONCAT(sales[[#This Row],[Shop]]," ",sales[[#This Row],[Location]])</f>
        <v>Tuen Mun Broadway</v>
      </c>
    </row>
    <row r="642" spans="1:18" ht="15.6" customHeight="1">
      <c r="A642" s="7">
        <v>640</v>
      </c>
      <c r="B642" s="2" t="s">
        <v>1022</v>
      </c>
      <c r="C642" s="2" t="s">
        <v>1023</v>
      </c>
      <c r="D642" s="2" t="str">
        <f ca="1">OFFSET(Roster!$B$7, MATCH(B642&amp;" "&amp;C642&amp;"*",Roster!$B$8:$B$20,0),DAY(sales[[#This Row],[date]]),1, 1)</f>
        <v>May M</v>
      </c>
      <c r="E642" s="2">
        <f>MONTH(sales[[#This Row],[date]])</f>
        <v>6</v>
      </c>
      <c r="F642" s="233">
        <v>46184</v>
      </c>
      <c r="G642" s="3" t="str">
        <f>VLOOKUP("*"&amp;sales[[#This Row],[Input]]&amp;"*",'Ref-List'!$A:$C,1,0)</f>
        <v>Model-Input-Ref</v>
      </c>
      <c r="H642" s="2" t="str">
        <f>VLOOKUP("*"&amp;G642&amp;"*",'Ref-List'!$A:$C,3,0)</f>
        <v>Product Line</v>
      </c>
      <c r="J642" s="2">
        <v>1</v>
      </c>
      <c r="K642" s="2">
        <v>2250</v>
      </c>
      <c r="L642" s="2">
        <f>sales[[#This Row],[quantity]]*sales[[#This Row],[price]]</f>
        <v>2250</v>
      </c>
      <c r="M642" s="9">
        <f>sales[[#This Row],[Total Price]]*3%</f>
        <v>67.5</v>
      </c>
      <c r="N642" s="171">
        <f>sales[[#This Row],[Total Price]]*2.5%</f>
        <v>56.25</v>
      </c>
      <c r="O642" s="9">
        <f>sales[[#This Row],[Total Price]]*1.5%</f>
        <v>33.75</v>
      </c>
      <c r="Q642" s="2">
        <v>3</v>
      </c>
      <c r="R642" s="5" t="str">
        <f>_xlfn.CONCAT(sales[[#This Row],[Shop]]," ",sales[[#This Row],[Location]])</f>
        <v>Tuen Mun Broadway</v>
      </c>
    </row>
    <row r="643" spans="1:18" ht="15.6" customHeight="1">
      <c r="A643" s="7">
        <v>641</v>
      </c>
      <c r="B643" s="2" t="s">
        <v>1022</v>
      </c>
      <c r="C643" s="2" t="s">
        <v>1023</v>
      </c>
      <c r="D643" s="2" t="str">
        <f ca="1">OFFSET(Roster!$B$7, MATCH(B643&amp;" "&amp;C643&amp;"*",Roster!$B$8:$B$20,0),DAY(sales[[#This Row],[date]]),1, 1)</f>
        <v>May M</v>
      </c>
      <c r="E643" s="2">
        <f>MONTH(sales[[#This Row],[date]])</f>
        <v>6</v>
      </c>
      <c r="F643" s="233">
        <v>46184</v>
      </c>
      <c r="G643" s="3" t="str">
        <f>VLOOKUP("*"&amp;sales[[#This Row],[Input]]&amp;"*",'Ref-List'!$A:$C,1,0)</f>
        <v>Model-Input-Ref</v>
      </c>
      <c r="H643" s="2" t="str">
        <f>VLOOKUP("*"&amp;G643&amp;"*",'Ref-List'!$A:$C,3,0)</f>
        <v>Product Line</v>
      </c>
      <c r="I643" s="241"/>
      <c r="J643" s="2">
        <v>1</v>
      </c>
      <c r="K643" s="2">
        <v>2250</v>
      </c>
      <c r="L643" s="2">
        <f>sales[[#This Row],[quantity]]*sales[[#This Row],[price]]</f>
        <v>2250</v>
      </c>
      <c r="M643" s="9">
        <f>sales[[#This Row],[Total Price]]*3%</f>
        <v>67.5</v>
      </c>
      <c r="N643" s="171">
        <f>sales[[#This Row],[Total Price]]*2.5%</f>
        <v>56.25</v>
      </c>
      <c r="O643" s="9">
        <f>sales[[#This Row],[Total Price]]*1.5%</f>
        <v>33.75</v>
      </c>
      <c r="Q643" s="2">
        <v>3</v>
      </c>
      <c r="R643" s="5" t="str">
        <f>_xlfn.CONCAT(sales[[#This Row],[Shop]]," ",sales[[#This Row],[Location]])</f>
        <v>Tuen Mun Broadway</v>
      </c>
    </row>
    <row r="644" spans="1:18" ht="15.6" customHeight="1">
      <c r="A644" s="7">
        <v>642</v>
      </c>
      <c r="B644" s="2" t="s">
        <v>1022</v>
      </c>
      <c r="C644" s="2" t="s">
        <v>1023</v>
      </c>
      <c r="D644" s="2" t="str">
        <f ca="1">OFFSET(Roster!$B$7, MATCH(B644&amp;" "&amp;C644&amp;"*",Roster!$B$8:$B$20,0),DAY(sales[[#This Row],[date]]),1, 1)</f>
        <v>May M</v>
      </c>
      <c r="E644" s="2">
        <f>MONTH(sales[[#This Row],[date]])</f>
        <v>6</v>
      </c>
      <c r="F644" s="233">
        <v>46184</v>
      </c>
      <c r="G644" s="3" t="str">
        <f>VLOOKUP("*"&amp;sales[[#This Row],[Input]]&amp;"*",'Ref-List'!$A:$C,1,0)</f>
        <v>Model-Input-Ref</v>
      </c>
      <c r="H644" s="2" t="str">
        <f>VLOOKUP("*"&amp;G644&amp;"*",'Ref-List'!$A:$C,3,0)</f>
        <v>Product Line</v>
      </c>
      <c r="J644" s="2">
        <v>1</v>
      </c>
      <c r="K644" s="2">
        <v>2250</v>
      </c>
      <c r="L644" s="2">
        <f>sales[[#This Row],[quantity]]*sales[[#This Row],[price]]</f>
        <v>2250</v>
      </c>
      <c r="M644" s="9">
        <f>sales[[#This Row],[Total Price]]*3%</f>
        <v>67.5</v>
      </c>
      <c r="N644" s="171">
        <f>sales[[#This Row],[Total Price]]*2.5%</f>
        <v>56.25</v>
      </c>
      <c r="O644" s="9">
        <f>sales[[#This Row],[Total Price]]*1.5%</f>
        <v>33.75</v>
      </c>
      <c r="Q644" s="2">
        <v>3</v>
      </c>
      <c r="R644" s="5" t="str">
        <f>_xlfn.CONCAT(sales[[#This Row],[Shop]]," ",sales[[#This Row],[Location]])</f>
        <v>Tuen Mun Broadway</v>
      </c>
    </row>
    <row r="645" spans="1:18" ht="15.6" customHeight="1">
      <c r="A645" s="7">
        <v>643</v>
      </c>
      <c r="B645" s="2" t="s">
        <v>1022</v>
      </c>
      <c r="C645" s="2" t="s">
        <v>1023</v>
      </c>
      <c r="D645" s="2" t="str">
        <f ca="1">OFFSET(Roster!$B$7, MATCH(B645&amp;" "&amp;C645&amp;"*",Roster!$B$8:$B$20,0),DAY(sales[[#This Row],[date]]),1, 1)</f>
        <v>May M</v>
      </c>
      <c r="E645" s="2">
        <f>MONTH(sales[[#This Row],[date]])</f>
        <v>6</v>
      </c>
      <c r="F645" s="233">
        <v>46184</v>
      </c>
      <c r="G645" s="3" t="str">
        <f>VLOOKUP("*"&amp;sales[[#This Row],[Input]]&amp;"*",'Ref-List'!$A:$C,1,0)</f>
        <v>Model-Input-Ref</v>
      </c>
      <c r="H645" s="2" t="str">
        <f>VLOOKUP("*"&amp;G645&amp;"*",'Ref-List'!$A:$C,3,0)</f>
        <v>Product Line</v>
      </c>
      <c r="J645" s="2">
        <v>1</v>
      </c>
      <c r="K645" s="2">
        <v>2988</v>
      </c>
      <c r="L645" s="2">
        <f>sales[[#This Row],[quantity]]*sales[[#This Row],[price]]</f>
        <v>2988</v>
      </c>
      <c r="M645" s="9">
        <f>sales[[#This Row],[Total Price]]*3%</f>
        <v>89.64</v>
      </c>
      <c r="N645" s="171">
        <f>sales[[#This Row],[Total Price]]*2.5%</f>
        <v>74.7</v>
      </c>
      <c r="O645" s="9">
        <f>sales[[#This Row],[Total Price]]*1.5%</f>
        <v>44.82</v>
      </c>
      <c r="Q645" s="2">
        <v>3</v>
      </c>
      <c r="R645" s="5" t="str">
        <f>_xlfn.CONCAT(sales[[#This Row],[Shop]]," ",sales[[#This Row],[Location]])</f>
        <v>Tuen Mun Broadway</v>
      </c>
    </row>
    <row r="646" spans="1:18" ht="15.6" customHeight="1">
      <c r="A646" s="7">
        <v>644</v>
      </c>
      <c r="B646" s="2" t="s">
        <v>1022</v>
      </c>
      <c r="C646" s="2" t="s">
        <v>1023</v>
      </c>
      <c r="D646" s="2" t="str">
        <f ca="1">OFFSET(Roster!$B$7, MATCH(B646&amp;" "&amp;C646&amp;"*",Roster!$B$8:$B$20,0),DAY(sales[[#This Row],[date]]),1, 1)</f>
        <v>May M</v>
      </c>
      <c r="E646" s="2">
        <f>MONTH(sales[[#This Row],[date]])</f>
        <v>6</v>
      </c>
      <c r="F646" s="233">
        <v>46184</v>
      </c>
      <c r="G646" s="3" t="str">
        <f>VLOOKUP("*"&amp;sales[[#This Row],[Input]]&amp;"*",'Ref-List'!$A:$C,1,0)</f>
        <v>Model-Input-Ref</v>
      </c>
      <c r="H646" s="2" t="str">
        <f>VLOOKUP("*"&amp;G646&amp;"*",'Ref-List'!$A:$C,3,0)</f>
        <v>Product Line</v>
      </c>
      <c r="I646" s="8"/>
      <c r="J646" s="2">
        <v>1</v>
      </c>
      <c r="K646" s="2">
        <v>298</v>
      </c>
      <c r="L646" s="2">
        <f>sales[[#This Row],[quantity]]*sales[[#This Row],[price]]</f>
        <v>298</v>
      </c>
      <c r="M646" s="9">
        <f>sales[[#This Row],[Total Price]]*3%</f>
        <v>8.94</v>
      </c>
      <c r="N646" s="171">
        <f>sales[[#This Row],[Total Price]]*2.5%</f>
        <v>7.45</v>
      </c>
      <c r="O646" s="9">
        <f>sales[[#This Row],[Total Price]]*1.5%</f>
        <v>4.47</v>
      </c>
      <c r="Q646" s="2">
        <v>3</v>
      </c>
      <c r="R646" s="5" t="str">
        <f>_xlfn.CONCAT(sales[[#This Row],[Shop]]," ",sales[[#This Row],[Location]])</f>
        <v>Tuen Mun Broadway</v>
      </c>
    </row>
    <row r="647" spans="1:18" ht="15.6" customHeight="1">
      <c r="A647" s="7">
        <v>645</v>
      </c>
      <c r="B647" s="2" t="s">
        <v>1022</v>
      </c>
      <c r="C647" s="2" t="s">
        <v>1023</v>
      </c>
      <c r="D647" s="2" t="str">
        <f ca="1">OFFSET(Roster!$B$7, MATCH(B647&amp;" "&amp;C647&amp;"*",Roster!$B$8:$B$20,0),DAY(sales[[#This Row],[date]]),1, 1)</f>
        <v>May M</v>
      </c>
      <c r="E647" s="2">
        <f>MONTH(sales[[#This Row],[date]])</f>
        <v>6</v>
      </c>
      <c r="F647" s="233">
        <v>46184</v>
      </c>
      <c r="G647" s="3" t="str">
        <f>VLOOKUP("*"&amp;sales[[#This Row],[Input]]&amp;"*",'Ref-List'!$A:$C,1,0)</f>
        <v>Model-Input-Ref</v>
      </c>
      <c r="H647" s="2" t="str">
        <f>VLOOKUP("*"&amp;G647&amp;"*",'Ref-List'!$A:$C,3,0)</f>
        <v>Product Line</v>
      </c>
      <c r="I647" s="8"/>
      <c r="J647" s="2">
        <v>1</v>
      </c>
      <c r="K647" s="2">
        <v>298</v>
      </c>
      <c r="L647" s="2">
        <f>sales[[#This Row],[quantity]]*sales[[#This Row],[price]]</f>
        <v>298</v>
      </c>
      <c r="M647" s="9">
        <f>sales[[#This Row],[Total Price]]*3%</f>
        <v>8.94</v>
      </c>
      <c r="N647" s="171">
        <f>sales[[#This Row],[Total Price]]*2.5%</f>
        <v>7.45</v>
      </c>
      <c r="O647" s="9">
        <f>sales[[#This Row],[Total Price]]*1.5%</f>
        <v>4.47</v>
      </c>
      <c r="Q647" s="2">
        <v>3</v>
      </c>
      <c r="R647" s="5" t="str">
        <f>_xlfn.CONCAT(sales[[#This Row],[Shop]]," ",sales[[#This Row],[Location]])</f>
        <v>Tuen Mun Broadway</v>
      </c>
    </row>
    <row r="648" spans="1:18" ht="15.6" customHeight="1">
      <c r="A648" s="7">
        <v>646</v>
      </c>
      <c r="B648" s="2" t="s">
        <v>1022</v>
      </c>
      <c r="C648" s="2" t="s">
        <v>1023</v>
      </c>
      <c r="D648" s="2" t="str">
        <f ca="1">OFFSET(Roster!$B$7, MATCH(B648&amp;" "&amp;C648&amp;"*",Roster!$B$8:$B$20,0),DAY(sales[[#This Row],[date]]),1, 1)</f>
        <v>May M</v>
      </c>
      <c r="E648" s="2">
        <f>MONTH(sales[[#This Row],[date]])</f>
        <v>6</v>
      </c>
      <c r="F648" s="233">
        <v>46184</v>
      </c>
      <c r="G648" s="3" t="str">
        <f>VLOOKUP("*"&amp;sales[[#This Row],[Input]]&amp;"*",'Ref-List'!$A:$C,1,0)</f>
        <v>Model-Input-Ref</v>
      </c>
      <c r="H648" s="2" t="str">
        <f>VLOOKUP("*"&amp;G648&amp;"*",'Ref-List'!$A:$C,3,0)</f>
        <v>Product Line</v>
      </c>
      <c r="I648" s="8"/>
      <c r="J648" s="2">
        <v>1</v>
      </c>
      <c r="K648" s="2">
        <v>598</v>
      </c>
      <c r="L648" s="2">
        <f>sales[[#This Row],[quantity]]*sales[[#This Row],[price]]</f>
        <v>598</v>
      </c>
      <c r="M648" s="9">
        <f>sales[[#This Row],[Total Price]]*3%</f>
        <v>17.939999999999998</v>
      </c>
      <c r="N648" s="171">
        <f>sales[[#This Row],[Total Price]]*2.5%</f>
        <v>14.950000000000001</v>
      </c>
      <c r="O648" s="9">
        <f>sales[[#This Row],[Total Price]]*1.5%</f>
        <v>8.9699999999999989</v>
      </c>
      <c r="Q648" s="2">
        <v>3</v>
      </c>
      <c r="R648" s="5" t="str">
        <f>_xlfn.CONCAT(sales[[#This Row],[Shop]]," ",sales[[#This Row],[Location]])</f>
        <v>Tuen Mun Broadway</v>
      </c>
    </row>
    <row r="649" spans="1:18" ht="16.5" customHeight="1">
      <c r="A649" s="7">
        <v>647</v>
      </c>
      <c r="B649" s="2" t="s">
        <v>1022</v>
      </c>
      <c r="C649" s="2" t="s">
        <v>1023</v>
      </c>
      <c r="D649" s="2" t="str">
        <f ca="1">OFFSET(Roster!$B$7, MATCH(B649&amp;" "&amp;C649&amp;"*",Roster!$B$8:$B$20,0),DAY(sales[[#This Row],[date]]),1, 1)</f>
        <v>May M</v>
      </c>
      <c r="E649" s="2">
        <f>MONTH(sales[[#This Row],[date]])</f>
        <v>6</v>
      </c>
      <c r="F649" s="233">
        <v>46184</v>
      </c>
      <c r="G649" s="3" t="str">
        <f>VLOOKUP("*"&amp;sales[[#This Row],[Input]]&amp;"*",'Ref-List'!$A:$C,1,0)</f>
        <v>Model-Input-Ref</v>
      </c>
      <c r="H649" s="2" t="str">
        <f>VLOOKUP("*"&amp;G649&amp;"*",'Ref-List'!$A:$C,3,0)</f>
        <v>Product Line</v>
      </c>
      <c r="I649" s="8"/>
      <c r="J649" s="2">
        <v>1</v>
      </c>
      <c r="K649" s="2">
        <v>848</v>
      </c>
      <c r="L649" s="2">
        <f>sales[[#This Row],[quantity]]*sales[[#This Row],[price]]</f>
        <v>848</v>
      </c>
      <c r="M649" s="9">
        <f>sales[[#This Row],[Total Price]]*3%</f>
        <v>25.439999999999998</v>
      </c>
      <c r="N649" s="171">
        <f>sales[[#This Row],[Total Price]]*2.5%</f>
        <v>21.200000000000003</v>
      </c>
      <c r="O649" s="9">
        <f>sales[[#This Row],[Total Price]]*1.5%</f>
        <v>12.719999999999999</v>
      </c>
      <c r="Q649" s="2">
        <v>3</v>
      </c>
      <c r="R649" s="5" t="str">
        <f>_xlfn.CONCAT(sales[[#This Row],[Shop]]," ",sales[[#This Row],[Location]])</f>
        <v>Tuen Mun Broadway</v>
      </c>
    </row>
    <row r="650" spans="1:18" ht="16.5" customHeight="1">
      <c r="A650" s="7">
        <v>648</v>
      </c>
      <c r="B650" s="2" t="s">
        <v>1022</v>
      </c>
      <c r="C650" s="2" t="s">
        <v>1023</v>
      </c>
      <c r="D650" s="2" t="str">
        <f ca="1">OFFSET(Roster!$B$7, MATCH(B650&amp;" "&amp;C650&amp;"*",Roster!$B$8:$B$20,0),DAY(sales[[#This Row],[date]]),1, 1)</f>
        <v>May M</v>
      </c>
      <c r="E650" s="2">
        <f>MONTH(sales[[#This Row],[date]])</f>
        <v>6</v>
      </c>
      <c r="F650" s="233">
        <v>46185</v>
      </c>
      <c r="G650" s="3" t="str">
        <f>VLOOKUP("*"&amp;sales[[#This Row],[Input]]&amp;"*",'Ref-List'!$A:$C,1,0)</f>
        <v>Model-Input-Ref</v>
      </c>
      <c r="H650" s="2" t="str">
        <f>VLOOKUP("*"&amp;G650&amp;"*",'Ref-List'!$A:$C,3,0)</f>
        <v>Product Line</v>
      </c>
      <c r="I650" s="8"/>
      <c r="J650" s="2">
        <v>1</v>
      </c>
      <c r="K650" s="2">
        <v>2250</v>
      </c>
      <c r="L650" s="2">
        <f>sales[[#This Row],[quantity]]*sales[[#This Row],[price]]</f>
        <v>2250</v>
      </c>
      <c r="M650" s="9">
        <f>sales[[#This Row],[Total Price]]*3%</f>
        <v>67.5</v>
      </c>
      <c r="N650" s="171">
        <f>sales[[#This Row],[Total Price]]*2.5%</f>
        <v>56.25</v>
      </c>
      <c r="O650" s="9">
        <f>sales[[#This Row],[Total Price]]*1.5%</f>
        <v>33.75</v>
      </c>
      <c r="Q650" s="2">
        <v>4</v>
      </c>
      <c r="R650" s="5" t="str">
        <f>_xlfn.CONCAT(sales[[#This Row],[Shop]]," ",sales[[#This Row],[Location]])</f>
        <v>Tuen Mun Broadway</v>
      </c>
    </row>
    <row r="651" spans="1:18" ht="16.5" customHeight="1">
      <c r="A651" s="7">
        <v>649</v>
      </c>
      <c r="B651" s="2" t="s">
        <v>1022</v>
      </c>
      <c r="C651" s="2" t="s">
        <v>1023</v>
      </c>
      <c r="D651" s="2" t="str">
        <f ca="1">OFFSET(Roster!$B$7, MATCH(B651&amp;" "&amp;C651&amp;"*",Roster!$B$8:$B$20,0),DAY(sales[[#This Row],[date]]),1, 1)</f>
        <v>May M</v>
      </c>
      <c r="E651" s="2">
        <f>MONTH(sales[[#This Row],[date]])</f>
        <v>6</v>
      </c>
      <c r="F651" s="233">
        <v>46185</v>
      </c>
      <c r="G651" s="3" t="str">
        <f>VLOOKUP("*"&amp;sales[[#This Row],[Input]]&amp;"*",'Ref-List'!$A:$C,1,0)</f>
        <v>Model-Input-Ref</v>
      </c>
      <c r="H651" s="2" t="str">
        <f>VLOOKUP("*"&amp;G651&amp;"*",'Ref-List'!$A:$C,3,0)</f>
        <v>Product Line</v>
      </c>
      <c r="I651" s="8"/>
      <c r="J651" s="2">
        <v>1</v>
      </c>
      <c r="K651" s="2">
        <v>2988</v>
      </c>
      <c r="L651" s="2">
        <f>sales[[#This Row],[quantity]]*sales[[#This Row],[price]]</f>
        <v>2988</v>
      </c>
      <c r="M651" s="9">
        <f>sales[[#This Row],[Total Price]]*3%</f>
        <v>89.64</v>
      </c>
      <c r="N651" s="171">
        <f>sales[[#This Row],[Total Price]]*2.5%</f>
        <v>74.7</v>
      </c>
      <c r="O651" s="9">
        <f>sales[[#This Row],[Total Price]]*1.5%</f>
        <v>44.82</v>
      </c>
      <c r="Q651" s="2">
        <v>4</v>
      </c>
      <c r="R651" s="5" t="str">
        <f>_xlfn.CONCAT(sales[[#This Row],[Shop]]," ",sales[[#This Row],[Location]])</f>
        <v>Tuen Mun Broadway</v>
      </c>
    </row>
    <row r="652" spans="1:18" ht="16.5" customHeight="1">
      <c r="A652" s="7">
        <v>650</v>
      </c>
      <c r="B652" s="2" t="s">
        <v>1022</v>
      </c>
      <c r="C652" s="2" t="s">
        <v>1023</v>
      </c>
      <c r="D652" s="2" t="str">
        <f ca="1">OFFSET(Roster!$B$7, MATCH(B652&amp;" "&amp;C652&amp;"*",Roster!$B$8:$B$20,0),DAY(sales[[#This Row],[date]]),1, 1)</f>
        <v>May M</v>
      </c>
      <c r="E652" s="2">
        <f>MONTH(sales[[#This Row],[date]])</f>
        <v>6</v>
      </c>
      <c r="F652" s="233">
        <v>46185</v>
      </c>
      <c r="G652" s="3" t="str">
        <f>VLOOKUP("*"&amp;sales[[#This Row],[Input]]&amp;"*",'Ref-List'!$A:$C,1,0)</f>
        <v>Model-Input-Ref</v>
      </c>
      <c r="H652" s="2" t="str">
        <f>VLOOKUP("*"&amp;G652&amp;"*",'Ref-List'!$A:$C,3,0)</f>
        <v>Product Line</v>
      </c>
      <c r="I652" s="8"/>
      <c r="J652" s="2">
        <v>1</v>
      </c>
      <c r="K652" s="2">
        <v>2250</v>
      </c>
      <c r="L652" s="2">
        <f>sales[[#This Row],[quantity]]*sales[[#This Row],[price]]</f>
        <v>2250</v>
      </c>
      <c r="M652" s="9">
        <f>sales[[#This Row],[Total Price]]*3%</f>
        <v>67.5</v>
      </c>
      <c r="N652" s="171">
        <f>sales[[#This Row],[Total Price]]*2.5%</f>
        <v>56.25</v>
      </c>
      <c r="O652" s="9">
        <f>sales[[#This Row],[Total Price]]*1.5%</f>
        <v>33.75</v>
      </c>
      <c r="Q652" s="2">
        <v>4</v>
      </c>
      <c r="R652" s="5" t="str">
        <f>_xlfn.CONCAT(sales[[#This Row],[Shop]]," ",sales[[#This Row],[Location]])</f>
        <v>Tuen Mun Broadway</v>
      </c>
    </row>
    <row r="653" spans="1:18" ht="16.5" customHeight="1">
      <c r="A653" s="7">
        <v>651</v>
      </c>
      <c r="B653" s="2" t="s">
        <v>1022</v>
      </c>
      <c r="C653" s="2" t="s">
        <v>1023</v>
      </c>
      <c r="D653" s="2" t="str">
        <f ca="1">OFFSET(Roster!$B$7, MATCH(B653&amp;" "&amp;C653&amp;"*",Roster!$B$8:$B$20,0),DAY(sales[[#This Row],[date]]),1, 1)</f>
        <v>May M</v>
      </c>
      <c r="E653" s="2">
        <f>MONTH(sales[[#This Row],[date]])</f>
        <v>6</v>
      </c>
      <c r="F653" s="233">
        <v>46185</v>
      </c>
      <c r="G653" s="3" t="str">
        <f>VLOOKUP("*"&amp;sales[[#This Row],[Input]]&amp;"*",'Ref-List'!$A:$C,1,0)</f>
        <v>Model-Input-Ref</v>
      </c>
      <c r="H653" s="2" t="str">
        <f>VLOOKUP("*"&amp;G653&amp;"*",'Ref-List'!$A:$C,3,0)</f>
        <v>Product Line</v>
      </c>
      <c r="I653" s="8"/>
      <c r="J653" s="2">
        <v>1</v>
      </c>
      <c r="K653" s="2">
        <v>598</v>
      </c>
      <c r="L653" s="2">
        <f>sales[[#This Row],[quantity]]*sales[[#This Row],[price]]</f>
        <v>598</v>
      </c>
      <c r="M653" s="9">
        <f>sales[[#This Row],[Total Price]]*3%</f>
        <v>17.939999999999998</v>
      </c>
      <c r="N653" s="171">
        <f>sales[[#This Row],[Total Price]]*2.5%</f>
        <v>14.950000000000001</v>
      </c>
      <c r="O653" s="9">
        <f>sales[[#This Row],[Total Price]]*1.5%</f>
        <v>8.9699999999999989</v>
      </c>
      <c r="Q653" s="2">
        <v>4</v>
      </c>
      <c r="R653" s="5" t="str">
        <f>_xlfn.CONCAT(sales[[#This Row],[Shop]]," ",sales[[#This Row],[Location]])</f>
        <v>Tuen Mun Broadway</v>
      </c>
    </row>
    <row r="654" spans="1:18" ht="16.5" customHeight="1">
      <c r="A654" s="7">
        <v>652</v>
      </c>
      <c r="B654" s="2" t="s">
        <v>1022</v>
      </c>
      <c r="C654" s="2" t="s">
        <v>1023</v>
      </c>
      <c r="D654" s="2" t="str">
        <f ca="1">OFFSET(Roster!$B$7, MATCH(B654&amp;" "&amp;C654&amp;"*",Roster!$B$8:$B$20,0),DAY(sales[[#This Row],[date]]),1, 1)</f>
        <v>May M</v>
      </c>
      <c r="E654" s="2">
        <f>MONTH(sales[[#This Row],[date]])</f>
        <v>6</v>
      </c>
      <c r="F654" s="233">
        <v>46185</v>
      </c>
      <c r="G654" s="3" t="str">
        <f>VLOOKUP("*"&amp;sales[[#This Row],[Input]]&amp;"*",'Ref-List'!$A:$C,1,0)</f>
        <v>Model-Input-Ref</v>
      </c>
      <c r="H654" s="2" t="str">
        <f>VLOOKUP("*"&amp;G654&amp;"*",'Ref-List'!$A:$C,3,0)</f>
        <v>Product Line</v>
      </c>
      <c r="I654" s="8"/>
      <c r="J654" s="2">
        <v>1</v>
      </c>
      <c r="K654" s="5">
        <v>4280</v>
      </c>
      <c r="L654" s="2">
        <f>sales[[#This Row],[quantity]]*sales[[#This Row],[price]]</f>
        <v>4280</v>
      </c>
      <c r="M654" s="9">
        <f>sales[[#This Row],[Total Price]]*3%</f>
        <v>128.4</v>
      </c>
      <c r="N654" s="171">
        <f>sales[[#This Row],[Total Price]]*2.5%</f>
        <v>107</v>
      </c>
      <c r="O654" s="9">
        <f>sales[[#This Row],[Total Price]]*1.5%</f>
        <v>64.2</v>
      </c>
      <c r="Q654" s="2">
        <v>4</v>
      </c>
      <c r="R654" s="5" t="str">
        <f>_xlfn.CONCAT(sales[[#This Row],[Shop]]," ",sales[[#This Row],[Location]])</f>
        <v>Tuen Mun Broadway</v>
      </c>
    </row>
    <row r="655" spans="1:18" ht="16.5" customHeight="1">
      <c r="A655" s="7">
        <v>653</v>
      </c>
      <c r="B655" s="2" t="s">
        <v>1022</v>
      </c>
      <c r="C655" s="2" t="s">
        <v>1023</v>
      </c>
      <c r="D655" s="2" t="str">
        <f ca="1">OFFSET(Roster!$B$7, MATCH(B655&amp;" "&amp;C655&amp;"*",Roster!$B$8:$B$20,0),DAY(sales[[#This Row],[date]]),1, 1)</f>
        <v>May M</v>
      </c>
      <c r="E655" s="2">
        <f>MONTH(sales[[#This Row],[date]])</f>
        <v>6</v>
      </c>
      <c r="F655" s="233">
        <v>46186</v>
      </c>
      <c r="G655" s="3" t="str">
        <f>VLOOKUP("*"&amp;sales[[#This Row],[Input]]&amp;"*",'Ref-List'!$A:$C,1,0)</f>
        <v>Model-Input-Ref</v>
      </c>
      <c r="H655" s="2" t="str">
        <f>VLOOKUP("*"&amp;G655&amp;"*",'Ref-List'!$A:$C,3,0)</f>
        <v>Product Line</v>
      </c>
      <c r="I655" s="8"/>
      <c r="J655" s="2">
        <v>1</v>
      </c>
      <c r="K655" s="2">
        <v>620</v>
      </c>
      <c r="L655" s="2">
        <f>sales[[#This Row],[quantity]]*sales[[#This Row],[price]]</f>
        <v>620</v>
      </c>
      <c r="M655" s="9">
        <f>sales[[#This Row],[Total Price]]*3%</f>
        <v>18.599999999999998</v>
      </c>
      <c r="N655" s="171">
        <f>sales[[#This Row],[Total Price]]*2.5%</f>
        <v>15.5</v>
      </c>
      <c r="O655" s="9">
        <f>sales[[#This Row],[Total Price]]*1.5%</f>
        <v>9.2999999999999989</v>
      </c>
      <c r="Q655" s="2">
        <v>4</v>
      </c>
      <c r="R655" s="5" t="str">
        <f>_xlfn.CONCAT(sales[[#This Row],[Shop]]," ",sales[[#This Row],[Location]])</f>
        <v>Tuen Mun Broadway</v>
      </c>
    </row>
    <row r="656" spans="1:18" ht="16.5" customHeight="1">
      <c r="A656" s="7">
        <v>654</v>
      </c>
      <c r="B656" s="2" t="s">
        <v>1022</v>
      </c>
      <c r="C656" s="2" t="s">
        <v>1023</v>
      </c>
      <c r="D656" s="2" t="str">
        <f ca="1">OFFSET(Roster!$B$7, MATCH(B656&amp;" "&amp;C656&amp;"*",Roster!$B$8:$B$20,0),DAY(sales[[#This Row],[date]]),1, 1)</f>
        <v>May M</v>
      </c>
      <c r="E656" s="2">
        <f>MONTH(sales[[#This Row],[date]])</f>
        <v>6</v>
      </c>
      <c r="F656" s="233">
        <v>46186</v>
      </c>
      <c r="G656" s="3" t="str">
        <f>VLOOKUP("*"&amp;sales[[#This Row],[Input]]&amp;"*",'Ref-List'!$A:$C,1,0)</f>
        <v>Model-Input-Ref</v>
      </c>
      <c r="H656" s="2" t="str">
        <f>VLOOKUP("*"&amp;G656&amp;"*",'Ref-List'!$A:$C,3,0)</f>
        <v>Product Line</v>
      </c>
      <c r="I656" s="8"/>
      <c r="J656" s="2">
        <v>1</v>
      </c>
      <c r="K656" s="2">
        <v>328</v>
      </c>
      <c r="L656" s="2">
        <f>sales[[#This Row],[quantity]]*sales[[#This Row],[price]]</f>
        <v>328</v>
      </c>
      <c r="M656" s="9">
        <f>sales[[#This Row],[Total Price]]*3%</f>
        <v>9.84</v>
      </c>
      <c r="N656" s="171">
        <f>sales[[#This Row],[Total Price]]*2.5%</f>
        <v>8.2000000000000011</v>
      </c>
      <c r="O656" s="9">
        <f>sales[[#This Row],[Total Price]]*1.5%</f>
        <v>4.92</v>
      </c>
      <c r="Q656" s="2">
        <v>4</v>
      </c>
      <c r="R656" s="5" t="str">
        <f>_xlfn.CONCAT(sales[[#This Row],[Shop]]," ",sales[[#This Row],[Location]])</f>
        <v>Tuen Mun Broadway</v>
      </c>
    </row>
    <row r="657" spans="1:18" ht="16.5" customHeight="1">
      <c r="A657" s="7">
        <v>655</v>
      </c>
      <c r="B657" s="2" t="s">
        <v>1022</v>
      </c>
      <c r="C657" s="2" t="s">
        <v>1023</v>
      </c>
      <c r="D657" s="2" t="str">
        <f ca="1">OFFSET(Roster!$B$7, MATCH(B657&amp;" "&amp;C657&amp;"*",Roster!$B$8:$B$20,0),DAY(sales[[#This Row],[date]]),1, 1)</f>
        <v>May M</v>
      </c>
      <c r="E657" s="2">
        <f>MONTH(sales[[#This Row],[date]])</f>
        <v>6</v>
      </c>
      <c r="F657" s="233">
        <v>46186</v>
      </c>
      <c r="G657" s="3" t="str">
        <f>VLOOKUP("*"&amp;sales[[#This Row],[Input]]&amp;"*",'Ref-List'!$A:$C,1,0)</f>
        <v>Model-Input-Ref</v>
      </c>
      <c r="H657" s="2" t="str">
        <f>VLOOKUP("*"&amp;G657&amp;"*",'Ref-List'!$A:$C,3,0)</f>
        <v>Product Line</v>
      </c>
      <c r="I657" s="8"/>
      <c r="J657" s="2">
        <v>1</v>
      </c>
      <c r="K657" s="2">
        <v>2988</v>
      </c>
      <c r="L657" s="2">
        <f>sales[[#This Row],[quantity]]*sales[[#This Row],[price]]</f>
        <v>2988</v>
      </c>
      <c r="M657" s="9">
        <f>sales[[#This Row],[Total Price]]*3%</f>
        <v>89.64</v>
      </c>
      <c r="N657" s="171">
        <f>sales[[#This Row],[Total Price]]*2.5%</f>
        <v>74.7</v>
      </c>
      <c r="O657" s="9">
        <f>sales[[#This Row],[Total Price]]*1.5%</f>
        <v>44.82</v>
      </c>
      <c r="Q657" s="2">
        <v>4</v>
      </c>
      <c r="R657" s="5" t="str">
        <f>_xlfn.CONCAT(sales[[#This Row],[Shop]]," ",sales[[#This Row],[Location]])</f>
        <v>Tuen Mun Broadway</v>
      </c>
    </row>
    <row r="658" spans="1:18" ht="16.5" customHeight="1">
      <c r="A658" s="7">
        <v>656</v>
      </c>
      <c r="B658" s="2" t="s">
        <v>1022</v>
      </c>
      <c r="C658" s="2" t="s">
        <v>1023</v>
      </c>
      <c r="D658" s="2" t="str">
        <f ca="1">OFFSET(Roster!$B$7, MATCH(B658&amp;" "&amp;C658&amp;"*",Roster!$B$8:$B$20,0),DAY(sales[[#This Row],[date]]),1, 1)</f>
        <v>May M</v>
      </c>
      <c r="E658" s="2">
        <f>MONTH(sales[[#This Row],[date]])</f>
        <v>6</v>
      </c>
      <c r="F658" s="233">
        <v>46186</v>
      </c>
      <c r="G658" s="3" t="str">
        <f>VLOOKUP("*"&amp;sales[[#This Row],[Input]]&amp;"*",'Ref-List'!$A:$C,1,0)</f>
        <v>Model-Input-Ref</v>
      </c>
      <c r="H658" s="2" t="str">
        <f>VLOOKUP("*"&amp;G658&amp;"*",'Ref-List'!$A:$C,3,0)</f>
        <v>Product Line</v>
      </c>
      <c r="I658" s="8"/>
      <c r="J658" s="2">
        <v>1</v>
      </c>
      <c r="K658" s="2">
        <v>598</v>
      </c>
      <c r="L658" s="2">
        <f>sales[[#This Row],[quantity]]*sales[[#This Row],[price]]</f>
        <v>598</v>
      </c>
      <c r="M658" s="9">
        <f>sales[[#This Row],[Total Price]]*3%</f>
        <v>17.939999999999998</v>
      </c>
      <c r="N658" s="171">
        <f>sales[[#This Row],[Total Price]]*2.5%</f>
        <v>14.950000000000001</v>
      </c>
      <c r="O658" s="9">
        <f>sales[[#This Row],[Total Price]]*1.5%</f>
        <v>8.9699999999999989</v>
      </c>
      <c r="Q658" s="2">
        <v>4</v>
      </c>
      <c r="R658" s="5" t="str">
        <f>_xlfn.CONCAT(sales[[#This Row],[Shop]]," ",sales[[#This Row],[Location]])</f>
        <v>Tuen Mun Broadway</v>
      </c>
    </row>
    <row r="659" spans="1:18" ht="16.5" customHeight="1">
      <c r="A659" s="7">
        <v>657</v>
      </c>
      <c r="B659" s="2" t="s">
        <v>1022</v>
      </c>
      <c r="C659" s="2" t="s">
        <v>1023</v>
      </c>
      <c r="D659" s="2" t="str">
        <f ca="1">OFFSET(Roster!$B$7, MATCH(B659&amp;" "&amp;C659&amp;"*",Roster!$B$8:$B$20,0),DAY(sales[[#This Row],[date]]),1, 1)</f>
        <v>May M</v>
      </c>
      <c r="E659" s="2">
        <f>MONTH(sales[[#This Row],[date]])</f>
        <v>6</v>
      </c>
      <c r="F659" s="233">
        <v>46187</v>
      </c>
      <c r="G659" s="3" t="str">
        <f>VLOOKUP("*"&amp;sales[[#This Row],[Input]]&amp;"*",'Ref-List'!$A:$C,1,0)</f>
        <v>Model-Input-Ref</v>
      </c>
      <c r="H659" s="2" t="str">
        <f>VLOOKUP("*"&amp;G659&amp;"*",'Ref-List'!$A:$C,3,0)</f>
        <v>Product Line</v>
      </c>
      <c r="I659" s="8"/>
      <c r="J659" s="2">
        <v>1</v>
      </c>
      <c r="K659" s="5">
        <v>2250</v>
      </c>
      <c r="L659" s="2">
        <f>sales[[#This Row],[quantity]]*sales[[#This Row],[price]]</f>
        <v>2250</v>
      </c>
      <c r="M659" s="9">
        <f>sales[[#This Row],[Total Price]]*3%</f>
        <v>67.5</v>
      </c>
      <c r="N659" s="171">
        <f>sales[[#This Row],[Total Price]]*2.5%</f>
        <v>56.25</v>
      </c>
      <c r="O659" s="9">
        <f>sales[[#This Row],[Total Price]]*1.5%</f>
        <v>33.75</v>
      </c>
      <c r="Q659" s="2">
        <v>4</v>
      </c>
      <c r="R659" s="5" t="str">
        <f>_xlfn.CONCAT(sales[[#This Row],[Shop]]," ",sales[[#This Row],[Location]])</f>
        <v>Tuen Mun Broadway</v>
      </c>
    </row>
    <row r="660" spans="1:18" ht="16.5" customHeight="1">
      <c r="A660" s="7">
        <v>658</v>
      </c>
      <c r="B660" s="2" t="s">
        <v>1022</v>
      </c>
      <c r="C660" s="2" t="s">
        <v>1023</v>
      </c>
      <c r="D660" s="2" t="str">
        <f ca="1">OFFSET(Roster!$B$7, MATCH(B660&amp;" "&amp;C660&amp;"*",Roster!$B$8:$B$20,0),DAY(sales[[#This Row],[date]]),1, 1)</f>
        <v>May M</v>
      </c>
      <c r="E660" s="2">
        <f>MONTH(sales[[#This Row],[date]])</f>
        <v>6</v>
      </c>
      <c r="F660" s="233">
        <v>46187</v>
      </c>
      <c r="G660" s="3" t="str">
        <f>VLOOKUP("*"&amp;sales[[#This Row],[Input]]&amp;"*",'Ref-List'!$A:$C,1,0)</f>
        <v>Model-Input-Ref</v>
      </c>
      <c r="H660" s="2" t="str">
        <f>VLOOKUP("*"&amp;G660&amp;"*",'Ref-List'!$A:$C,3,0)</f>
        <v>Product Line</v>
      </c>
      <c r="I660" s="8"/>
      <c r="J660" s="2">
        <v>1</v>
      </c>
      <c r="K660" s="2">
        <v>2250</v>
      </c>
      <c r="L660" s="2">
        <f>sales[[#This Row],[quantity]]*sales[[#This Row],[price]]</f>
        <v>2250</v>
      </c>
      <c r="M660" s="9">
        <f>sales[[#This Row],[Total Price]]*3%</f>
        <v>67.5</v>
      </c>
      <c r="N660" s="171">
        <f>sales[[#This Row],[Total Price]]*2.5%</f>
        <v>56.25</v>
      </c>
      <c r="O660" s="9">
        <f>sales[[#This Row],[Total Price]]*1.5%</f>
        <v>33.75</v>
      </c>
      <c r="Q660" s="2">
        <v>4</v>
      </c>
      <c r="R660" s="5" t="str">
        <f>_xlfn.CONCAT(sales[[#This Row],[Shop]]," ",sales[[#This Row],[Location]])</f>
        <v>Tuen Mun Broadway</v>
      </c>
    </row>
    <row r="661" spans="1:18" ht="16.5" customHeight="1">
      <c r="A661" s="7">
        <v>659</v>
      </c>
      <c r="B661" s="2" t="s">
        <v>1022</v>
      </c>
      <c r="C661" s="2" t="s">
        <v>1023</v>
      </c>
      <c r="D661" s="2" t="str">
        <f ca="1">OFFSET(Roster!$B$7, MATCH(B661&amp;" "&amp;C661&amp;"*",Roster!$B$8:$B$20,0),DAY(sales[[#This Row],[date]]),1, 1)</f>
        <v>May M</v>
      </c>
      <c r="E661" s="2">
        <f>MONTH(sales[[#This Row],[date]])</f>
        <v>6</v>
      </c>
      <c r="F661" s="233">
        <v>46187</v>
      </c>
      <c r="G661" s="3" t="str">
        <f>VLOOKUP("*"&amp;sales[[#This Row],[Input]]&amp;"*",'Ref-List'!$A:$C,1,0)</f>
        <v>Model-Input-Ref</v>
      </c>
      <c r="H661" s="2" t="str">
        <f>VLOOKUP("*"&amp;G661&amp;"*",'Ref-List'!$A:$C,3,0)</f>
        <v>Product Line</v>
      </c>
      <c r="J661" s="2">
        <v>1</v>
      </c>
      <c r="K661" s="2">
        <v>2250</v>
      </c>
      <c r="L661" s="2">
        <f>sales[[#This Row],[quantity]]*sales[[#This Row],[price]]</f>
        <v>2250</v>
      </c>
      <c r="M661" s="9">
        <f>sales[[#This Row],[Total Price]]*3%</f>
        <v>67.5</v>
      </c>
      <c r="N661" s="171">
        <f>sales[[#This Row],[Total Price]]*2.5%</f>
        <v>56.25</v>
      </c>
      <c r="O661" s="9">
        <f>sales[[#This Row],[Total Price]]*1.5%</f>
        <v>33.75</v>
      </c>
      <c r="Q661" s="2">
        <v>4</v>
      </c>
      <c r="R661" s="5" t="str">
        <f>_xlfn.CONCAT(sales[[#This Row],[Shop]]," ",sales[[#This Row],[Location]])</f>
        <v>Tuen Mun Broadway</v>
      </c>
    </row>
    <row r="662" spans="1:18" ht="16.5" customHeight="1">
      <c r="A662" s="7">
        <v>660</v>
      </c>
      <c r="B662" s="2" t="s">
        <v>1022</v>
      </c>
      <c r="C662" s="2" t="s">
        <v>1023</v>
      </c>
      <c r="D662" s="2" t="str">
        <f ca="1">OFFSET(Roster!$B$7, MATCH(B662&amp;" "&amp;C662&amp;"*",Roster!$B$8:$B$20,0),DAY(sales[[#This Row],[date]]),1, 1)</f>
        <v>May M</v>
      </c>
      <c r="E662" s="2">
        <f>MONTH(sales[[#This Row],[date]])</f>
        <v>6</v>
      </c>
      <c r="F662" s="233">
        <v>46187</v>
      </c>
      <c r="G662" s="3" t="str">
        <f>VLOOKUP("*"&amp;sales[[#This Row],[Input]]&amp;"*",'Ref-List'!$A:$C,1,0)</f>
        <v>Model-Input-Ref</v>
      </c>
      <c r="H662" s="2" t="str">
        <f>VLOOKUP("*"&amp;G662&amp;"*",'Ref-List'!$A:$C,3,0)</f>
        <v>Product Line</v>
      </c>
      <c r="J662" s="2">
        <v>1</v>
      </c>
      <c r="K662" s="2">
        <v>620</v>
      </c>
      <c r="L662" s="2">
        <f>sales[[#This Row],[quantity]]*sales[[#This Row],[price]]</f>
        <v>620</v>
      </c>
      <c r="M662" s="9">
        <f>sales[[#This Row],[Total Price]]*3%</f>
        <v>18.599999999999998</v>
      </c>
      <c r="N662" s="171">
        <f>sales[[#This Row],[Total Price]]*2.5%</f>
        <v>15.5</v>
      </c>
      <c r="O662" s="9">
        <f>sales[[#This Row],[Total Price]]*1.5%</f>
        <v>9.2999999999999989</v>
      </c>
      <c r="Q662" s="2">
        <v>4</v>
      </c>
      <c r="R662" s="5" t="str">
        <f>_xlfn.CONCAT(sales[[#This Row],[Shop]]," ",sales[[#This Row],[Location]])</f>
        <v>Tuen Mun Broadway</v>
      </c>
    </row>
    <row r="663" spans="1:18" ht="16.5" customHeight="1">
      <c r="A663" s="7">
        <v>661</v>
      </c>
      <c r="B663" s="2" t="s">
        <v>1022</v>
      </c>
      <c r="C663" s="2" t="s">
        <v>1023</v>
      </c>
      <c r="D663" s="2" t="str">
        <f ca="1">OFFSET(Roster!$B$7, MATCH(B663&amp;" "&amp;C663&amp;"*",Roster!$B$8:$B$20,0),DAY(sales[[#This Row],[date]]),1, 1)</f>
        <v>May M</v>
      </c>
      <c r="E663" s="2">
        <f>MONTH(sales[[#This Row],[date]])</f>
        <v>6</v>
      </c>
      <c r="F663" s="233">
        <v>46187</v>
      </c>
      <c r="G663" s="3" t="str">
        <f>VLOOKUP("*"&amp;sales[[#This Row],[Input]]&amp;"*",'Ref-List'!$A:$C,1,0)</f>
        <v>Model-Input-Ref</v>
      </c>
      <c r="H663" s="2" t="str">
        <f>VLOOKUP("*"&amp;G663&amp;"*",'Ref-List'!$A:$C,3,0)</f>
        <v>Product Line</v>
      </c>
      <c r="J663" s="2">
        <v>1</v>
      </c>
      <c r="K663" s="2">
        <v>620</v>
      </c>
      <c r="L663" s="2">
        <f>sales[[#This Row],[quantity]]*sales[[#This Row],[price]]</f>
        <v>620</v>
      </c>
      <c r="M663" s="9">
        <f>sales[[#This Row],[Total Price]]*3%</f>
        <v>18.599999999999998</v>
      </c>
      <c r="N663" s="171">
        <f>sales[[#This Row],[Total Price]]*2.5%</f>
        <v>15.5</v>
      </c>
      <c r="O663" s="9">
        <f>sales[[#This Row],[Total Price]]*1.5%</f>
        <v>9.2999999999999989</v>
      </c>
      <c r="Q663" s="2">
        <v>4</v>
      </c>
      <c r="R663" s="5" t="str">
        <f>_xlfn.CONCAT(sales[[#This Row],[Shop]]," ",sales[[#This Row],[Location]])</f>
        <v>Tuen Mun Broadway</v>
      </c>
    </row>
    <row r="664" spans="1:18" ht="16.5" customHeight="1">
      <c r="A664" s="7">
        <v>662</v>
      </c>
      <c r="B664" s="2" t="s">
        <v>1022</v>
      </c>
      <c r="C664" s="2" t="s">
        <v>1023</v>
      </c>
      <c r="D664" s="2" t="str">
        <f ca="1">OFFSET(Roster!$B$7, MATCH(B664&amp;" "&amp;C664&amp;"*",Roster!$B$8:$B$20,0),DAY(sales[[#This Row],[date]]),1, 1)</f>
        <v>May M</v>
      </c>
      <c r="E664" s="2">
        <f>MONTH(sales[[#This Row],[date]])</f>
        <v>6</v>
      </c>
      <c r="F664" s="233">
        <v>46187</v>
      </c>
      <c r="G664" s="3" t="str">
        <f>VLOOKUP("*"&amp;sales[[#This Row],[Input]]&amp;"*",'Ref-List'!$A:$C,1,0)</f>
        <v>Model-Input-Ref</v>
      </c>
      <c r="H664" s="2" t="str">
        <f>VLOOKUP("*"&amp;G664&amp;"*",'Ref-List'!$A:$C,3,0)</f>
        <v>Product Line</v>
      </c>
      <c r="J664" s="2">
        <v>1</v>
      </c>
      <c r="K664" s="2">
        <v>620</v>
      </c>
      <c r="L664" s="2">
        <f>sales[[#This Row],[quantity]]*sales[[#This Row],[price]]</f>
        <v>620</v>
      </c>
      <c r="M664" s="9">
        <f>sales[[#This Row],[Total Price]]*3%</f>
        <v>18.599999999999998</v>
      </c>
      <c r="N664" s="171">
        <f>sales[[#This Row],[Total Price]]*2.5%</f>
        <v>15.5</v>
      </c>
      <c r="O664" s="9">
        <f>sales[[#This Row],[Total Price]]*1.5%</f>
        <v>9.2999999999999989</v>
      </c>
      <c r="Q664" s="2">
        <v>4</v>
      </c>
      <c r="R664" s="5" t="str">
        <f>_xlfn.CONCAT(sales[[#This Row],[Shop]]," ",sales[[#This Row],[Location]])</f>
        <v>Tuen Mun Broadway</v>
      </c>
    </row>
    <row r="665" spans="1:18" ht="16.5" customHeight="1">
      <c r="A665" s="7">
        <v>663</v>
      </c>
      <c r="B665" s="2" t="s">
        <v>1022</v>
      </c>
      <c r="C665" s="2" t="s">
        <v>1023</v>
      </c>
      <c r="D665" s="2" t="str">
        <f ca="1">OFFSET(Roster!$B$7, MATCH(B665&amp;" "&amp;C665&amp;"*",Roster!$B$8:$B$20,0),DAY(sales[[#This Row],[date]]),1, 1)</f>
        <v>May M</v>
      </c>
      <c r="E665" s="2">
        <f>MONTH(sales[[#This Row],[date]])</f>
        <v>6</v>
      </c>
      <c r="F665" s="233">
        <v>46187</v>
      </c>
      <c r="G665" s="3" t="str">
        <f>VLOOKUP("*"&amp;sales[[#This Row],[Input]]&amp;"*",'Ref-List'!$A:$C,1,0)</f>
        <v>Model-Input-Ref</v>
      </c>
      <c r="H665" s="2" t="str">
        <f>VLOOKUP("*"&amp;G665&amp;"*",'Ref-List'!$A:$C,3,0)</f>
        <v>Product Line</v>
      </c>
      <c r="J665" s="2">
        <v>1</v>
      </c>
      <c r="K665" s="2">
        <v>160</v>
      </c>
      <c r="L665" s="2">
        <f>sales[[#This Row],[quantity]]*sales[[#This Row],[price]]</f>
        <v>160</v>
      </c>
      <c r="M665" s="9">
        <f>sales[[#This Row],[Total Price]]*3%</f>
        <v>4.8</v>
      </c>
      <c r="N665" s="171">
        <f>sales[[#This Row],[Total Price]]*2.5%</f>
        <v>4</v>
      </c>
      <c r="O665" s="9">
        <f>sales[[#This Row],[Total Price]]*1.5%</f>
        <v>2.4</v>
      </c>
      <c r="Q665" s="2">
        <v>4</v>
      </c>
      <c r="R665" s="5" t="str">
        <f>_xlfn.CONCAT(sales[[#This Row],[Shop]]," ",sales[[#This Row],[Location]])</f>
        <v>Tuen Mun Broadway</v>
      </c>
    </row>
    <row r="666" spans="1:18" ht="16.5" customHeight="1">
      <c r="A666" s="7">
        <v>664</v>
      </c>
      <c r="B666" s="2" t="s">
        <v>1022</v>
      </c>
      <c r="C666" s="2" t="s">
        <v>1023</v>
      </c>
      <c r="D666" s="2" t="str">
        <f ca="1">OFFSET(Roster!$B$7, MATCH(B666&amp;" "&amp;C666&amp;"*",Roster!$B$8:$B$20,0),DAY(sales[[#This Row],[date]]),1, 1)</f>
        <v>May M</v>
      </c>
      <c r="E666" s="2">
        <f>MONTH(sales[[#This Row],[date]])</f>
        <v>6</v>
      </c>
      <c r="F666" s="233">
        <v>46187</v>
      </c>
      <c r="G666" s="3" t="str">
        <f>VLOOKUP("*"&amp;sales[[#This Row],[Input]]&amp;"*",'Ref-List'!$A:$C,1,0)</f>
        <v>Model-Input-Ref</v>
      </c>
      <c r="H666" s="2" t="str">
        <f>VLOOKUP("*"&amp;G666&amp;"*",'Ref-List'!$A:$C,3,0)</f>
        <v>Product Line</v>
      </c>
      <c r="J666" s="2">
        <v>1</v>
      </c>
      <c r="K666" s="2">
        <v>160</v>
      </c>
      <c r="L666" s="2">
        <f>sales[[#This Row],[quantity]]*sales[[#This Row],[price]]</f>
        <v>160</v>
      </c>
      <c r="M666" s="9">
        <f>sales[[#This Row],[Total Price]]*3%</f>
        <v>4.8</v>
      </c>
      <c r="N666" s="171">
        <f>sales[[#This Row],[Total Price]]*2.5%</f>
        <v>4</v>
      </c>
      <c r="O666" s="9">
        <f>sales[[#This Row],[Total Price]]*1.5%</f>
        <v>2.4</v>
      </c>
      <c r="Q666" s="2">
        <v>4</v>
      </c>
      <c r="R666" s="5" t="str">
        <f>_xlfn.CONCAT(sales[[#This Row],[Shop]]," ",sales[[#This Row],[Location]])</f>
        <v>Tuen Mun Broadway</v>
      </c>
    </row>
    <row r="667" spans="1:18" ht="16.5" customHeight="1">
      <c r="A667" s="7">
        <v>665</v>
      </c>
      <c r="B667" s="2" t="s">
        <v>1022</v>
      </c>
      <c r="C667" s="2" t="s">
        <v>1023</v>
      </c>
      <c r="D667" s="2" t="str">
        <f ca="1">OFFSET(Roster!$B$7, MATCH(B667&amp;" "&amp;C667&amp;"*",Roster!$B$8:$B$20,0),DAY(sales[[#This Row],[date]]),1, 1)</f>
        <v>May M</v>
      </c>
      <c r="E667" s="2">
        <f>MONTH(sales[[#This Row],[date]])</f>
        <v>6</v>
      </c>
      <c r="F667" s="233">
        <v>46187</v>
      </c>
      <c r="G667" s="3" t="str">
        <f>VLOOKUP("*"&amp;sales[[#This Row],[Input]]&amp;"*",'Ref-List'!$A:$C,1,0)</f>
        <v>Model-Input-Ref</v>
      </c>
      <c r="H667" s="2" t="str">
        <f>VLOOKUP("*"&amp;G667&amp;"*",'Ref-List'!$A:$C,3,0)</f>
        <v>Product Line</v>
      </c>
      <c r="J667" s="2">
        <v>1</v>
      </c>
      <c r="K667" s="2">
        <v>1330</v>
      </c>
      <c r="L667" s="2">
        <f>sales[[#This Row],[quantity]]*sales[[#This Row],[price]]</f>
        <v>1330</v>
      </c>
      <c r="M667" s="9">
        <f>sales[[#This Row],[Total Price]]*3%</f>
        <v>39.9</v>
      </c>
      <c r="N667" s="171">
        <f>sales[[#This Row],[Total Price]]*2.5%</f>
        <v>33.25</v>
      </c>
      <c r="O667" s="9">
        <f>sales[[#This Row],[Total Price]]*1.5%</f>
        <v>19.95</v>
      </c>
      <c r="Q667" s="2">
        <v>4</v>
      </c>
      <c r="R667" s="5" t="str">
        <f>_xlfn.CONCAT(sales[[#This Row],[Shop]]," ",sales[[#This Row],[Location]])</f>
        <v>Tuen Mun Broadway</v>
      </c>
    </row>
    <row r="668" spans="1:18" ht="16.5" customHeight="1">
      <c r="A668" s="7">
        <v>666</v>
      </c>
      <c r="B668" s="2" t="s">
        <v>1022</v>
      </c>
      <c r="C668" s="2" t="s">
        <v>1023</v>
      </c>
      <c r="D668" s="2" t="str">
        <f ca="1">OFFSET(Roster!$B$7, MATCH(B668&amp;" "&amp;C668&amp;"*",Roster!$B$8:$B$20,0),DAY(sales[[#This Row],[date]]),1, 1)</f>
        <v>May M</v>
      </c>
      <c r="E668" s="2">
        <f>MONTH(sales[[#This Row],[date]])</f>
        <v>6</v>
      </c>
      <c r="F668" s="233">
        <v>46187</v>
      </c>
      <c r="G668" s="3" t="str">
        <f>VLOOKUP("*"&amp;sales[[#This Row],[Input]]&amp;"*",'Ref-List'!$A:$C,1,0)</f>
        <v>Model-Input-Ref</v>
      </c>
      <c r="H668" s="2" t="str">
        <f>VLOOKUP("*"&amp;G668&amp;"*",'Ref-List'!$A:$C,3,0)</f>
        <v>Product Line</v>
      </c>
      <c r="J668" s="2">
        <v>1</v>
      </c>
      <c r="K668" s="2">
        <v>1330</v>
      </c>
      <c r="L668" s="2">
        <f>sales[[#This Row],[quantity]]*sales[[#This Row],[price]]</f>
        <v>1330</v>
      </c>
      <c r="M668" s="9">
        <f>sales[[#This Row],[Total Price]]*3%</f>
        <v>39.9</v>
      </c>
      <c r="N668" s="171">
        <f>sales[[#This Row],[Total Price]]*2.5%</f>
        <v>33.25</v>
      </c>
      <c r="O668" s="9">
        <f>sales[[#This Row],[Total Price]]*1.5%</f>
        <v>19.95</v>
      </c>
      <c r="Q668" s="2">
        <v>4</v>
      </c>
      <c r="R668" s="5" t="str">
        <f>_xlfn.CONCAT(sales[[#This Row],[Shop]]," ",sales[[#This Row],[Location]])</f>
        <v>Tuen Mun Broadway</v>
      </c>
    </row>
    <row r="669" spans="1:18" ht="15.6" customHeight="1">
      <c r="A669" s="7">
        <v>667</v>
      </c>
      <c r="B669" s="2" t="s">
        <v>1022</v>
      </c>
      <c r="C669" s="2" t="s">
        <v>1023</v>
      </c>
      <c r="D669" s="2" t="str">
        <f ca="1">OFFSET(Roster!$B$7, MATCH(B669&amp;" "&amp;C669&amp;"*",Roster!$B$8:$B$20,0),DAY(sales[[#This Row],[date]]),1, 1)</f>
        <v>May M</v>
      </c>
      <c r="E669" s="2">
        <f>MONTH(sales[[#This Row],[date]])</f>
        <v>6</v>
      </c>
      <c r="F669" s="233">
        <v>46187</v>
      </c>
      <c r="G669" s="3" t="str">
        <f>VLOOKUP("*"&amp;sales[[#This Row],[Input]]&amp;"*",'Ref-List'!$A:$C,1,0)</f>
        <v>Model-Input-Ref</v>
      </c>
      <c r="H669" s="2" t="str">
        <f>VLOOKUP("*"&amp;G669&amp;"*",'Ref-List'!$A:$C,3,0)</f>
        <v>Product Line</v>
      </c>
      <c r="J669" s="2">
        <v>1</v>
      </c>
      <c r="K669" s="2">
        <v>298</v>
      </c>
      <c r="L669" s="2">
        <f>sales[[#This Row],[quantity]]*sales[[#This Row],[price]]</f>
        <v>298</v>
      </c>
      <c r="M669" s="9">
        <f>sales[[#This Row],[Total Price]]*3%</f>
        <v>8.94</v>
      </c>
      <c r="N669" s="171">
        <f>sales[[#This Row],[Total Price]]*2.5%</f>
        <v>7.45</v>
      </c>
      <c r="O669" s="9">
        <f>sales[[#This Row],[Total Price]]*1.5%</f>
        <v>4.47</v>
      </c>
      <c r="Q669" s="2">
        <v>4</v>
      </c>
      <c r="R669" s="5" t="str">
        <f>_xlfn.CONCAT(sales[[#This Row],[Shop]]," ",sales[[#This Row],[Location]])</f>
        <v>Tuen Mun Broadway</v>
      </c>
    </row>
    <row r="670" spans="1:18" ht="15.6" customHeight="1">
      <c r="A670" s="7">
        <v>668</v>
      </c>
      <c r="B670" s="2" t="s">
        <v>1022</v>
      </c>
      <c r="C670" s="2" t="s">
        <v>1023</v>
      </c>
      <c r="D670" s="2" t="str">
        <f ca="1">OFFSET(Roster!$B$7, MATCH(B670&amp;" "&amp;C670&amp;"*",Roster!$B$8:$B$20,0),DAY(sales[[#This Row],[date]]),1, 1)</f>
        <v>May M</v>
      </c>
      <c r="E670" s="2">
        <f>MONTH(sales[[#This Row],[date]])</f>
        <v>6</v>
      </c>
      <c r="F670" s="234">
        <v>46191</v>
      </c>
      <c r="G670" s="3" t="str">
        <f>VLOOKUP("*"&amp;sales[[#This Row],[Input]]&amp;"*",'Ref-List'!$A:$C,1,0)</f>
        <v>Model-Input-Ref</v>
      </c>
      <c r="H670" s="2" t="str">
        <f>VLOOKUP("*"&amp;G670&amp;"*",'Ref-List'!$A:$C,3,0)</f>
        <v>Product Line</v>
      </c>
      <c r="I670" s="8"/>
      <c r="J670" s="2">
        <v>1</v>
      </c>
      <c r="K670" s="2">
        <v>298</v>
      </c>
      <c r="L670" s="2">
        <f>sales[[#This Row],[quantity]]*sales[[#This Row],[price]]</f>
        <v>298</v>
      </c>
      <c r="M670" s="9">
        <f>sales[[#This Row],[Total Price]]*3%</f>
        <v>8.94</v>
      </c>
      <c r="N670" s="171">
        <f>sales[[#This Row],[Total Price]]*2.5%</f>
        <v>7.45</v>
      </c>
      <c r="O670" s="9">
        <f>sales[[#This Row],[Total Price]]*1.5%</f>
        <v>4.47</v>
      </c>
      <c r="Q670" s="2">
        <v>5</v>
      </c>
      <c r="R670" s="5" t="str">
        <f>_xlfn.CONCAT(sales[[#This Row],[Shop]]," ",sales[[#This Row],[Location]])</f>
        <v>Tuen Mun Broadway</v>
      </c>
    </row>
    <row r="671" spans="1:18" ht="15.6" customHeight="1">
      <c r="A671" s="7">
        <v>669</v>
      </c>
      <c r="B671" s="2" t="s">
        <v>1022</v>
      </c>
      <c r="C671" s="2" t="s">
        <v>1023</v>
      </c>
      <c r="D671" s="2" t="str">
        <f ca="1">OFFSET(Roster!$B$7, MATCH(B671&amp;" "&amp;C671&amp;"*",Roster!$B$8:$B$20,0),DAY(sales[[#This Row],[date]]),1, 1)</f>
        <v>May M</v>
      </c>
      <c r="E671" s="2">
        <f>MONTH(sales[[#This Row],[date]])</f>
        <v>6</v>
      </c>
      <c r="F671" s="234">
        <v>46191</v>
      </c>
      <c r="G671" s="3" t="str">
        <f>VLOOKUP("*"&amp;sales[[#This Row],[Input]]&amp;"*",'Ref-List'!$A:$C,1,0)</f>
        <v>Model-Input-Ref</v>
      </c>
      <c r="H671" s="2" t="str">
        <f>VLOOKUP("*"&amp;G671&amp;"*",'Ref-List'!$A:$C,3,0)</f>
        <v>Product Line</v>
      </c>
      <c r="J671" s="2">
        <v>1</v>
      </c>
      <c r="K671" s="2">
        <v>2250</v>
      </c>
      <c r="L671" s="2">
        <f>sales[[#This Row],[quantity]]*sales[[#This Row],[price]]</f>
        <v>2250</v>
      </c>
      <c r="M671" s="9">
        <f>sales[[#This Row],[Total Price]]*3%</f>
        <v>67.5</v>
      </c>
      <c r="N671" s="171">
        <f>sales[[#This Row],[Total Price]]*2.5%</f>
        <v>56.25</v>
      </c>
      <c r="O671" s="9">
        <f>sales[[#This Row],[Total Price]]*1.5%</f>
        <v>33.75</v>
      </c>
      <c r="Q671" s="2">
        <v>5</v>
      </c>
      <c r="R671" s="5" t="str">
        <f>_xlfn.CONCAT(sales[[#This Row],[Shop]]," ",sales[[#This Row],[Location]])</f>
        <v>Tuen Mun Broadway</v>
      </c>
    </row>
    <row r="672" spans="1:18" ht="15.6" customHeight="1">
      <c r="A672" s="7">
        <v>670</v>
      </c>
      <c r="B672" s="2" t="s">
        <v>1022</v>
      </c>
      <c r="C672" s="2" t="s">
        <v>1023</v>
      </c>
      <c r="D672" s="2" t="str">
        <f ca="1">OFFSET(Roster!$B$7, MATCH(B672&amp;" "&amp;C672&amp;"*",Roster!$B$8:$B$20,0),DAY(sales[[#This Row],[date]]),1, 1)</f>
        <v>May M</v>
      </c>
      <c r="E672" s="2">
        <f>MONTH(sales[[#This Row],[date]])</f>
        <v>6</v>
      </c>
      <c r="F672" s="234">
        <v>46191</v>
      </c>
      <c r="G672" s="3" t="str">
        <f>VLOOKUP("*"&amp;sales[[#This Row],[Input]]&amp;"*",'Ref-List'!$A:$C,1,0)</f>
        <v>Model-Input-Ref</v>
      </c>
      <c r="H672" s="2" t="str">
        <f>VLOOKUP("*"&amp;G672&amp;"*",'Ref-List'!$A:$C,3,0)</f>
        <v>Product Line</v>
      </c>
      <c r="J672" s="2">
        <v>1</v>
      </c>
      <c r="K672" s="2">
        <v>398</v>
      </c>
      <c r="L672" s="2">
        <f>sales[[#This Row],[quantity]]*sales[[#This Row],[price]]</f>
        <v>398</v>
      </c>
      <c r="M672" s="9">
        <f>sales[[#This Row],[Total Price]]*3%</f>
        <v>11.94</v>
      </c>
      <c r="N672" s="171">
        <f>sales[[#This Row],[Total Price]]*2.5%</f>
        <v>9.9500000000000011</v>
      </c>
      <c r="O672" s="9">
        <f>sales[[#This Row],[Total Price]]*1.5%</f>
        <v>5.97</v>
      </c>
      <c r="Q672" s="2">
        <v>5</v>
      </c>
      <c r="R672" s="5" t="str">
        <f>_xlfn.CONCAT(sales[[#This Row],[Shop]]," ",sales[[#This Row],[Location]])</f>
        <v>Tuen Mun Broadway</v>
      </c>
    </row>
    <row r="673" spans="1:18" ht="15.6" customHeight="1">
      <c r="A673" s="7">
        <v>671</v>
      </c>
      <c r="B673" s="2" t="s">
        <v>1022</v>
      </c>
      <c r="C673" s="2" t="s">
        <v>1023</v>
      </c>
      <c r="D673" s="2" t="str">
        <f ca="1">OFFSET(Roster!$B$7, MATCH(B673&amp;" "&amp;C673&amp;"*",Roster!$B$8:$B$20,0),DAY(sales[[#This Row],[date]]),1, 1)</f>
        <v>May M</v>
      </c>
      <c r="E673" s="2">
        <f>MONTH(sales[[#This Row],[date]])</f>
        <v>6</v>
      </c>
      <c r="F673" s="234">
        <v>46191</v>
      </c>
      <c r="G673" s="3" t="str">
        <f>VLOOKUP("*"&amp;sales[[#This Row],[Input]]&amp;"*",'Ref-List'!$A:$C,1,0)</f>
        <v>Model-Input-Ref</v>
      </c>
      <c r="H673" s="2" t="str">
        <f>VLOOKUP("*"&amp;G673&amp;"*",'Ref-List'!$A:$C,3,0)</f>
        <v>Product Line</v>
      </c>
      <c r="I673" s="5"/>
      <c r="J673" s="2">
        <v>1</v>
      </c>
      <c r="K673" s="2">
        <v>2250</v>
      </c>
      <c r="L673" s="2">
        <f>sales[[#This Row],[quantity]]*sales[[#This Row],[price]]</f>
        <v>2250</v>
      </c>
      <c r="M673" s="9">
        <f>sales[[#This Row],[Total Price]]*3%</f>
        <v>67.5</v>
      </c>
      <c r="N673" s="171">
        <f>sales[[#This Row],[Total Price]]*2.5%</f>
        <v>56.25</v>
      </c>
      <c r="O673" s="9">
        <f>sales[[#This Row],[Total Price]]*1.5%</f>
        <v>33.75</v>
      </c>
      <c r="Q673" s="2">
        <v>5</v>
      </c>
      <c r="R673" s="5" t="str">
        <f>_xlfn.CONCAT(sales[[#This Row],[Shop]]," ",sales[[#This Row],[Location]])</f>
        <v>Tuen Mun Broadway</v>
      </c>
    </row>
    <row r="674" spans="1:18" ht="15.6" customHeight="1">
      <c r="A674" s="7">
        <v>672</v>
      </c>
      <c r="B674" s="2" t="s">
        <v>1022</v>
      </c>
      <c r="C674" s="2" t="s">
        <v>1023</v>
      </c>
      <c r="D674" s="2" t="str">
        <f ca="1">OFFSET(Roster!$B$7, MATCH(B674&amp;" "&amp;C674&amp;"*",Roster!$B$8:$B$20,0),DAY(sales[[#This Row],[date]]),1, 1)</f>
        <v>May M</v>
      </c>
      <c r="E674" s="2">
        <f>MONTH(sales[[#This Row],[date]])</f>
        <v>6</v>
      </c>
      <c r="F674" s="234">
        <v>46191</v>
      </c>
      <c r="G674" s="3" t="str">
        <f>VLOOKUP("*"&amp;sales[[#This Row],[Input]]&amp;"*",'Ref-List'!$A:$C,1,0)</f>
        <v>Model-Input-Ref</v>
      </c>
      <c r="H674" s="2" t="str">
        <f>VLOOKUP("*"&amp;G674&amp;"*",'Ref-List'!$A:$C,3,0)</f>
        <v>Product Line</v>
      </c>
      <c r="J674" s="2">
        <v>1</v>
      </c>
      <c r="K674" s="2">
        <v>620</v>
      </c>
      <c r="L674" s="2">
        <f>sales[[#This Row],[quantity]]*sales[[#This Row],[price]]</f>
        <v>620</v>
      </c>
      <c r="M674" s="9">
        <f>sales[[#This Row],[Total Price]]*3%</f>
        <v>18.599999999999998</v>
      </c>
      <c r="N674" s="171">
        <f>sales[[#This Row],[Total Price]]*2.5%</f>
        <v>15.5</v>
      </c>
      <c r="O674" s="9">
        <f>sales[[#This Row],[Total Price]]*1.5%</f>
        <v>9.2999999999999989</v>
      </c>
      <c r="Q674" s="2">
        <v>5</v>
      </c>
      <c r="R674" s="5" t="str">
        <f>_xlfn.CONCAT(sales[[#This Row],[Shop]]," ",sales[[#This Row],[Location]])</f>
        <v>Tuen Mun Broadway</v>
      </c>
    </row>
    <row r="675" spans="1:18" ht="15.6" customHeight="1">
      <c r="A675" s="7">
        <v>673</v>
      </c>
      <c r="B675" s="2" t="s">
        <v>1022</v>
      </c>
      <c r="C675" s="2" t="s">
        <v>1023</v>
      </c>
      <c r="D675" s="2" t="str">
        <f ca="1">OFFSET(Roster!$B$7, MATCH(B675&amp;" "&amp;C675&amp;"*",Roster!$B$8:$B$20,0),DAY(sales[[#This Row],[date]]),1, 1)</f>
        <v>May M</v>
      </c>
      <c r="E675" s="2">
        <f>MONTH(sales[[#This Row],[date]])</f>
        <v>6</v>
      </c>
      <c r="F675" s="234">
        <v>46191</v>
      </c>
      <c r="G675" s="3" t="str">
        <f>VLOOKUP("*"&amp;sales[[#This Row],[Input]]&amp;"*",'Ref-List'!$A:$C,1,0)</f>
        <v>Model-Input-Ref</v>
      </c>
      <c r="H675" s="2" t="str">
        <f>VLOOKUP("*"&amp;G675&amp;"*",'Ref-List'!$A:$C,3,0)</f>
        <v>Product Line</v>
      </c>
      <c r="J675" s="2">
        <v>1</v>
      </c>
      <c r="K675" s="2">
        <v>160</v>
      </c>
      <c r="L675" s="2">
        <f>sales[[#This Row],[quantity]]*sales[[#This Row],[price]]</f>
        <v>160</v>
      </c>
      <c r="M675" s="9">
        <f>sales[[#This Row],[Total Price]]*3%</f>
        <v>4.8</v>
      </c>
      <c r="N675" s="171">
        <f>sales[[#This Row],[Total Price]]*2.5%</f>
        <v>4</v>
      </c>
      <c r="O675" s="9">
        <f>sales[[#This Row],[Total Price]]*1.5%</f>
        <v>2.4</v>
      </c>
      <c r="Q675" s="2">
        <v>5</v>
      </c>
      <c r="R675" s="5" t="str">
        <f>_xlfn.CONCAT(sales[[#This Row],[Shop]]," ",sales[[#This Row],[Location]])</f>
        <v>Tuen Mun Broadway</v>
      </c>
    </row>
    <row r="676" spans="1:18" ht="15.6" customHeight="1">
      <c r="A676" s="7">
        <v>674</v>
      </c>
      <c r="B676" s="2" t="s">
        <v>1022</v>
      </c>
      <c r="C676" s="2" t="s">
        <v>1023</v>
      </c>
      <c r="D676" s="2" t="str">
        <f ca="1">OFFSET(Roster!$B$7, MATCH(B676&amp;" "&amp;C676&amp;"*",Roster!$B$8:$B$20,0),DAY(sales[[#This Row],[date]]),1, 1)</f>
        <v>May M</v>
      </c>
      <c r="E676" s="2">
        <f>MONTH(sales[[#This Row],[date]])</f>
        <v>6</v>
      </c>
      <c r="F676" s="234">
        <v>46192</v>
      </c>
      <c r="G676" s="3" t="str">
        <f>VLOOKUP("*"&amp;sales[[#This Row],[Input]]&amp;"*",'Ref-List'!$A:$C,1,0)</f>
        <v>Model-Input-Ref</v>
      </c>
      <c r="H676" s="2" t="str">
        <f>VLOOKUP("*"&amp;G676&amp;"*",'Ref-List'!$A:$C,3,0)</f>
        <v>Product Line</v>
      </c>
      <c r="J676" s="2">
        <v>1</v>
      </c>
      <c r="K676" s="2">
        <v>160</v>
      </c>
      <c r="L676" s="2">
        <f>sales[[#This Row],[quantity]]*sales[[#This Row],[price]]</f>
        <v>160</v>
      </c>
      <c r="M676" s="9">
        <f>sales[[#This Row],[Total Price]]*3%</f>
        <v>4.8</v>
      </c>
      <c r="N676" s="171">
        <f>sales[[#This Row],[Total Price]]*2.5%</f>
        <v>4</v>
      </c>
      <c r="O676" s="9">
        <f>sales[[#This Row],[Total Price]]*1.5%</f>
        <v>2.4</v>
      </c>
      <c r="Q676" s="2">
        <v>5</v>
      </c>
      <c r="R676" s="5" t="str">
        <f>_xlfn.CONCAT(sales[[#This Row],[Shop]]," ",sales[[#This Row],[Location]])</f>
        <v>Tuen Mun Broadway</v>
      </c>
    </row>
    <row r="677" spans="1:18" ht="15.6" customHeight="1">
      <c r="A677" s="7">
        <v>675</v>
      </c>
      <c r="B677" s="2" t="s">
        <v>1022</v>
      </c>
      <c r="C677" s="2" t="s">
        <v>1023</v>
      </c>
      <c r="D677" s="2" t="str">
        <f ca="1">OFFSET(Roster!$B$7, MATCH(B677&amp;" "&amp;C677&amp;"*",Roster!$B$8:$B$20,0),DAY(sales[[#This Row],[date]]),1, 1)</f>
        <v>May M</v>
      </c>
      <c r="E677" s="2">
        <f>MONTH(sales[[#This Row],[date]])</f>
        <v>6</v>
      </c>
      <c r="F677" s="234">
        <v>46192</v>
      </c>
      <c r="G677" s="3" t="str">
        <f>VLOOKUP("*"&amp;sales[[#This Row],[Input]]&amp;"*",'Ref-List'!$A:$C,1,0)</f>
        <v>Model-Input-Ref</v>
      </c>
      <c r="H677" s="2" t="str">
        <f>VLOOKUP("*"&amp;G677&amp;"*",'Ref-List'!$A:$C,3,0)</f>
        <v>Product Line</v>
      </c>
      <c r="I677" s="5"/>
      <c r="J677" s="2">
        <v>1</v>
      </c>
      <c r="K677" s="2">
        <v>160</v>
      </c>
      <c r="L677" s="2">
        <f>sales[[#This Row],[quantity]]*sales[[#This Row],[price]]</f>
        <v>160</v>
      </c>
      <c r="M677" s="9">
        <f>sales[[#This Row],[Total Price]]*3%</f>
        <v>4.8</v>
      </c>
      <c r="N677" s="171">
        <f>sales[[#This Row],[Total Price]]*2.5%</f>
        <v>4</v>
      </c>
      <c r="O677" s="9">
        <f>sales[[#This Row],[Total Price]]*1.5%</f>
        <v>2.4</v>
      </c>
      <c r="Q677" s="2">
        <v>5</v>
      </c>
      <c r="R677" s="5" t="str">
        <f>_xlfn.CONCAT(sales[[#This Row],[Shop]]," ",sales[[#This Row],[Location]])</f>
        <v>Tuen Mun Broadway</v>
      </c>
    </row>
    <row r="678" spans="1:18" ht="15.6" customHeight="1">
      <c r="A678" s="7">
        <v>676</v>
      </c>
      <c r="B678" s="2" t="s">
        <v>1022</v>
      </c>
      <c r="C678" s="2" t="s">
        <v>1023</v>
      </c>
      <c r="D678" s="2" t="str">
        <f ca="1">OFFSET(Roster!$B$7, MATCH(B678&amp;" "&amp;C678&amp;"*",Roster!$B$8:$B$20,0),DAY(sales[[#This Row],[date]]),1, 1)</f>
        <v>May M</v>
      </c>
      <c r="E678" s="2">
        <f>MONTH(sales[[#This Row],[date]])</f>
        <v>6</v>
      </c>
      <c r="F678" s="234">
        <v>46192</v>
      </c>
      <c r="G678" s="3" t="str">
        <f>VLOOKUP("*"&amp;sales[[#This Row],[Input]]&amp;"*",'Ref-List'!$A:$C,1,0)</f>
        <v>Model-Input-Ref</v>
      </c>
      <c r="H678" s="2" t="str">
        <f>VLOOKUP("*"&amp;G678&amp;"*",'Ref-List'!$A:$C,3,0)</f>
        <v>Product Line</v>
      </c>
      <c r="J678" s="2">
        <v>1</v>
      </c>
      <c r="K678" s="2">
        <v>620</v>
      </c>
      <c r="L678" s="2">
        <f>sales[[#This Row],[quantity]]*sales[[#This Row],[price]]</f>
        <v>620</v>
      </c>
      <c r="M678" s="9">
        <f>sales[[#This Row],[Total Price]]*3%</f>
        <v>18.599999999999998</v>
      </c>
      <c r="N678" s="171">
        <f>sales[[#This Row],[Total Price]]*2.5%</f>
        <v>15.5</v>
      </c>
      <c r="O678" s="9">
        <f>sales[[#This Row],[Total Price]]*1.5%</f>
        <v>9.2999999999999989</v>
      </c>
      <c r="Q678" s="2">
        <v>5</v>
      </c>
      <c r="R678" s="5" t="str">
        <f>_xlfn.CONCAT(sales[[#This Row],[Shop]]," ",sales[[#This Row],[Location]])</f>
        <v>Tuen Mun Broadway</v>
      </c>
    </row>
    <row r="679" spans="1:18" ht="15.6" customHeight="1">
      <c r="A679" s="7">
        <v>677</v>
      </c>
      <c r="B679" s="2" t="s">
        <v>1022</v>
      </c>
      <c r="C679" s="2" t="s">
        <v>1023</v>
      </c>
      <c r="D679" s="2" t="str">
        <f ca="1">OFFSET(Roster!$B$7, MATCH(B679&amp;" "&amp;C679&amp;"*",Roster!$B$8:$B$20,0),DAY(sales[[#This Row],[date]]),1, 1)</f>
        <v>May M</v>
      </c>
      <c r="E679" s="2">
        <f>MONTH(sales[[#This Row],[date]])</f>
        <v>6</v>
      </c>
      <c r="F679" s="234">
        <v>46192</v>
      </c>
      <c r="G679" s="3" t="str">
        <f>VLOOKUP("*"&amp;sales[[#This Row],[Input]]&amp;"*",'Ref-List'!$A:$C,1,0)</f>
        <v>Model-Input-Ref</v>
      </c>
      <c r="H679" s="2" t="str">
        <f>VLOOKUP("*"&amp;G679&amp;"*",'Ref-List'!$A:$C,3,0)</f>
        <v>Product Line</v>
      </c>
      <c r="J679" s="2">
        <v>1</v>
      </c>
      <c r="K679" s="2">
        <v>620</v>
      </c>
      <c r="L679" s="2">
        <f>sales[[#This Row],[quantity]]*sales[[#This Row],[price]]</f>
        <v>620</v>
      </c>
      <c r="M679" s="9">
        <f>sales[[#This Row],[Total Price]]*3%</f>
        <v>18.599999999999998</v>
      </c>
      <c r="N679" s="171">
        <f>sales[[#This Row],[Total Price]]*2.5%</f>
        <v>15.5</v>
      </c>
      <c r="O679" s="9">
        <f>sales[[#This Row],[Total Price]]*1.5%</f>
        <v>9.2999999999999989</v>
      </c>
      <c r="Q679" s="2">
        <v>5</v>
      </c>
      <c r="R679" s="5" t="str">
        <f>_xlfn.CONCAT(sales[[#This Row],[Shop]]," ",sales[[#This Row],[Location]])</f>
        <v>Tuen Mun Broadway</v>
      </c>
    </row>
    <row r="680" spans="1:18" ht="15.6" customHeight="1">
      <c r="A680" s="7">
        <v>678</v>
      </c>
      <c r="B680" s="2" t="s">
        <v>1022</v>
      </c>
      <c r="C680" s="2" t="s">
        <v>1023</v>
      </c>
      <c r="D680" s="2" t="str">
        <f ca="1">OFFSET(Roster!$B$7, MATCH(B680&amp;" "&amp;C680&amp;"*",Roster!$B$8:$B$20,0),DAY(sales[[#This Row],[date]]),1, 1)</f>
        <v>May M</v>
      </c>
      <c r="E680" s="2">
        <f>MONTH(sales[[#This Row],[date]])</f>
        <v>6</v>
      </c>
      <c r="F680" s="234">
        <v>46192</v>
      </c>
      <c r="G680" s="3" t="str">
        <f>VLOOKUP("*"&amp;sales[[#This Row],[Input]]&amp;"*",'Ref-List'!$A:$C,1,0)</f>
        <v>Model-Input-Ref</v>
      </c>
      <c r="H680" s="2" t="str">
        <f>VLOOKUP("*"&amp;G680&amp;"*",'Ref-List'!$A:$C,3,0)</f>
        <v>Product Line</v>
      </c>
      <c r="J680" s="2">
        <v>1</v>
      </c>
      <c r="K680" s="2">
        <v>298</v>
      </c>
      <c r="L680" s="2">
        <f>sales[[#This Row],[quantity]]*sales[[#This Row],[price]]</f>
        <v>298</v>
      </c>
      <c r="M680" s="9">
        <f>sales[[#This Row],[Total Price]]*3%</f>
        <v>8.94</v>
      </c>
      <c r="N680" s="171">
        <f>sales[[#This Row],[Total Price]]*2.5%</f>
        <v>7.45</v>
      </c>
      <c r="O680" s="9">
        <f>sales[[#This Row],[Total Price]]*1.5%</f>
        <v>4.47</v>
      </c>
      <c r="Q680" s="2">
        <v>5</v>
      </c>
      <c r="R680" s="5" t="str">
        <f>_xlfn.CONCAT(sales[[#This Row],[Shop]]," ",sales[[#This Row],[Location]])</f>
        <v>Tuen Mun Broadway</v>
      </c>
    </row>
    <row r="681" spans="1:18" ht="15.6" customHeight="1">
      <c r="A681" s="7">
        <v>679</v>
      </c>
      <c r="B681" s="2" t="s">
        <v>1022</v>
      </c>
      <c r="C681" s="2" t="s">
        <v>1023</v>
      </c>
      <c r="D681" s="2" t="str">
        <f ca="1">OFFSET(Roster!$B$7, MATCH(B681&amp;" "&amp;C681&amp;"*",Roster!$B$8:$B$20,0),DAY(sales[[#This Row],[date]]),1, 1)</f>
        <v>May M</v>
      </c>
      <c r="E681" s="2">
        <f>MONTH(sales[[#This Row],[date]])</f>
        <v>6</v>
      </c>
      <c r="F681" s="234">
        <v>46192</v>
      </c>
      <c r="G681" s="3" t="str">
        <f>VLOOKUP("*"&amp;sales[[#This Row],[Input]]&amp;"*",'Ref-List'!$A:$C,1,0)</f>
        <v>Model-Input-Ref</v>
      </c>
      <c r="H681" s="2" t="str">
        <f>VLOOKUP("*"&amp;G681&amp;"*",'Ref-List'!$A:$C,3,0)</f>
        <v>Product Line</v>
      </c>
      <c r="J681" s="2">
        <v>1</v>
      </c>
      <c r="K681" s="2">
        <v>298</v>
      </c>
      <c r="L681" s="2">
        <f>sales[[#This Row],[quantity]]*sales[[#This Row],[price]]</f>
        <v>298</v>
      </c>
      <c r="M681" s="9">
        <f>sales[[#This Row],[Total Price]]*3%</f>
        <v>8.94</v>
      </c>
      <c r="N681" s="171">
        <f>sales[[#This Row],[Total Price]]*2.5%</f>
        <v>7.45</v>
      </c>
      <c r="O681" s="9">
        <f>sales[[#This Row],[Total Price]]*1.5%</f>
        <v>4.47</v>
      </c>
      <c r="Q681" s="2">
        <v>5</v>
      </c>
      <c r="R681" s="5" t="str">
        <f>_xlfn.CONCAT(sales[[#This Row],[Shop]]," ",sales[[#This Row],[Location]])</f>
        <v>Tuen Mun Broadway</v>
      </c>
    </row>
    <row r="682" spans="1:18" ht="15.6" customHeight="1">
      <c r="A682" s="7">
        <v>680</v>
      </c>
      <c r="B682" s="2" t="s">
        <v>1022</v>
      </c>
      <c r="C682" s="2" t="s">
        <v>1023</v>
      </c>
      <c r="D682" s="2" t="str">
        <f ca="1">OFFSET(Roster!$B$7, MATCH(B682&amp;" "&amp;C682&amp;"*",Roster!$B$8:$B$20,0),DAY(sales[[#This Row],[date]]),1, 1)</f>
        <v>May M</v>
      </c>
      <c r="E682" s="2">
        <f>MONTH(sales[[#This Row],[date]])</f>
        <v>6</v>
      </c>
      <c r="F682" s="234">
        <v>46192</v>
      </c>
      <c r="G682" s="3" t="str">
        <f>VLOOKUP("*"&amp;sales[[#This Row],[Input]]&amp;"*",'Ref-List'!$A:$C,1,0)</f>
        <v>Model-Input-Ref</v>
      </c>
      <c r="H682" s="2" t="str">
        <f>VLOOKUP("*"&amp;G682&amp;"*",'Ref-List'!$A:$C,3,0)</f>
        <v>Product Line</v>
      </c>
      <c r="J682" s="2">
        <v>1</v>
      </c>
      <c r="K682" s="2">
        <v>1330</v>
      </c>
      <c r="L682" s="2">
        <f>sales[[#This Row],[quantity]]*sales[[#This Row],[price]]</f>
        <v>1330</v>
      </c>
      <c r="M682" s="9">
        <f>sales[[#This Row],[Total Price]]*3%</f>
        <v>39.9</v>
      </c>
      <c r="N682" s="171">
        <f>sales[[#This Row],[Total Price]]*2.5%</f>
        <v>33.25</v>
      </c>
      <c r="O682" s="9">
        <f>sales[[#This Row],[Total Price]]*1.5%</f>
        <v>19.95</v>
      </c>
      <c r="Q682" s="2">
        <v>5</v>
      </c>
      <c r="R682" s="5" t="str">
        <f>_xlfn.CONCAT(sales[[#This Row],[Shop]]," ",sales[[#This Row],[Location]])</f>
        <v>Tuen Mun Broadway</v>
      </c>
    </row>
    <row r="683" spans="1:18" ht="15.6" customHeight="1">
      <c r="A683" s="7">
        <v>681</v>
      </c>
      <c r="B683" s="2" t="s">
        <v>1022</v>
      </c>
      <c r="C683" s="2" t="s">
        <v>1023</v>
      </c>
      <c r="D683" s="2" t="str">
        <f ca="1">OFFSET(Roster!$B$7, MATCH(B683&amp;" "&amp;C683&amp;"*",Roster!$B$8:$B$20,0),DAY(sales[[#This Row],[date]]),1, 1)</f>
        <v>May M</v>
      </c>
      <c r="E683" s="2">
        <f>MONTH(sales[[#This Row],[date]])</f>
        <v>6</v>
      </c>
      <c r="F683" s="234">
        <v>46192</v>
      </c>
      <c r="G683" s="3" t="str">
        <f>VLOOKUP("*"&amp;sales[[#This Row],[Input]]&amp;"*",'Ref-List'!$A:$C,1,0)</f>
        <v>Model-Input-Ref</v>
      </c>
      <c r="H683" s="2" t="str">
        <f>VLOOKUP("*"&amp;G683&amp;"*",'Ref-List'!$A:$C,3,0)</f>
        <v>Product Line</v>
      </c>
      <c r="J683" s="2">
        <v>1</v>
      </c>
      <c r="K683" s="2">
        <v>848</v>
      </c>
      <c r="L683" s="2">
        <f>sales[[#This Row],[quantity]]*sales[[#This Row],[price]]</f>
        <v>848</v>
      </c>
      <c r="M683" s="9">
        <f>sales[[#This Row],[Total Price]]*3%</f>
        <v>25.439999999999998</v>
      </c>
      <c r="N683" s="171">
        <f>sales[[#This Row],[Total Price]]*2.5%</f>
        <v>21.200000000000003</v>
      </c>
      <c r="O683" s="9">
        <f>sales[[#This Row],[Total Price]]*1.5%</f>
        <v>12.719999999999999</v>
      </c>
      <c r="Q683" s="2">
        <v>5</v>
      </c>
      <c r="R683" s="5" t="str">
        <f>_xlfn.CONCAT(sales[[#This Row],[Shop]]," ",sales[[#This Row],[Location]])</f>
        <v>Tuen Mun Broadway</v>
      </c>
    </row>
    <row r="684" spans="1:18" ht="15.6" customHeight="1">
      <c r="A684" s="7">
        <v>682</v>
      </c>
      <c r="B684" s="2" t="s">
        <v>1022</v>
      </c>
      <c r="C684" s="2" t="s">
        <v>1023</v>
      </c>
      <c r="D684" s="2" t="str">
        <f ca="1">OFFSET(Roster!$B$7, MATCH(B684&amp;" "&amp;C684&amp;"*",Roster!$B$8:$B$20,0),DAY(sales[[#This Row],[date]]),1, 1)</f>
        <v>May M</v>
      </c>
      <c r="E684" s="2">
        <f>MONTH(sales[[#This Row],[date]])</f>
        <v>6</v>
      </c>
      <c r="F684" s="234">
        <v>46192</v>
      </c>
      <c r="G684" s="3" t="str">
        <f>VLOOKUP("*"&amp;sales[[#This Row],[Input]]&amp;"*",'Ref-List'!$A:$C,1,0)</f>
        <v>Model-Input-Ref</v>
      </c>
      <c r="H684" s="2" t="str">
        <f>VLOOKUP("*"&amp;G684&amp;"*",'Ref-List'!$A:$C,3,0)</f>
        <v>Product Line</v>
      </c>
      <c r="J684" s="2">
        <v>1</v>
      </c>
      <c r="K684" s="2">
        <v>848</v>
      </c>
      <c r="L684" s="2">
        <f>sales[[#This Row],[quantity]]*sales[[#This Row],[price]]</f>
        <v>848</v>
      </c>
      <c r="M684" s="9">
        <f>sales[[#This Row],[Total Price]]*3%</f>
        <v>25.439999999999998</v>
      </c>
      <c r="N684" s="171">
        <f>sales[[#This Row],[Total Price]]*2.5%</f>
        <v>21.200000000000003</v>
      </c>
      <c r="O684" s="9">
        <f>sales[[#This Row],[Total Price]]*1.5%</f>
        <v>12.719999999999999</v>
      </c>
      <c r="Q684" s="2">
        <v>5</v>
      </c>
      <c r="R684" s="5" t="str">
        <f>_xlfn.CONCAT(sales[[#This Row],[Shop]]," ",sales[[#This Row],[Location]])</f>
        <v>Tuen Mun Broadway</v>
      </c>
    </row>
    <row r="685" spans="1:18" ht="15.6" customHeight="1">
      <c r="A685" s="7">
        <v>683</v>
      </c>
      <c r="B685" s="2" t="s">
        <v>1022</v>
      </c>
      <c r="C685" s="2" t="s">
        <v>1023</v>
      </c>
      <c r="D685" s="2" t="str">
        <f ca="1">OFFSET(Roster!$B$7, MATCH(B685&amp;" "&amp;C685&amp;"*",Roster!$B$8:$B$20,0),DAY(sales[[#This Row],[date]]),1, 1)</f>
        <v>May M</v>
      </c>
      <c r="E685" s="2">
        <f>MONTH(sales[[#This Row],[date]])</f>
        <v>6</v>
      </c>
      <c r="F685" s="234">
        <v>46192</v>
      </c>
      <c r="G685" s="3" t="str">
        <f>VLOOKUP("*"&amp;sales[[#This Row],[Input]]&amp;"*",'Ref-List'!$A:$C,1,0)</f>
        <v>Model-Input-Ref</v>
      </c>
      <c r="H685" s="2" t="str">
        <f>VLOOKUP("*"&amp;G685&amp;"*",'Ref-List'!$A:$C,3,0)</f>
        <v>Product Line</v>
      </c>
      <c r="J685" s="2">
        <v>1</v>
      </c>
      <c r="K685" s="2">
        <v>3088</v>
      </c>
      <c r="L685" s="2">
        <f>sales[[#This Row],[quantity]]*sales[[#This Row],[price]]</f>
        <v>3088</v>
      </c>
      <c r="M685" s="9">
        <f>sales[[#This Row],[Total Price]]*3%</f>
        <v>92.64</v>
      </c>
      <c r="N685" s="171">
        <f>sales[[#This Row],[Total Price]]*2.5%</f>
        <v>77.2</v>
      </c>
      <c r="O685" s="9">
        <f>sales[[#This Row],[Total Price]]*1.5%</f>
        <v>46.32</v>
      </c>
      <c r="Q685" s="2">
        <v>5</v>
      </c>
      <c r="R685" s="5" t="str">
        <f>_xlfn.CONCAT(sales[[#This Row],[Shop]]," ",sales[[#This Row],[Location]])</f>
        <v>Tuen Mun Broadway</v>
      </c>
    </row>
    <row r="686" spans="1:18" ht="15.6" customHeight="1">
      <c r="A686" s="7">
        <v>684</v>
      </c>
      <c r="B686" s="2" t="s">
        <v>1022</v>
      </c>
      <c r="C686" s="2" t="s">
        <v>1023</v>
      </c>
      <c r="D686" s="2" t="str">
        <f ca="1">OFFSET(Roster!$B$7, MATCH(B686&amp;" "&amp;C686&amp;"*",Roster!$B$8:$B$20,0),DAY(sales[[#This Row],[date]]),1, 1)</f>
        <v>May M</v>
      </c>
      <c r="E686" s="2">
        <f>MONTH(sales[[#This Row],[date]])</f>
        <v>6</v>
      </c>
      <c r="F686" s="234">
        <v>46192</v>
      </c>
      <c r="G686" s="3" t="str">
        <f>VLOOKUP("*"&amp;sales[[#This Row],[Input]]&amp;"*",'Ref-List'!$A:$C,1,0)</f>
        <v>Model-Input-Ref</v>
      </c>
      <c r="H686" s="2" t="str">
        <f>VLOOKUP("*"&amp;G686&amp;"*",'Ref-List'!$A:$C,3,0)</f>
        <v>Product Line</v>
      </c>
      <c r="I686" s="8"/>
      <c r="J686" s="2">
        <v>1</v>
      </c>
      <c r="K686" s="2">
        <v>3088</v>
      </c>
      <c r="L686" s="2">
        <f>sales[[#This Row],[quantity]]*sales[[#This Row],[price]]</f>
        <v>3088</v>
      </c>
      <c r="M686" s="9">
        <f>sales[[#This Row],[Total Price]]*3%</f>
        <v>92.64</v>
      </c>
      <c r="N686" s="171">
        <f>sales[[#This Row],[Total Price]]*2.5%</f>
        <v>77.2</v>
      </c>
      <c r="O686" s="9">
        <f>sales[[#This Row],[Total Price]]*1.5%</f>
        <v>46.32</v>
      </c>
      <c r="Q686" s="2">
        <v>5</v>
      </c>
      <c r="R686" s="5" t="str">
        <f>_xlfn.CONCAT(sales[[#This Row],[Shop]]," ",sales[[#This Row],[Location]])</f>
        <v>Tuen Mun Broadway</v>
      </c>
    </row>
    <row r="687" spans="1:18" ht="15.6" customHeight="1">
      <c r="A687" s="7">
        <v>685</v>
      </c>
      <c r="B687" s="2" t="s">
        <v>1022</v>
      </c>
      <c r="C687" s="2" t="s">
        <v>1023</v>
      </c>
      <c r="D687" s="2" t="str">
        <f ca="1">OFFSET(Roster!$B$7, MATCH(B687&amp;" "&amp;C687&amp;"*",Roster!$B$8:$B$20,0),DAY(sales[[#This Row],[date]]),1, 1)</f>
        <v>May M</v>
      </c>
      <c r="E687" s="2">
        <f>MONTH(sales[[#This Row],[date]])</f>
        <v>6</v>
      </c>
      <c r="F687" s="234">
        <v>46192</v>
      </c>
      <c r="G687" s="3" t="str">
        <f>VLOOKUP("*"&amp;sales[[#This Row],[Input]]&amp;"*",'Ref-List'!$A:$C,1,0)</f>
        <v>Model-Input-Ref</v>
      </c>
      <c r="H687" s="2" t="str">
        <f>VLOOKUP("*"&amp;G687&amp;"*",'Ref-List'!$A:$C,3,0)</f>
        <v>Product Line</v>
      </c>
      <c r="J687" s="2">
        <v>1</v>
      </c>
      <c r="K687" s="2">
        <v>2250</v>
      </c>
      <c r="L687" s="2">
        <f>sales[[#This Row],[quantity]]*sales[[#This Row],[price]]</f>
        <v>2250</v>
      </c>
      <c r="M687" s="9">
        <f>sales[[#This Row],[Total Price]]*3%</f>
        <v>67.5</v>
      </c>
      <c r="N687" s="171">
        <f>sales[[#This Row],[Total Price]]*2.5%</f>
        <v>56.25</v>
      </c>
      <c r="O687" s="9">
        <f>sales[[#This Row],[Total Price]]*1.5%</f>
        <v>33.75</v>
      </c>
      <c r="Q687" s="2">
        <v>5</v>
      </c>
      <c r="R687" s="5" t="str">
        <f>_xlfn.CONCAT(sales[[#This Row],[Shop]]," ",sales[[#This Row],[Location]])</f>
        <v>Tuen Mun Broadway</v>
      </c>
    </row>
    <row r="688" spans="1:18" ht="15.6" customHeight="1">
      <c r="A688" s="7">
        <v>686</v>
      </c>
      <c r="B688" s="2" t="s">
        <v>1022</v>
      </c>
      <c r="C688" s="2" t="s">
        <v>1023</v>
      </c>
      <c r="D688" s="2" t="str">
        <f ca="1">OFFSET(Roster!$B$7, MATCH(B688&amp;" "&amp;C688&amp;"*",Roster!$B$8:$B$20,0),DAY(sales[[#This Row],[date]]),1, 1)</f>
        <v>May M</v>
      </c>
      <c r="E688" s="2">
        <f>MONTH(sales[[#This Row],[date]])</f>
        <v>6</v>
      </c>
      <c r="F688" s="234">
        <v>46193</v>
      </c>
      <c r="G688" s="3" t="str">
        <f>VLOOKUP("*"&amp;sales[[#This Row],[Input]]&amp;"*",'Ref-List'!$A:$C,1,0)</f>
        <v>Model-Input-Ref</v>
      </c>
      <c r="H688" s="2" t="str">
        <f>VLOOKUP("*"&amp;G688&amp;"*",'Ref-List'!$A:$C,3,0)</f>
        <v>Product Line</v>
      </c>
      <c r="J688" s="2">
        <v>1</v>
      </c>
      <c r="K688" s="2">
        <v>2250</v>
      </c>
      <c r="L688" s="2">
        <f>sales[[#This Row],[quantity]]*sales[[#This Row],[price]]</f>
        <v>2250</v>
      </c>
      <c r="M688" s="9">
        <f>sales[[#This Row],[Total Price]]*3%</f>
        <v>67.5</v>
      </c>
      <c r="N688" s="171">
        <f>sales[[#This Row],[Total Price]]*2.5%</f>
        <v>56.25</v>
      </c>
      <c r="O688" s="9">
        <f>sales[[#This Row],[Total Price]]*1.5%</f>
        <v>33.75</v>
      </c>
      <c r="Q688" s="2">
        <v>6</v>
      </c>
      <c r="R688" s="5" t="str">
        <f>_xlfn.CONCAT(sales[[#This Row],[Shop]]," ",sales[[#This Row],[Location]])</f>
        <v>Tuen Mun Broadway</v>
      </c>
    </row>
    <row r="689" spans="1:18" ht="15.6" customHeight="1">
      <c r="A689" s="7">
        <v>687</v>
      </c>
      <c r="B689" s="2" t="s">
        <v>1022</v>
      </c>
      <c r="C689" s="2" t="s">
        <v>1023</v>
      </c>
      <c r="D689" s="2" t="str">
        <f ca="1">OFFSET(Roster!$B$7, MATCH(B689&amp;" "&amp;C689&amp;"*",Roster!$B$8:$B$20,0),DAY(sales[[#This Row],[date]]),1, 1)</f>
        <v>May M</v>
      </c>
      <c r="E689" s="2">
        <f>MONTH(sales[[#This Row],[date]])</f>
        <v>6</v>
      </c>
      <c r="F689" s="234">
        <v>46193</v>
      </c>
      <c r="G689" s="3" t="str">
        <f>VLOOKUP("*"&amp;sales[[#This Row],[Input]]&amp;"*",'Ref-List'!$A:$C,1,0)</f>
        <v>Model-Input-Ref</v>
      </c>
      <c r="H689" s="2" t="str">
        <f>VLOOKUP("*"&amp;G689&amp;"*",'Ref-List'!$A:$C,3,0)</f>
        <v>Product Line</v>
      </c>
      <c r="J689" s="2">
        <v>1</v>
      </c>
      <c r="K689" s="2">
        <v>598</v>
      </c>
      <c r="L689" s="2">
        <f>sales[[#This Row],[quantity]]*sales[[#This Row],[price]]</f>
        <v>598</v>
      </c>
      <c r="M689" s="9">
        <f>sales[[#This Row],[Total Price]]*3%</f>
        <v>17.939999999999998</v>
      </c>
      <c r="N689" s="171">
        <f>sales[[#This Row],[Total Price]]*2.5%</f>
        <v>14.950000000000001</v>
      </c>
      <c r="O689" s="9">
        <f>sales[[#This Row],[Total Price]]*1.5%</f>
        <v>8.9699999999999989</v>
      </c>
      <c r="Q689" s="2">
        <v>6</v>
      </c>
      <c r="R689" s="5" t="str">
        <f>_xlfn.CONCAT(sales[[#This Row],[Shop]]," ",sales[[#This Row],[Location]])</f>
        <v>Tuen Mun Broadway</v>
      </c>
    </row>
    <row r="690" spans="1:18" ht="15.6" customHeight="1">
      <c r="A690" s="7">
        <v>688</v>
      </c>
      <c r="B690" s="2" t="s">
        <v>1022</v>
      </c>
      <c r="C690" s="2" t="s">
        <v>1023</v>
      </c>
      <c r="D690" s="2" t="str">
        <f ca="1">OFFSET(Roster!$B$7, MATCH(B690&amp;" "&amp;C690&amp;"*",Roster!$B$8:$B$20,0),DAY(sales[[#This Row],[date]]),1, 1)</f>
        <v>May M</v>
      </c>
      <c r="E690" s="2">
        <f>MONTH(sales[[#This Row],[date]])</f>
        <v>6</v>
      </c>
      <c r="F690" s="234">
        <v>46193</v>
      </c>
      <c r="G690" s="3" t="str">
        <f>VLOOKUP("*"&amp;sales[[#This Row],[Input]]&amp;"*",'Ref-List'!$A:$C,1,0)</f>
        <v>Model-Input-Ref</v>
      </c>
      <c r="H690" s="2" t="str">
        <f>VLOOKUP("*"&amp;G690&amp;"*",'Ref-List'!$A:$C,3,0)</f>
        <v>Product Line</v>
      </c>
      <c r="J690" s="2">
        <v>1</v>
      </c>
      <c r="K690" s="2">
        <v>160</v>
      </c>
      <c r="L690" s="2">
        <f>sales[[#This Row],[quantity]]*sales[[#This Row],[price]]</f>
        <v>160</v>
      </c>
      <c r="M690" s="9">
        <f>sales[[#This Row],[Total Price]]*3%</f>
        <v>4.8</v>
      </c>
      <c r="N690" s="171">
        <f>sales[[#This Row],[Total Price]]*2.5%</f>
        <v>4</v>
      </c>
      <c r="O690" s="9">
        <f>sales[[#This Row],[Total Price]]*1.5%</f>
        <v>2.4</v>
      </c>
      <c r="Q690" s="2">
        <v>6</v>
      </c>
      <c r="R690" s="5" t="str">
        <f>_xlfn.CONCAT(sales[[#This Row],[Shop]]," ",sales[[#This Row],[Location]])</f>
        <v>Tuen Mun Broadway</v>
      </c>
    </row>
    <row r="691" spans="1:18" ht="15.6" customHeight="1">
      <c r="A691" s="7">
        <v>689</v>
      </c>
      <c r="B691" s="2" t="s">
        <v>1022</v>
      </c>
      <c r="C691" s="2" t="s">
        <v>1023</v>
      </c>
      <c r="D691" s="2" t="str">
        <f ca="1">OFFSET(Roster!$B$7, MATCH(B691&amp;" "&amp;C691&amp;"*",Roster!$B$8:$B$20,0),DAY(sales[[#This Row],[date]]),1, 1)</f>
        <v>May M</v>
      </c>
      <c r="E691" s="2">
        <f>MONTH(sales[[#This Row],[date]])</f>
        <v>6</v>
      </c>
      <c r="F691" s="234">
        <v>46193</v>
      </c>
      <c r="G691" s="3" t="str">
        <f>VLOOKUP("*"&amp;sales[[#This Row],[Input]]&amp;"*",'Ref-List'!$A:$C,1,0)</f>
        <v>Model-Input-Ref</v>
      </c>
      <c r="H691" s="2" t="str">
        <f>VLOOKUP("*"&amp;G691&amp;"*",'Ref-List'!$A:$C,3,0)</f>
        <v>Product Line</v>
      </c>
      <c r="J691" s="2">
        <v>1</v>
      </c>
      <c r="K691" s="2">
        <v>598</v>
      </c>
      <c r="L691" s="2">
        <f>sales[[#This Row],[quantity]]*sales[[#This Row],[price]]</f>
        <v>598</v>
      </c>
      <c r="M691" s="9">
        <f>sales[[#This Row],[Total Price]]*3%</f>
        <v>17.939999999999998</v>
      </c>
      <c r="N691" s="171">
        <f>sales[[#This Row],[Total Price]]*2.5%</f>
        <v>14.950000000000001</v>
      </c>
      <c r="O691" s="9">
        <f>sales[[#This Row],[Total Price]]*1.5%</f>
        <v>8.9699999999999989</v>
      </c>
      <c r="Q691" s="2">
        <v>6</v>
      </c>
      <c r="R691" s="5" t="str">
        <f>_xlfn.CONCAT(sales[[#This Row],[Shop]]," ",sales[[#This Row],[Location]])</f>
        <v>Tuen Mun Broadway</v>
      </c>
    </row>
    <row r="692" spans="1:18" ht="15.6" customHeight="1">
      <c r="A692" s="7">
        <v>690</v>
      </c>
      <c r="B692" s="2" t="s">
        <v>1022</v>
      </c>
      <c r="C692" s="2" t="s">
        <v>1023</v>
      </c>
      <c r="D692" s="2" t="str">
        <f ca="1">OFFSET(Roster!$B$7, MATCH(B692&amp;" "&amp;C692&amp;"*",Roster!$B$8:$B$20,0),DAY(sales[[#This Row],[date]]),1, 1)</f>
        <v>May M</v>
      </c>
      <c r="E692" s="2">
        <f>MONTH(sales[[#This Row],[date]])</f>
        <v>6</v>
      </c>
      <c r="F692" s="234">
        <v>46193</v>
      </c>
      <c r="G692" s="3" t="str">
        <f>VLOOKUP("*"&amp;sales[[#This Row],[Input]]&amp;"*",'Ref-List'!$A:$C,1,0)</f>
        <v>Model-Input-Ref</v>
      </c>
      <c r="H692" s="2" t="str">
        <f>VLOOKUP("*"&amp;G692&amp;"*",'Ref-List'!$A:$C,3,0)</f>
        <v>Product Line</v>
      </c>
      <c r="J692" s="2">
        <v>1</v>
      </c>
      <c r="K692" s="2">
        <v>2250</v>
      </c>
      <c r="L692" s="2">
        <f>sales[[#This Row],[quantity]]*sales[[#This Row],[price]]</f>
        <v>2250</v>
      </c>
      <c r="M692" s="9">
        <f>sales[[#This Row],[Total Price]]*3%</f>
        <v>67.5</v>
      </c>
      <c r="N692" s="171">
        <f>sales[[#This Row],[Total Price]]*2.5%</f>
        <v>56.25</v>
      </c>
      <c r="O692" s="9">
        <f>sales[[#This Row],[Total Price]]*1.5%</f>
        <v>33.75</v>
      </c>
      <c r="Q692" s="2">
        <v>6</v>
      </c>
      <c r="R692" s="5" t="str">
        <f>_xlfn.CONCAT(sales[[#This Row],[Shop]]," ",sales[[#This Row],[Location]])</f>
        <v>Tuen Mun Broadway</v>
      </c>
    </row>
    <row r="693" spans="1:18" ht="15.6" customHeight="1">
      <c r="A693" s="7">
        <v>691</v>
      </c>
      <c r="B693" s="2" t="s">
        <v>1022</v>
      </c>
      <c r="C693" s="2" t="s">
        <v>1023</v>
      </c>
      <c r="D693" s="2" t="str">
        <f ca="1">OFFSET(Roster!$B$7, MATCH(B693&amp;" "&amp;C693&amp;"*",Roster!$B$8:$B$20,0),DAY(sales[[#This Row],[date]]),1, 1)</f>
        <v>May M</v>
      </c>
      <c r="E693" s="2">
        <f>MONTH(sales[[#This Row],[date]])</f>
        <v>6</v>
      </c>
      <c r="F693" s="234">
        <v>46193</v>
      </c>
      <c r="G693" s="3" t="str">
        <f>VLOOKUP("*"&amp;sales[[#This Row],[Input]]&amp;"*",'Ref-List'!$A:$C,1,0)</f>
        <v>Model-Input-Ref</v>
      </c>
      <c r="H693" s="2" t="str">
        <f>VLOOKUP("*"&amp;G693&amp;"*",'Ref-List'!$A:$C,3,0)</f>
        <v>Product Line</v>
      </c>
      <c r="J693" s="2">
        <v>1</v>
      </c>
      <c r="K693" s="2">
        <v>848</v>
      </c>
      <c r="L693" s="2">
        <f>sales[[#This Row],[quantity]]*sales[[#This Row],[price]]</f>
        <v>848</v>
      </c>
      <c r="M693" s="9">
        <f>sales[[#This Row],[Total Price]]*3%</f>
        <v>25.439999999999998</v>
      </c>
      <c r="N693" s="171">
        <f>sales[[#This Row],[Total Price]]*2.5%</f>
        <v>21.200000000000003</v>
      </c>
      <c r="O693" s="9">
        <f>sales[[#This Row],[Total Price]]*1.5%</f>
        <v>12.719999999999999</v>
      </c>
      <c r="Q693" s="2">
        <v>6</v>
      </c>
      <c r="R693" s="5" t="str">
        <f>_xlfn.CONCAT(sales[[#This Row],[Shop]]," ",sales[[#This Row],[Location]])</f>
        <v>Tuen Mun Broadway</v>
      </c>
    </row>
    <row r="694" spans="1:18" ht="15.6" customHeight="1">
      <c r="A694" s="7">
        <v>692</v>
      </c>
      <c r="B694" s="2" t="s">
        <v>1022</v>
      </c>
      <c r="C694" s="2" t="s">
        <v>1023</v>
      </c>
      <c r="D694" s="2" t="str">
        <f ca="1">OFFSET(Roster!$B$7, MATCH(B694&amp;" "&amp;C694&amp;"*",Roster!$B$8:$B$20,0),DAY(sales[[#This Row],[date]]),1, 1)</f>
        <v>May M</v>
      </c>
      <c r="E694" s="2">
        <f>MONTH(sales[[#This Row],[date]])</f>
        <v>6</v>
      </c>
      <c r="F694" s="234">
        <v>46193</v>
      </c>
      <c r="G694" s="3" t="str">
        <f>VLOOKUP("*"&amp;sales[[#This Row],[Input]]&amp;"*",'Ref-List'!$A:$C,1,0)</f>
        <v>Model-Input-Ref</v>
      </c>
      <c r="H694" s="2" t="str">
        <f>VLOOKUP("*"&amp;G694&amp;"*",'Ref-List'!$A:$C,3,0)</f>
        <v>Product Line</v>
      </c>
      <c r="J694" s="2">
        <v>1</v>
      </c>
      <c r="K694" s="2">
        <v>1330</v>
      </c>
      <c r="L694" s="2">
        <f>sales[[#This Row],[quantity]]*sales[[#This Row],[price]]</f>
        <v>1330</v>
      </c>
      <c r="M694" s="9">
        <f>sales[[#This Row],[Total Price]]*3%</f>
        <v>39.9</v>
      </c>
      <c r="N694" s="171">
        <f>sales[[#This Row],[Total Price]]*2.5%</f>
        <v>33.25</v>
      </c>
      <c r="O694" s="9">
        <f>sales[[#This Row],[Total Price]]*1.5%</f>
        <v>19.95</v>
      </c>
      <c r="Q694" s="2">
        <v>6</v>
      </c>
      <c r="R694" s="5" t="str">
        <f>_xlfn.CONCAT(sales[[#This Row],[Shop]]," ",sales[[#This Row],[Location]])</f>
        <v>Tuen Mun Broadway</v>
      </c>
    </row>
    <row r="695" spans="1:18" ht="15.6" customHeight="1">
      <c r="A695" s="7">
        <v>693</v>
      </c>
      <c r="B695" s="2" t="s">
        <v>1022</v>
      </c>
      <c r="C695" s="2" t="s">
        <v>1023</v>
      </c>
      <c r="D695" s="2" t="str">
        <f ca="1">OFFSET(Roster!$B$7, MATCH(B695&amp;" "&amp;C695&amp;"*",Roster!$B$8:$B$20,0),DAY(sales[[#This Row],[date]]),1, 1)</f>
        <v>May M</v>
      </c>
      <c r="E695" s="2">
        <f>MONTH(sales[[#This Row],[date]])</f>
        <v>6</v>
      </c>
      <c r="F695" s="234">
        <v>46193</v>
      </c>
      <c r="G695" s="3" t="str">
        <f>VLOOKUP("*"&amp;sales[[#This Row],[Input]]&amp;"*",'Ref-List'!$A:$C,1,0)</f>
        <v>Model-Input-Ref</v>
      </c>
      <c r="H695" s="2" t="str">
        <f>VLOOKUP("*"&amp;G695&amp;"*",'Ref-List'!$A:$C,3,0)</f>
        <v>Product Line</v>
      </c>
      <c r="J695" s="2">
        <v>1</v>
      </c>
      <c r="K695" s="2">
        <v>298</v>
      </c>
      <c r="L695" s="2">
        <f>sales[[#This Row],[quantity]]*sales[[#This Row],[price]]</f>
        <v>298</v>
      </c>
      <c r="M695" s="9">
        <f>sales[[#This Row],[Total Price]]*3%</f>
        <v>8.94</v>
      </c>
      <c r="N695" s="171">
        <f>sales[[#This Row],[Total Price]]*2.5%</f>
        <v>7.45</v>
      </c>
      <c r="O695" s="9">
        <f>sales[[#This Row],[Total Price]]*1.5%</f>
        <v>4.47</v>
      </c>
      <c r="Q695" s="2">
        <v>6</v>
      </c>
      <c r="R695" s="5" t="str">
        <f>_xlfn.CONCAT(sales[[#This Row],[Shop]]," ",sales[[#This Row],[Location]])</f>
        <v>Tuen Mun Broadway</v>
      </c>
    </row>
    <row r="696" spans="1:18" ht="15.6" customHeight="1">
      <c r="A696" s="7">
        <v>694</v>
      </c>
      <c r="B696" s="2" t="s">
        <v>1022</v>
      </c>
      <c r="C696" s="2" t="s">
        <v>1023</v>
      </c>
      <c r="D696" s="2" t="str">
        <f ca="1">OFFSET(Roster!$B$7, MATCH(B696&amp;" "&amp;C696&amp;"*",Roster!$B$8:$B$20,0),DAY(sales[[#This Row],[date]]),1, 1)</f>
        <v>May M</v>
      </c>
      <c r="E696" s="2">
        <f>MONTH(sales[[#This Row],[date]])</f>
        <v>6</v>
      </c>
      <c r="F696" s="234">
        <v>46193</v>
      </c>
      <c r="G696" s="3" t="str">
        <f>VLOOKUP("*"&amp;sales[[#This Row],[Input]]&amp;"*",'Ref-List'!$A:$C,1,0)</f>
        <v>Model-Input-Ref</v>
      </c>
      <c r="H696" s="2" t="str">
        <f>VLOOKUP("*"&amp;G696&amp;"*",'Ref-List'!$A:$C,3,0)</f>
        <v>Product Line</v>
      </c>
      <c r="J696" s="2">
        <v>1</v>
      </c>
      <c r="K696" s="2">
        <v>298</v>
      </c>
      <c r="L696" s="2">
        <f>sales[[#This Row],[quantity]]*sales[[#This Row],[price]]</f>
        <v>298</v>
      </c>
      <c r="M696" s="9">
        <f>sales[[#This Row],[Total Price]]*3%</f>
        <v>8.94</v>
      </c>
      <c r="N696" s="171">
        <f>sales[[#This Row],[Total Price]]*2.5%</f>
        <v>7.45</v>
      </c>
      <c r="O696" s="9">
        <f>sales[[#This Row],[Total Price]]*1.5%</f>
        <v>4.47</v>
      </c>
      <c r="Q696" s="2">
        <v>6</v>
      </c>
      <c r="R696" s="5" t="str">
        <f>_xlfn.CONCAT(sales[[#This Row],[Shop]]," ",sales[[#This Row],[Location]])</f>
        <v>Tuen Mun Broadway</v>
      </c>
    </row>
    <row r="697" spans="1:18" ht="15.6" customHeight="1">
      <c r="A697" s="7">
        <v>695</v>
      </c>
      <c r="B697" s="2" t="s">
        <v>1022</v>
      </c>
      <c r="C697" s="2" t="s">
        <v>1023</v>
      </c>
      <c r="D697" s="2" t="str">
        <f ca="1">OFFSET(Roster!$B$7, MATCH(B697&amp;" "&amp;C697&amp;"*",Roster!$B$8:$B$20,0),DAY(sales[[#This Row],[date]]),1, 1)</f>
        <v>May M</v>
      </c>
      <c r="E697" s="2">
        <f>MONTH(sales[[#This Row],[date]])</f>
        <v>6</v>
      </c>
      <c r="F697" s="234">
        <v>46194</v>
      </c>
      <c r="G697" s="3" t="str">
        <f>VLOOKUP("*"&amp;sales[[#This Row],[Input]]&amp;"*",'Ref-List'!$A:$C,1,0)</f>
        <v>Model-Input-Ref</v>
      </c>
      <c r="H697" s="2" t="str">
        <f>VLOOKUP("*"&amp;G697&amp;"*",'Ref-List'!$A:$C,3,0)</f>
        <v>Product Line</v>
      </c>
      <c r="J697" s="2">
        <v>1</v>
      </c>
      <c r="K697" s="2">
        <v>2250</v>
      </c>
      <c r="L697" s="2">
        <f>sales[[#This Row],[quantity]]*sales[[#This Row],[price]]</f>
        <v>2250</v>
      </c>
      <c r="M697" s="9">
        <f>sales[[#This Row],[Total Price]]*3%</f>
        <v>67.5</v>
      </c>
      <c r="N697" s="171">
        <f>sales[[#This Row],[Total Price]]*2.5%</f>
        <v>56.25</v>
      </c>
      <c r="O697" s="9">
        <f>sales[[#This Row],[Total Price]]*1.5%</f>
        <v>33.75</v>
      </c>
      <c r="Q697" s="2">
        <v>6</v>
      </c>
      <c r="R697" s="5" t="str">
        <f>_xlfn.CONCAT(sales[[#This Row],[Shop]]," ",sales[[#This Row],[Location]])</f>
        <v>Tuen Mun Broadway</v>
      </c>
    </row>
    <row r="698" spans="1:18" ht="15.6" customHeight="1">
      <c r="A698" s="7">
        <v>696</v>
      </c>
      <c r="B698" s="2" t="s">
        <v>1022</v>
      </c>
      <c r="C698" s="2" t="s">
        <v>1023</v>
      </c>
      <c r="D698" s="2" t="str">
        <f ca="1">OFFSET(Roster!$B$7, MATCH(B698&amp;" "&amp;C698&amp;"*",Roster!$B$8:$B$20,0),DAY(sales[[#This Row],[date]]),1, 1)</f>
        <v>May M</v>
      </c>
      <c r="E698" s="2">
        <f>MONTH(sales[[#This Row],[date]])</f>
        <v>6</v>
      </c>
      <c r="F698" s="234">
        <v>46194</v>
      </c>
      <c r="G698" s="3" t="str">
        <f>VLOOKUP("*"&amp;sales[[#This Row],[Input]]&amp;"*",'Ref-List'!$A:$C,1,0)</f>
        <v>Model-Input-Ref</v>
      </c>
      <c r="H698" s="2" t="str">
        <f>VLOOKUP("*"&amp;G698&amp;"*",'Ref-List'!$A:$C,3,0)</f>
        <v>Product Line</v>
      </c>
      <c r="J698" s="2">
        <v>1</v>
      </c>
      <c r="K698" s="2">
        <v>2988</v>
      </c>
      <c r="L698" s="2">
        <f>sales[[#This Row],[quantity]]*sales[[#This Row],[price]]</f>
        <v>2988</v>
      </c>
      <c r="M698" s="9">
        <f>sales[[#This Row],[Total Price]]*3%</f>
        <v>89.64</v>
      </c>
      <c r="N698" s="171">
        <f>sales[[#This Row],[Total Price]]*2.5%</f>
        <v>74.7</v>
      </c>
      <c r="O698" s="9">
        <f>sales[[#This Row],[Total Price]]*1.5%</f>
        <v>44.82</v>
      </c>
      <c r="Q698" s="2">
        <v>6</v>
      </c>
      <c r="R698" s="5" t="str">
        <f>_xlfn.CONCAT(sales[[#This Row],[Shop]]," ",sales[[#This Row],[Location]])</f>
        <v>Tuen Mun Broadway</v>
      </c>
    </row>
    <row r="699" spans="1:18" ht="15.6" customHeight="1">
      <c r="A699" s="7">
        <v>697</v>
      </c>
      <c r="B699" s="2" t="s">
        <v>1022</v>
      </c>
      <c r="C699" s="2" t="s">
        <v>1023</v>
      </c>
      <c r="D699" s="2" t="str">
        <f ca="1">OFFSET(Roster!$B$7, MATCH(B699&amp;" "&amp;C699&amp;"*",Roster!$B$8:$B$20,0),DAY(sales[[#This Row],[date]]),1, 1)</f>
        <v>May M</v>
      </c>
      <c r="E699" s="2">
        <f>MONTH(sales[[#This Row],[date]])</f>
        <v>6</v>
      </c>
      <c r="F699" s="234">
        <v>46194</v>
      </c>
      <c r="G699" s="3" t="str">
        <f>VLOOKUP("*"&amp;sales[[#This Row],[Input]]&amp;"*",'Ref-List'!$A:$C,1,0)</f>
        <v>Model-Input-Ref</v>
      </c>
      <c r="H699" s="2" t="str">
        <f>VLOOKUP("*"&amp;G699&amp;"*",'Ref-List'!$A:$C,3,0)</f>
        <v>Product Line</v>
      </c>
      <c r="J699" s="2">
        <v>1</v>
      </c>
      <c r="K699" s="2">
        <v>7130</v>
      </c>
      <c r="L699" s="2">
        <f>sales[[#This Row],[quantity]]*sales[[#This Row],[price]]</f>
        <v>7130</v>
      </c>
      <c r="M699" s="9">
        <f>sales[[#This Row],[Total Price]]*3%</f>
        <v>213.9</v>
      </c>
      <c r="N699" s="171">
        <f>sales[[#This Row],[Total Price]]*2.5%</f>
        <v>178.25</v>
      </c>
      <c r="O699" s="9">
        <f>sales[[#This Row],[Total Price]]*1.5%</f>
        <v>106.95</v>
      </c>
      <c r="Q699" s="2">
        <v>6</v>
      </c>
      <c r="R699" s="5" t="str">
        <f>_xlfn.CONCAT(sales[[#This Row],[Shop]]," ",sales[[#This Row],[Location]])</f>
        <v>Tuen Mun Broadway</v>
      </c>
    </row>
    <row r="700" spans="1:18" ht="15.6" customHeight="1">
      <c r="A700" s="7">
        <v>698</v>
      </c>
      <c r="B700" s="2" t="s">
        <v>1022</v>
      </c>
      <c r="C700" s="2" t="s">
        <v>1023</v>
      </c>
      <c r="D700" s="2" t="str">
        <f ca="1">OFFSET(Roster!$B$7, MATCH(B700&amp;" "&amp;C700&amp;"*",Roster!$B$8:$B$20,0),DAY(sales[[#This Row],[date]]),1, 1)</f>
        <v>May M</v>
      </c>
      <c r="E700" s="2">
        <f>MONTH(sales[[#This Row],[date]])</f>
        <v>6</v>
      </c>
      <c r="F700" s="234">
        <v>46194</v>
      </c>
      <c r="G700" s="3" t="str">
        <f>VLOOKUP("*"&amp;sales[[#This Row],[Input]]&amp;"*",'Ref-List'!$A:$C,1,0)</f>
        <v>Model-Input-Ref</v>
      </c>
      <c r="H700" s="2" t="str">
        <f>VLOOKUP("*"&amp;G700&amp;"*",'Ref-List'!$A:$C,3,0)</f>
        <v>Product Line</v>
      </c>
      <c r="J700" s="2">
        <v>1</v>
      </c>
      <c r="K700" s="2">
        <v>5580</v>
      </c>
      <c r="L700" s="2">
        <f>sales[[#This Row],[quantity]]*sales[[#This Row],[price]]</f>
        <v>5580</v>
      </c>
      <c r="M700" s="9">
        <f>sales[[#This Row],[Total Price]]*3%</f>
        <v>167.4</v>
      </c>
      <c r="N700" s="171">
        <f>sales[[#This Row],[Total Price]]*2.5%</f>
        <v>139.5</v>
      </c>
      <c r="O700" s="9">
        <f>sales[[#This Row],[Total Price]]*1.5%</f>
        <v>83.7</v>
      </c>
      <c r="Q700" s="2">
        <v>6</v>
      </c>
      <c r="R700" s="5" t="str">
        <f>_xlfn.CONCAT(sales[[#This Row],[Shop]]," ",sales[[#This Row],[Location]])</f>
        <v>Tuen Mun Broadway</v>
      </c>
    </row>
    <row r="701" spans="1:18" ht="15.6" customHeight="1">
      <c r="A701" s="7">
        <v>699</v>
      </c>
      <c r="B701" s="2" t="s">
        <v>1022</v>
      </c>
      <c r="C701" s="2" t="s">
        <v>1023</v>
      </c>
      <c r="D701" s="2" t="str">
        <f ca="1">OFFSET(Roster!$B$7, MATCH(B701&amp;" "&amp;C701&amp;"*",Roster!$B$8:$B$20,0),DAY(sales[[#This Row],[date]]),1, 1)</f>
        <v>May M</v>
      </c>
      <c r="E701" s="2">
        <f>MONTH(sales[[#This Row],[date]])</f>
        <v>6</v>
      </c>
      <c r="F701" s="234">
        <v>46194</v>
      </c>
      <c r="G701" s="3" t="str">
        <f>VLOOKUP("*"&amp;sales[[#This Row],[Input]]&amp;"*",'Ref-List'!$A:$C,1,0)</f>
        <v>Model-Input-Ref</v>
      </c>
      <c r="H701" s="2" t="str">
        <f>VLOOKUP("*"&amp;G701&amp;"*",'Ref-List'!$A:$C,3,0)</f>
        <v>Product Line</v>
      </c>
      <c r="I701" s="8"/>
      <c r="J701" s="2">
        <v>1</v>
      </c>
      <c r="K701" s="2">
        <v>848</v>
      </c>
      <c r="L701" s="2">
        <f>sales[[#This Row],[quantity]]*sales[[#This Row],[price]]</f>
        <v>848</v>
      </c>
      <c r="M701" s="9">
        <f>sales[[#This Row],[Total Price]]*3%</f>
        <v>25.439999999999998</v>
      </c>
      <c r="N701" s="171">
        <f>sales[[#This Row],[Total Price]]*2.5%</f>
        <v>21.200000000000003</v>
      </c>
      <c r="O701" s="9">
        <f>sales[[#This Row],[Total Price]]*1.5%</f>
        <v>12.719999999999999</v>
      </c>
      <c r="Q701" s="2">
        <v>6</v>
      </c>
      <c r="R701" s="5" t="str">
        <f>_xlfn.CONCAT(sales[[#This Row],[Shop]]," ",sales[[#This Row],[Location]])</f>
        <v>Tuen Mun Broadway</v>
      </c>
    </row>
    <row r="702" spans="1:18" ht="15.6" customHeight="1">
      <c r="A702" s="7">
        <v>700</v>
      </c>
      <c r="B702" s="2" t="s">
        <v>1022</v>
      </c>
      <c r="C702" s="2" t="s">
        <v>1023</v>
      </c>
      <c r="D702" s="2" t="str">
        <f ca="1">OFFSET(Roster!$B$7, MATCH(B702&amp;" "&amp;C702&amp;"*",Roster!$B$8:$B$20,0),DAY(sales[[#This Row],[date]]),1, 1)</f>
        <v>May M</v>
      </c>
      <c r="E702" s="2">
        <f>MONTH(sales[[#This Row],[date]])</f>
        <v>6</v>
      </c>
      <c r="F702" s="234">
        <v>46194</v>
      </c>
      <c r="G702" s="3" t="str">
        <f>VLOOKUP("*"&amp;sales[[#This Row],[Input]]&amp;"*",'Ref-List'!$A:$C,1,0)</f>
        <v>Model-Input-Ref</v>
      </c>
      <c r="H702" s="2" t="str">
        <f>VLOOKUP("*"&amp;G702&amp;"*",'Ref-List'!$A:$C,3,0)</f>
        <v>Product Line</v>
      </c>
      <c r="J702" s="2">
        <v>1</v>
      </c>
      <c r="K702" s="2">
        <v>8180</v>
      </c>
      <c r="L702" s="2">
        <f>sales[[#This Row],[quantity]]*sales[[#This Row],[price]]</f>
        <v>8180</v>
      </c>
      <c r="M702" s="9">
        <f>sales[[#This Row],[Total Price]]*3%</f>
        <v>245.39999999999998</v>
      </c>
      <c r="N702" s="171">
        <f>sales[[#This Row],[Total Price]]*2.5%</f>
        <v>204.5</v>
      </c>
      <c r="O702" s="9">
        <f>sales[[#This Row],[Total Price]]*1.5%</f>
        <v>122.69999999999999</v>
      </c>
      <c r="Q702" s="2">
        <v>6</v>
      </c>
      <c r="R702" s="5" t="str">
        <f>_xlfn.CONCAT(sales[[#This Row],[Shop]]," ",sales[[#This Row],[Location]])</f>
        <v>Tuen Mun Broadway</v>
      </c>
    </row>
    <row r="703" spans="1:18" ht="15.6" customHeight="1">
      <c r="A703" s="7">
        <v>701</v>
      </c>
      <c r="B703" s="2" t="s">
        <v>1022</v>
      </c>
      <c r="C703" s="2" t="s">
        <v>1023</v>
      </c>
      <c r="D703" s="2" t="str">
        <f ca="1">OFFSET(Roster!$B$7, MATCH(B703&amp;" "&amp;C703&amp;"*",Roster!$B$8:$B$20,0),DAY(sales[[#This Row],[date]]),1, 1)</f>
        <v>May M</v>
      </c>
      <c r="E703" s="2">
        <f>MONTH(sales[[#This Row],[date]])</f>
        <v>6</v>
      </c>
      <c r="F703" s="234">
        <v>46198</v>
      </c>
      <c r="G703" s="3" t="str">
        <f>VLOOKUP("*"&amp;sales[[#This Row],[Input]]&amp;"*",'Ref-List'!$A:$C,1,0)</f>
        <v>Model-Input-Ref</v>
      </c>
      <c r="H703" s="2" t="str">
        <f>VLOOKUP("*"&amp;G703&amp;"*",'Ref-List'!$A:$C,3,0)</f>
        <v>Product Line</v>
      </c>
      <c r="J703" s="2">
        <v>1</v>
      </c>
      <c r="K703" s="2">
        <v>848</v>
      </c>
      <c r="L703" s="2">
        <f>sales[[#This Row],[quantity]]*sales[[#This Row],[price]]</f>
        <v>848</v>
      </c>
      <c r="M703" s="9">
        <f>sales[[#This Row],[Total Price]]*3%</f>
        <v>25.439999999999998</v>
      </c>
      <c r="N703" s="171">
        <f>sales[[#This Row],[Total Price]]*2.5%</f>
        <v>21.200000000000003</v>
      </c>
      <c r="O703" s="9">
        <f>sales[[#This Row],[Total Price]]*1.5%</f>
        <v>12.719999999999999</v>
      </c>
      <c r="Q703" s="2">
        <v>6</v>
      </c>
      <c r="R703" s="5" t="str">
        <f>_xlfn.CONCAT(sales[[#This Row],[Shop]]," ",sales[[#This Row],[Location]])</f>
        <v>Tuen Mun Broadway</v>
      </c>
    </row>
    <row r="704" spans="1:18" ht="15.6" customHeight="1">
      <c r="A704" s="7">
        <v>702</v>
      </c>
      <c r="B704" s="2" t="s">
        <v>1022</v>
      </c>
      <c r="C704" s="2" t="s">
        <v>1023</v>
      </c>
      <c r="D704" s="2" t="str">
        <f ca="1">OFFSET(Roster!$B$7, MATCH(B704&amp;" "&amp;C704&amp;"*",Roster!$B$8:$B$20,0),DAY(sales[[#This Row],[date]]),1, 1)</f>
        <v>May M</v>
      </c>
      <c r="E704" s="2">
        <f>MONTH(sales[[#This Row],[date]])</f>
        <v>6</v>
      </c>
      <c r="F704" s="234">
        <v>46198</v>
      </c>
      <c r="G704" s="3" t="str">
        <f>VLOOKUP("*"&amp;sales[[#This Row],[Input]]&amp;"*",'Ref-List'!$A:$C,1,0)</f>
        <v>Model-Input-Ref</v>
      </c>
      <c r="H704" s="2" t="str">
        <f>VLOOKUP("*"&amp;G704&amp;"*",'Ref-List'!$A:$C,3,0)</f>
        <v>Product Line</v>
      </c>
      <c r="J704" s="2">
        <v>1</v>
      </c>
      <c r="K704" s="2">
        <v>8180</v>
      </c>
      <c r="L704" s="2">
        <f>sales[[#This Row],[quantity]]*sales[[#This Row],[price]]</f>
        <v>8180</v>
      </c>
      <c r="M704" s="9">
        <f>sales[[#This Row],[Total Price]]*3%</f>
        <v>245.39999999999998</v>
      </c>
      <c r="N704" s="171">
        <f>sales[[#This Row],[Total Price]]*2.5%</f>
        <v>204.5</v>
      </c>
      <c r="O704" s="9">
        <f>sales[[#This Row],[Total Price]]*1.5%</f>
        <v>122.69999999999999</v>
      </c>
      <c r="Q704" s="2">
        <v>6</v>
      </c>
      <c r="R704" s="5" t="str">
        <f>_xlfn.CONCAT(sales[[#This Row],[Shop]]," ",sales[[#This Row],[Location]])</f>
        <v>Tuen Mun Broadway</v>
      </c>
    </row>
    <row r="705" spans="1:18" ht="15.6" customHeight="1">
      <c r="A705" s="7">
        <v>703</v>
      </c>
      <c r="B705" s="2" t="s">
        <v>1022</v>
      </c>
      <c r="C705" s="2" t="s">
        <v>1023</v>
      </c>
      <c r="D705" s="2" t="str">
        <f ca="1">OFFSET(Roster!$B$7, MATCH(B705&amp;" "&amp;C705&amp;"*",Roster!$B$8:$B$20,0),DAY(sales[[#This Row],[date]]),1, 1)</f>
        <v>May M</v>
      </c>
      <c r="E705" s="2">
        <f>MONTH(sales[[#This Row],[date]])</f>
        <v>6</v>
      </c>
      <c r="F705" s="234">
        <v>46198</v>
      </c>
      <c r="G705" s="3" t="str">
        <f>VLOOKUP("*"&amp;sales[[#This Row],[Input]]&amp;"*",'Ref-List'!$A:$C,1,0)</f>
        <v>Model-Input-Ref</v>
      </c>
      <c r="H705" s="2" t="str">
        <f>VLOOKUP("*"&amp;G705&amp;"*",'Ref-List'!$A:$C,3,0)</f>
        <v>Product Line</v>
      </c>
      <c r="J705" s="2">
        <v>1</v>
      </c>
      <c r="K705" s="2">
        <v>598</v>
      </c>
      <c r="L705" s="2">
        <f>sales[[#This Row],[quantity]]*sales[[#This Row],[price]]</f>
        <v>598</v>
      </c>
      <c r="M705" s="9">
        <f>sales[[#This Row],[Total Price]]*3%</f>
        <v>17.939999999999998</v>
      </c>
      <c r="N705" s="171">
        <f>sales[[#This Row],[Total Price]]*2.5%</f>
        <v>14.950000000000001</v>
      </c>
      <c r="O705" s="9">
        <f>sales[[#This Row],[Total Price]]*1.5%</f>
        <v>8.9699999999999989</v>
      </c>
      <c r="Q705" s="2">
        <v>6</v>
      </c>
      <c r="R705" s="5" t="str">
        <f>_xlfn.CONCAT(sales[[#This Row],[Shop]]," ",sales[[#This Row],[Location]])</f>
        <v>Tuen Mun Broadway</v>
      </c>
    </row>
    <row r="706" spans="1:18" ht="15.6" customHeight="1">
      <c r="A706" s="7">
        <v>704</v>
      </c>
      <c r="B706" s="2" t="s">
        <v>1022</v>
      </c>
      <c r="C706" s="2" t="s">
        <v>1023</v>
      </c>
      <c r="D706" s="2" t="str">
        <f ca="1">OFFSET(Roster!$B$7, MATCH(B706&amp;" "&amp;C706&amp;"*",Roster!$B$8:$B$20,0),DAY(sales[[#This Row],[date]]),1, 1)</f>
        <v>May M</v>
      </c>
      <c r="E706" s="2">
        <f>MONTH(sales[[#This Row],[date]])</f>
        <v>6</v>
      </c>
      <c r="F706" s="234">
        <v>46198</v>
      </c>
      <c r="G706" s="3" t="str">
        <f>VLOOKUP("*"&amp;sales[[#This Row],[Input]]&amp;"*",'Ref-List'!$A:$C,1,0)</f>
        <v>Model-Input-Ref</v>
      </c>
      <c r="H706" s="2" t="str">
        <f>VLOOKUP("*"&amp;G706&amp;"*",'Ref-List'!$A:$C,3,0)</f>
        <v>Product Line</v>
      </c>
      <c r="J706" s="2">
        <v>1</v>
      </c>
      <c r="K706" s="2">
        <v>2988</v>
      </c>
      <c r="L706" s="2">
        <f>sales[[#This Row],[quantity]]*sales[[#This Row],[price]]</f>
        <v>2988</v>
      </c>
      <c r="M706" s="9">
        <f>sales[[#This Row],[Total Price]]*3%</f>
        <v>89.64</v>
      </c>
      <c r="N706" s="171">
        <f>sales[[#This Row],[Total Price]]*2.5%</f>
        <v>74.7</v>
      </c>
      <c r="O706" s="9">
        <f>sales[[#This Row],[Total Price]]*1.5%</f>
        <v>44.82</v>
      </c>
      <c r="Q706" s="2">
        <v>6</v>
      </c>
      <c r="R706" s="5" t="str">
        <f>_xlfn.CONCAT(sales[[#This Row],[Shop]]," ",sales[[#This Row],[Location]])</f>
        <v>Tuen Mun Broadway</v>
      </c>
    </row>
    <row r="707" spans="1:18" ht="15.6" customHeight="1">
      <c r="A707" s="7">
        <v>705</v>
      </c>
      <c r="B707" s="2" t="s">
        <v>1022</v>
      </c>
      <c r="C707" s="2" t="s">
        <v>1023</v>
      </c>
      <c r="D707" s="2" t="str">
        <f ca="1">OFFSET(Roster!$B$7, MATCH(B707&amp;" "&amp;C707&amp;"*",Roster!$B$8:$B$20,0),DAY(sales[[#This Row],[date]]),1, 1)</f>
        <v>May M</v>
      </c>
      <c r="E707" s="2">
        <f>MONTH(sales[[#This Row],[date]])</f>
        <v>6</v>
      </c>
      <c r="F707" s="234">
        <v>46198</v>
      </c>
      <c r="G707" s="3" t="str">
        <f>VLOOKUP("*"&amp;sales[[#This Row],[Input]]&amp;"*",'Ref-List'!$A:$C,1,0)</f>
        <v>Model-Input-Ref</v>
      </c>
      <c r="H707" s="2" t="str">
        <f>VLOOKUP("*"&amp;G707&amp;"*",'Ref-List'!$A:$C,3,0)</f>
        <v>Product Line</v>
      </c>
      <c r="J707" s="2">
        <v>1</v>
      </c>
      <c r="K707" s="2">
        <v>3980</v>
      </c>
      <c r="L707" s="2">
        <f>sales[[#This Row],[quantity]]*sales[[#This Row],[price]]</f>
        <v>3980</v>
      </c>
      <c r="M707" s="9">
        <f>sales[[#This Row],[Total Price]]*3%</f>
        <v>119.39999999999999</v>
      </c>
      <c r="N707" s="171">
        <f>sales[[#This Row],[Total Price]]*2.5%</f>
        <v>99.5</v>
      </c>
      <c r="O707" s="9">
        <f>sales[[#This Row],[Total Price]]*1.5%</f>
        <v>59.699999999999996</v>
      </c>
      <c r="Q707" s="2">
        <v>6</v>
      </c>
      <c r="R707" s="5" t="str">
        <f>_xlfn.CONCAT(sales[[#This Row],[Shop]]," ",sales[[#This Row],[Location]])</f>
        <v>Tuen Mun Broadway</v>
      </c>
    </row>
    <row r="708" spans="1:18" ht="15.6" customHeight="1">
      <c r="A708" s="7">
        <v>706</v>
      </c>
      <c r="B708" s="2" t="s">
        <v>1022</v>
      </c>
      <c r="C708" s="2" t="s">
        <v>1023</v>
      </c>
      <c r="D708" s="2" t="str">
        <f ca="1">OFFSET(Roster!$B$7, MATCH(B708&amp;" "&amp;C708&amp;"*",Roster!$B$8:$B$20,0),DAY(sales[[#This Row],[date]]),1, 1)</f>
        <v>May M</v>
      </c>
      <c r="E708" s="2">
        <f>MONTH(sales[[#This Row],[date]])</f>
        <v>6</v>
      </c>
      <c r="F708" s="234">
        <v>46199</v>
      </c>
      <c r="G708" s="3" t="str">
        <f>VLOOKUP("*"&amp;sales[[#This Row],[Input]]&amp;"*",'Ref-List'!$A:$C,1,0)</f>
        <v>Model-Input-Ref</v>
      </c>
      <c r="H708" s="2" t="str">
        <f>VLOOKUP("*"&amp;G708&amp;"*",'Ref-List'!$A:$C,3,0)</f>
        <v>Product Line</v>
      </c>
      <c r="J708" s="2">
        <v>1</v>
      </c>
      <c r="K708" s="2">
        <v>1330</v>
      </c>
      <c r="L708" s="2">
        <f>sales[[#This Row],[quantity]]*sales[[#This Row],[price]]</f>
        <v>1330</v>
      </c>
      <c r="M708" s="9">
        <f>sales[[#This Row],[Total Price]]*3%</f>
        <v>39.9</v>
      </c>
      <c r="N708" s="171">
        <f>sales[[#This Row],[Total Price]]*2.5%</f>
        <v>33.25</v>
      </c>
      <c r="O708" s="9">
        <f>sales[[#This Row],[Total Price]]*1.5%</f>
        <v>19.95</v>
      </c>
      <c r="Q708" s="2">
        <v>7</v>
      </c>
      <c r="R708" s="5" t="str">
        <f>_xlfn.CONCAT(sales[[#This Row],[Shop]]," ",sales[[#This Row],[Location]])</f>
        <v>Tuen Mun Broadway</v>
      </c>
    </row>
    <row r="709" spans="1:18" ht="15.6" customHeight="1">
      <c r="A709" s="7">
        <v>707</v>
      </c>
      <c r="B709" s="2" t="s">
        <v>1022</v>
      </c>
      <c r="C709" s="2" t="s">
        <v>1023</v>
      </c>
      <c r="D709" s="2" t="str">
        <f ca="1">OFFSET(Roster!$B$7, MATCH(B709&amp;" "&amp;C709&amp;"*",Roster!$B$8:$B$20,0),DAY(sales[[#This Row],[date]]),1, 1)</f>
        <v>May M</v>
      </c>
      <c r="E709" s="2">
        <f>MONTH(sales[[#This Row],[date]])</f>
        <v>6</v>
      </c>
      <c r="F709" s="234">
        <v>46199</v>
      </c>
      <c r="G709" s="3" t="str">
        <f>VLOOKUP("*"&amp;sales[[#This Row],[Input]]&amp;"*",'Ref-List'!$A:$C,1,0)</f>
        <v>Model-Input-Ref</v>
      </c>
      <c r="H709" s="2" t="str">
        <f>VLOOKUP("*"&amp;G709&amp;"*",'Ref-List'!$A:$C,3,0)</f>
        <v>Product Line</v>
      </c>
      <c r="J709" s="2">
        <v>1</v>
      </c>
      <c r="K709" s="2">
        <v>598</v>
      </c>
      <c r="L709" s="2">
        <f>sales[[#This Row],[quantity]]*sales[[#This Row],[price]]</f>
        <v>598</v>
      </c>
      <c r="M709" s="9">
        <f>sales[[#This Row],[Total Price]]*3%</f>
        <v>17.939999999999998</v>
      </c>
      <c r="N709" s="171">
        <f>sales[[#This Row],[Total Price]]*2.5%</f>
        <v>14.950000000000001</v>
      </c>
      <c r="O709" s="9">
        <f>sales[[#This Row],[Total Price]]*1.5%</f>
        <v>8.9699999999999989</v>
      </c>
      <c r="Q709" s="2">
        <v>7</v>
      </c>
      <c r="R709" s="5" t="str">
        <f>_xlfn.CONCAT(sales[[#This Row],[Shop]]," ",sales[[#This Row],[Location]])</f>
        <v>Tuen Mun Broadway</v>
      </c>
    </row>
    <row r="710" spans="1:18" ht="15.6" customHeight="1">
      <c r="A710" s="7">
        <v>708</v>
      </c>
      <c r="B710" s="2" t="s">
        <v>1022</v>
      </c>
      <c r="C710" s="2" t="s">
        <v>1023</v>
      </c>
      <c r="D710" s="2" t="str">
        <f ca="1">OFFSET(Roster!$B$7, MATCH(B710&amp;" "&amp;C710&amp;"*",Roster!$B$8:$B$20,0),DAY(sales[[#This Row],[date]]),1, 1)</f>
        <v>May M</v>
      </c>
      <c r="E710" s="2">
        <f>MONTH(sales[[#This Row],[date]])</f>
        <v>6</v>
      </c>
      <c r="F710" s="234">
        <v>46199</v>
      </c>
      <c r="G710" s="3" t="str">
        <f>VLOOKUP("*"&amp;sales[[#This Row],[Input]]&amp;"*",'Ref-List'!$A:$C,1,0)</f>
        <v>Model-Input-Ref</v>
      </c>
      <c r="H710" s="2" t="str">
        <f>VLOOKUP("*"&amp;G710&amp;"*",'Ref-List'!$A:$C,3,0)</f>
        <v>Product Line</v>
      </c>
      <c r="J710" s="2">
        <v>1</v>
      </c>
      <c r="K710" s="2">
        <v>5488</v>
      </c>
      <c r="L710" s="2">
        <f>sales[[#This Row],[quantity]]*sales[[#This Row],[price]]</f>
        <v>5488</v>
      </c>
      <c r="M710" s="9">
        <f>sales[[#This Row],[Total Price]]*3%</f>
        <v>164.64</v>
      </c>
      <c r="N710" s="171">
        <f>sales[[#This Row],[Total Price]]*2.5%</f>
        <v>137.20000000000002</v>
      </c>
      <c r="O710" s="9">
        <f>sales[[#This Row],[Total Price]]*1.5%</f>
        <v>82.32</v>
      </c>
      <c r="Q710" s="2">
        <v>7</v>
      </c>
      <c r="R710" s="5" t="str">
        <f>_xlfn.CONCAT(sales[[#This Row],[Shop]]," ",sales[[#This Row],[Location]])</f>
        <v>Tuen Mun Broadway</v>
      </c>
    </row>
    <row r="711" spans="1:18" ht="15.6" customHeight="1">
      <c r="A711" s="7">
        <v>709</v>
      </c>
      <c r="B711" s="2" t="s">
        <v>1022</v>
      </c>
      <c r="C711" s="2" t="s">
        <v>1023</v>
      </c>
      <c r="D711" s="2" t="str">
        <f ca="1">OFFSET(Roster!$B$7, MATCH(B711&amp;" "&amp;C711&amp;"*",Roster!$B$8:$B$20,0),DAY(sales[[#This Row],[date]]),1, 1)</f>
        <v>May M</v>
      </c>
      <c r="E711" s="2">
        <f>MONTH(sales[[#This Row],[date]])</f>
        <v>6</v>
      </c>
      <c r="F711" s="234">
        <v>46199</v>
      </c>
      <c r="G711" s="3" t="str">
        <f>VLOOKUP("*"&amp;sales[[#This Row],[Input]]&amp;"*",'Ref-List'!$A:$C,1,0)</f>
        <v>Model-Input-Ref</v>
      </c>
      <c r="H711" s="2" t="str">
        <f>VLOOKUP("*"&amp;G711&amp;"*",'Ref-List'!$A:$C,3,0)</f>
        <v>Product Line</v>
      </c>
      <c r="J711" s="2">
        <v>1</v>
      </c>
      <c r="K711" s="2">
        <v>620</v>
      </c>
      <c r="L711" s="2">
        <f>sales[[#This Row],[quantity]]*sales[[#This Row],[price]]</f>
        <v>620</v>
      </c>
      <c r="M711" s="9">
        <f>sales[[#This Row],[Total Price]]*3%</f>
        <v>18.599999999999998</v>
      </c>
      <c r="N711" s="171">
        <f>sales[[#This Row],[Total Price]]*2.5%</f>
        <v>15.5</v>
      </c>
      <c r="O711" s="9">
        <f>sales[[#This Row],[Total Price]]*1.5%</f>
        <v>9.2999999999999989</v>
      </c>
      <c r="Q711" s="2">
        <v>7</v>
      </c>
      <c r="R711" s="5" t="str">
        <f>_xlfn.CONCAT(sales[[#This Row],[Shop]]," ",sales[[#This Row],[Location]])</f>
        <v>Tuen Mun Broadway</v>
      </c>
    </row>
    <row r="712" spans="1:18" ht="15.6" customHeight="1">
      <c r="A712" s="7">
        <v>710</v>
      </c>
      <c r="B712" s="2" t="s">
        <v>1022</v>
      </c>
      <c r="C712" s="2" t="s">
        <v>1023</v>
      </c>
      <c r="D712" s="2" t="str">
        <f ca="1">OFFSET(Roster!$B$7, MATCH(B712&amp;" "&amp;C712&amp;"*",Roster!$B$8:$B$20,0),DAY(sales[[#This Row],[date]]),1, 1)</f>
        <v>May M</v>
      </c>
      <c r="E712" s="2">
        <f>MONTH(sales[[#This Row],[date]])</f>
        <v>6</v>
      </c>
      <c r="F712" s="234">
        <v>46200</v>
      </c>
      <c r="G712" s="3" t="str">
        <f>VLOOKUP("*"&amp;sales[[#This Row],[Input]]&amp;"*",'Ref-List'!$A:$C,1,0)</f>
        <v>Model-Input-Ref</v>
      </c>
      <c r="H712" s="2" t="str">
        <f>VLOOKUP("*"&amp;G712&amp;"*",'Ref-List'!$A:$C,3,0)</f>
        <v>Product Line</v>
      </c>
      <c r="J712" s="2">
        <v>1</v>
      </c>
      <c r="K712" s="2">
        <v>2988</v>
      </c>
      <c r="L712" s="2">
        <f>sales[[#This Row],[quantity]]*sales[[#This Row],[price]]</f>
        <v>2988</v>
      </c>
      <c r="M712" s="9">
        <f>sales[[#This Row],[Total Price]]*3%</f>
        <v>89.64</v>
      </c>
      <c r="N712" s="171">
        <f>sales[[#This Row],[Total Price]]*2.5%</f>
        <v>74.7</v>
      </c>
      <c r="O712" s="9">
        <f>sales[[#This Row],[Total Price]]*1.5%</f>
        <v>44.82</v>
      </c>
      <c r="Q712" s="2">
        <v>7</v>
      </c>
      <c r="R712" s="5" t="str">
        <f>_xlfn.CONCAT(sales[[#This Row],[Shop]]," ",sales[[#This Row],[Location]])</f>
        <v>Tuen Mun Broadway</v>
      </c>
    </row>
    <row r="713" spans="1:18" ht="15.6" customHeight="1">
      <c r="A713" s="7">
        <v>711</v>
      </c>
      <c r="B713" s="2" t="s">
        <v>1022</v>
      </c>
      <c r="C713" s="2" t="s">
        <v>1023</v>
      </c>
      <c r="D713" s="2" t="str">
        <f ca="1">OFFSET(Roster!$B$7, MATCH(B713&amp;" "&amp;C713&amp;"*",Roster!$B$8:$B$20,0),DAY(sales[[#This Row],[date]]),1, 1)</f>
        <v>May M</v>
      </c>
      <c r="E713" s="2">
        <f>MONTH(sales[[#This Row],[date]])</f>
        <v>6</v>
      </c>
      <c r="F713" s="234">
        <v>46200</v>
      </c>
      <c r="G713" s="3" t="str">
        <f>VLOOKUP("*"&amp;sales[[#This Row],[Input]]&amp;"*",'Ref-List'!$A:$C,1,0)</f>
        <v>Model-Input-Ref</v>
      </c>
      <c r="H713" s="2" t="str">
        <f>VLOOKUP("*"&amp;G713&amp;"*",'Ref-List'!$A:$C,3,0)</f>
        <v>Product Line</v>
      </c>
      <c r="J713" s="2">
        <v>1</v>
      </c>
      <c r="K713" s="2">
        <v>2250</v>
      </c>
      <c r="L713" s="2">
        <f>sales[[#This Row],[quantity]]*sales[[#This Row],[price]]</f>
        <v>2250</v>
      </c>
      <c r="M713" s="9">
        <f>sales[[#This Row],[Total Price]]*3%</f>
        <v>67.5</v>
      </c>
      <c r="N713" s="171">
        <f>sales[[#This Row],[Total Price]]*2.5%</f>
        <v>56.25</v>
      </c>
      <c r="O713" s="9">
        <f>sales[[#This Row],[Total Price]]*1.5%</f>
        <v>33.75</v>
      </c>
      <c r="Q713" s="2">
        <v>7</v>
      </c>
      <c r="R713" s="5" t="str">
        <f>_xlfn.CONCAT(sales[[#This Row],[Shop]]," ",sales[[#This Row],[Location]])</f>
        <v>Tuen Mun Broadway</v>
      </c>
    </row>
    <row r="714" spans="1:18" ht="15.6" customHeight="1">
      <c r="A714" s="7">
        <v>712</v>
      </c>
      <c r="B714" s="2" t="s">
        <v>1022</v>
      </c>
      <c r="C714" s="2" t="s">
        <v>1023</v>
      </c>
      <c r="D714" s="2" t="str">
        <f ca="1">OFFSET(Roster!$B$7, MATCH(B714&amp;" "&amp;C714&amp;"*",Roster!$B$8:$B$20,0),DAY(sales[[#This Row],[date]]),1, 1)</f>
        <v>May M</v>
      </c>
      <c r="E714" s="2">
        <f>MONTH(sales[[#This Row],[date]])</f>
        <v>6</v>
      </c>
      <c r="F714" s="234">
        <v>46200</v>
      </c>
      <c r="G714" s="3" t="str">
        <f>VLOOKUP("*"&amp;sales[[#This Row],[Input]]&amp;"*",'Ref-List'!$A:$C,1,0)</f>
        <v>Model-Input-Ref</v>
      </c>
      <c r="H714" s="2" t="str">
        <f>VLOOKUP("*"&amp;G714&amp;"*",'Ref-List'!$A:$C,3,0)</f>
        <v>Product Line</v>
      </c>
      <c r="J714" s="2">
        <v>1</v>
      </c>
      <c r="K714" s="2">
        <v>298</v>
      </c>
      <c r="L714" s="2">
        <f>sales[[#This Row],[quantity]]*sales[[#This Row],[price]]</f>
        <v>298</v>
      </c>
      <c r="M714" s="9">
        <f>sales[[#This Row],[Total Price]]*3%</f>
        <v>8.94</v>
      </c>
      <c r="N714" s="171">
        <f>sales[[#This Row],[Total Price]]*2.5%</f>
        <v>7.45</v>
      </c>
      <c r="O714" s="9">
        <f>sales[[#This Row],[Total Price]]*1.5%</f>
        <v>4.47</v>
      </c>
      <c r="Q714" s="2">
        <v>7</v>
      </c>
      <c r="R714" s="5" t="str">
        <f>_xlfn.CONCAT(sales[[#This Row],[Shop]]," ",sales[[#This Row],[Location]])</f>
        <v>Tuen Mun Broadway</v>
      </c>
    </row>
    <row r="715" spans="1:18" ht="15.6" customHeight="1">
      <c r="A715" s="7">
        <v>713</v>
      </c>
      <c r="B715" s="2" t="s">
        <v>1022</v>
      </c>
      <c r="C715" s="2" t="s">
        <v>1023</v>
      </c>
      <c r="D715" s="2" t="str">
        <f ca="1">OFFSET(Roster!$B$7, MATCH(B715&amp;" "&amp;C715&amp;"*",Roster!$B$8:$B$20,0),DAY(sales[[#This Row],[date]]),1, 1)</f>
        <v>May M</v>
      </c>
      <c r="E715" s="2">
        <f>MONTH(sales[[#This Row],[date]])</f>
        <v>6</v>
      </c>
      <c r="F715" s="234">
        <v>46200</v>
      </c>
      <c r="G715" s="3" t="str">
        <f>VLOOKUP("*"&amp;sales[[#This Row],[Input]]&amp;"*",'Ref-List'!$A:$C,1,0)</f>
        <v>Model-Input-Ref</v>
      </c>
      <c r="H715" s="2" t="str">
        <f>VLOOKUP("*"&amp;G715&amp;"*",'Ref-List'!$A:$C,3,0)</f>
        <v>Product Line</v>
      </c>
      <c r="J715" s="2">
        <v>1</v>
      </c>
      <c r="K715" s="2">
        <v>298</v>
      </c>
      <c r="L715" s="2">
        <f>sales[[#This Row],[quantity]]*sales[[#This Row],[price]]</f>
        <v>298</v>
      </c>
      <c r="M715" s="9">
        <f>sales[[#This Row],[Total Price]]*3%</f>
        <v>8.94</v>
      </c>
      <c r="N715" s="171">
        <f>sales[[#This Row],[Total Price]]*2.5%</f>
        <v>7.45</v>
      </c>
      <c r="O715" s="9">
        <f>sales[[#This Row],[Total Price]]*1.5%</f>
        <v>4.47</v>
      </c>
      <c r="Q715" s="2">
        <v>7</v>
      </c>
      <c r="R715" s="5" t="str">
        <f>_xlfn.CONCAT(sales[[#This Row],[Shop]]," ",sales[[#This Row],[Location]])</f>
        <v>Tuen Mun Broadway</v>
      </c>
    </row>
    <row r="716" spans="1:18" ht="15.6" customHeight="1">
      <c r="A716" s="7">
        <v>714</v>
      </c>
      <c r="B716" s="2" t="s">
        <v>1022</v>
      </c>
      <c r="C716" s="2" t="s">
        <v>1023</v>
      </c>
      <c r="D716" s="2" t="str">
        <f ca="1">OFFSET(Roster!$B$7, MATCH(B716&amp;" "&amp;C716&amp;"*",Roster!$B$8:$B$20,0),DAY(sales[[#This Row],[date]]),1, 1)</f>
        <v>May M</v>
      </c>
      <c r="E716" s="2">
        <f>MONTH(sales[[#This Row],[date]])</f>
        <v>6</v>
      </c>
      <c r="F716" s="234">
        <v>46200</v>
      </c>
      <c r="G716" s="3" t="str">
        <f>VLOOKUP("*"&amp;sales[[#This Row],[Input]]&amp;"*",'Ref-List'!$A:$C,1,0)</f>
        <v>Model-Input-Ref</v>
      </c>
      <c r="H716" s="2" t="str">
        <f>VLOOKUP("*"&amp;G716&amp;"*",'Ref-List'!$A:$C,3,0)</f>
        <v>Product Line</v>
      </c>
      <c r="J716" s="2">
        <v>1</v>
      </c>
      <c r="K716" s="2">
        <v>848</v>
      </c>
      <c r="L716" s="2">
        <f>sales[[#This Row],[quantity]]*sales[[#This Row],[price]]</f>
        <v>848</v>
      </c>
      <c r="M716" s="9">
        <f>sales[[#This Row],[Total Price]]*3%</f>
        <v>25.439999999999998</v>
      </c>
      <c r="N716" s="171">
        <f>sales[[#This Row],[Total Price]]*2.5%</f>
        <v>21.200000000000003</v>
      </c>
      <c r="O716" s="9">
        <f>sales[[#This Row],[Total Price]]*1.5%</f>
        <v>12.719999999999999</v>
      </c>
      <c r="Q716" s="2">
        <v>7</v>
      </c>
      <c r="R716" s="5" t="str">
        <f>_xlfn.CONCAT(sales[[#This Row],[Shop]]," ",sales[[#This Row],[Location]])</f>
        <v>Tuen Mun Broadway</v>
      </c>
    </row>
    <row r="717" spans="1:18" ht="15.6" customHeight="1">
      <c r="A717" s="7">
        <v>715</v>
      </c>
      <c r="B717" s="2" t="s">
        <v>1022</v>
      </c>
      <c r="C717" s="2" t="s">
        <v>1023</v>
      </c>
      <c r="D717" s="2" t="str">
        <f ca="1">OFFSET(Roster!$B$7, MATCH(B717&amp;" "&amp;C717&amp;"*",Roster!$B$8:$B$20,0),DAY(sales[[#This Row],[date]]),1, 1)</f>
        <v>May M</v>
      </c>
      <c r="E717" s="2">
        <f>MONTH(sales[[#This Row],[date]])</f>
        <v>6</v>
      </c>
      <c r="F717" s="234">
        <v>46200</v>
      </c>
      <c r="G717" s="3" t="str">
        <f>VLOOKUP("*"&amp;sales[[#This Row],[Input]]&amp;"*",'Ref-List'!$A:$C,1,0)</f>
        <v>Model-Input-Ref</v>
      </c>
      <c r="H717" s="2" t="str">
        <f>VLOOKUP("*"&amp;G717&amp;"*",'Ref-List'!$A:$C,3,0)</f>
        <v>Product Line</v>
      </c>
      <c r="J717" s="2">
        <v>1</v>
      </c>
      <c r="K717" s="2">
        <v>1330</v>
      </c>
      <c r="L717" s="2">
        <f>sales[[#This Row],[quantity]]*sales[[#This Row],[price]]</f>
        <v>1330</v>
      </c>
      <c r="M717" s="9">
        <f>sales[[#This Row],[Total Price]]*3%</f>
        <v>39.9</v>
      </c>
      <c r="N717" s="171">
        <f>sales[[#This Row],[Total Price]]*2.5%</f>
        <v>33.25</v>
      </c>
      <c r="O717" s="9">
        <f>sales[[#This Row],[Total Price]]*1.5%</f>
        <v>19.95</v>
      </c>
      <c r="Q717" s="2">
        <v>7</v>
      </c>
      <c r="R717" s="5" t="str">
        <f>_xlfn.CONCAT(sales[[#This Row],[Shop]]," ",sales[[#This Row],[Location]])</f>
        <v>Tuen Mun Broadway</v>
      </c>
    </row>
    <row r="718" spans="1:18" ht="15.6" customHeight="1">
      <c r="A718" s="7">
        <v>716</v>
      </c>
      <c r="B718" s="2" t="s">
        <v>1022</v>
      </c>
      <c r="C718" s="2" t="s">
        <v>1023</v>
      </c>
      <c r="D718" s="2" t="str">
        <f ca="1">OFFSET(Roster!$B$7, MATCH(B718&amp;" "&amp;C718&amp;"*",Roster!$B$8:$B$20,0),DAY(sales[[#This Row],[date]]),1, 1)</f>
        <v>May M</v>
      </c>
      <c r="E718" s="2">
        <f>MONTH(sales[[#This Row],[date]])</f>
        <v>6</v>
      </c>
      <c r="F718" s="234">
        <v>46201</v>
      </c>
      <c r="G718" s="3" t="str">
        <f>VLOOKUP("*"&amp;sales[[#This Row],[Input]]&amp;"*",'Ref-List'!$A:$C,1,0)</f>
        <v>Model-Input-Ref</v>
      </c>
      <c r="H718" s="2" t="str">
        <f>VLOOKUP("*"&amp;G718&amp;"*",'Ref-List'!$A:$C,3,0)</f>
        <v>Product Line</v>
      </c>
      <c r="J718" s="2">
        <v>1</v>
      </c>
      <c r="K718" s="2">
        <v>2988</v>
      </c>
      <c r="L718" s="2">
        <f>sales[[#This Row],[quantity]]*sales[[#This Row],[price]]</f>
        <v>2988</v>
      </c>
      <c r="M718" s="9">
        <f>sales[[#This Row],[Total Price]]*3%</f>
        <v>89.64</v>
      </c>
      <c r="N718" s="171">
        <f>sales[[#This Row],[Total Price]]*2.5%</f>
        <v>74.7</v>
      </c>
      <c r="O718" s="9">
        <f>sales[[#This Row],[Total Price]]*1.5%</f>
        <v>44.82</v>
      </c>
      <c r="Q718" s="2">
        <v>7</v>
      </c>
      <c r="R718" s="5" t="str">
        <f>_xlfn.CONCAT(sales[[#This Row],[Shop]]," ",sales[[#This Row],[Location]])</f>
        <v>Tuen Mun Broadway</v>
      </c>
    </row>
    <row r="719" spans="1:18" ht="15.6" customHeight="1">
      <c r="A719" s="7">
        <v>717</v>
      </c>
      <c r="B719" s="2" t="s">
        <v>1022</v>
      </c>
      <c r="C719" s="2" t="s">
        <v>1023</v>
      </c>
      <c r="D719" s="2" t="str">
        <f ca="1">OFFSET(Roster!$B$7, MATCH(B719&amp;" "&amp;C719&amp;"*",Roster!$B$8:$B$20,0),DAY(sales[[#This Row],[date]]),1, 1)</f>
        <v>May M</v>
      </c>
      <c r="E719" s="2">
        <f>MONTH(sales[[#This Row],[date]])</f>
        <v>6</v>
      </c>
      <c r="F719" s="234">
        <v>46201</v>
      </c>
      <c r="G719" s="3" t="str">
        <f>VLOOKUP("*"&amp;sales[[#This Row],[Input]]&amp;"*",'Ref-List'!$A:$C,1,0)</f>
        <v>Model-Input-Ref</v>
      </c>
      <c r="H719" s="2" t="str">
        <f>VLOOKUP("*"&amp;G719&amp;"*",'Ref-List'!$A:$C,3,0)</f>
        <v>Product Line</v>
      </c>
      <c r="J719" s="2">
        <v>1</v>
      </c>
      <c r="K719" s="2">
        <v>598</v>
      </c>
      <c r="L719" s="2">
        <f>sales[[#This Row],[quantity]]*sales[[#This Row],[price]]</f>
        <v>598</v>
      </c>
      <c r="M719" s="9">
        <f>sales[[#This Row],[Total Price]]*3%</f>
        <v>17.939999999999998</v>
      </c>
      <c r="N719" s="171">
        <f>sales[[#This Row],[Total Price]]*2.5%</f>
        <v>14.950000000000001</v>
      </c>
      <c r="O719" s="9">
        <f>sales[[#This Row],[Total Price]]*1.5%</f>
        <v>8.9699999999999989</v>
      </c>
      <c r="Q719" s="2">
        <v>7</v>
      </c>
      <c r="R719" s="5" t="str">
        <f>_xlfn.CONCAT(sales[[#This Row],[Shop]]," ",sales[[#This Row],[Location]])</f>
        <v>Tuen Mun Broadway</v>
      </c>
    </row>
    <row r="720" spans="1:18" ht="15.6" customHeight="1">
      <c r="A720" s="7">
        <v>718</v>
      </c>
      <c r="B720" s="2" t="s">
        <v>1022</v>
      </c>
      <c r="C720" s="2" t="s">
        <v>1023</v>
      </c>
      <c r="D720" s="2" t="str">
        <f ca="1">OFFSET(Roster!$B$7, MATCH(B720&amp;" "&amp;C720&amp;"*",Roster!$B$8:$B$20,0),DAY(sales[[#This Row],[date]]),1, 1)</f>
        <v>May M</v>
      </c>
      <c r="E720" s="2">
        <f>MONTH(sales[[#This Row],[date]])</f>
        <v>6</v>
      </c>
      <c r="F720" s="234">
        <v>46201</v>
      </c>
      <c r="G720" s="3" t="str">
        <f>VLOOKUP("*"&amp;sales[[#This Row],[Input]]&amp;"*",'Ref-List'!$A:$C,1,0)</f>
        <v>Model-Input-Ref</v>
      </c>
      <c r="H720" s="2" t="str">
        <f>VLOOKUP("*"&amp;G720&amp;"*",'Ref-List'!$A:$C,3,0)</f>
        <v>Product Line</v>
      </c>
      <c r="J720" s="2">
        <v>1</v>
      </c>
      <c r="K720" s="2">
        <v>620</v>
      </c>
      <c r="L720" s="2">
        <f>sales[[#This Row],[quantity]]*sales[[#This Row],[price]]</f>
        <v>620</v>
      </c>
      <c r="M720" s="9">
        <f>sales[[#This Row],[Total Price]]*3%</f>
        <v>18.599999999999998</v>
      </c>
      <c r="N720" s="171">
        <f>sales[[#This Row],[Total Price]]*2.5%</f>
        <v>15.5</v>
      </c>
      <c r="O720" s="9">
        <f>sales[[#This Row],[Total Price]]*1.5%</f>
        <v>9.2999999999999989</v>
      </c>
      <c r="Q720" s="2">
        <v>7</v>
      </c>
      <c r="R720" s="5" t="str">
        <f>_xlfn.CONCAT(sales[[#This Row],[Shop]]," ",sales[[#This Row],[Location]])</f>
        <v>Tuen Mun Broadway</v>
      </c>
    </row>
    <row r="721" spans="1:18" ht="15.6" customHeight="1">
      <c r="A721" s="7">
        <v>719</v>
      </c>
      <c r="B721" s="2" t="s">
        <v>1022</v>
      </c>
      <c r="C721" s="2" t="s">
        <v>1023</v>
      </c>
      <c r="D721" s="2" t="str">
        <f ca="1">OFFSET(Roster!$B$7, MATCH(B721&amp;" "&amp;C721&amp;"*",Roster!$B$8:$B$20,0),DAY(sales[[#This Row],[date]]),1, 1)</f>
        <v>May M</v>
      </c>
      <c r="E721" s="2">
        <f>MONTH(sales[[#This Row],[date]])</f>
        <v>6</v>
      </c>
      <c r="F721" s="234">
        <v>46201</v>
      </c>
      <c r="G721" s="3" t="str">
        <f>VLOOKUP("*"&amp;sales[[#This Row],[Input]]&amp;"*",'Ref-List'!$A:$C,1,0)</f>
        <v>Model-Input-Ref</v>
      </c>
      <c r="H721" s="2" t="str">
        <f>VLOOKUP("*"&amp;G721&amp;"*",'Ref-List'!$A:$C,3,0)</f>
        <v>Product Line</v>
      </c>
      <c r="J721" s="2">
        <v>1</v>
      </c>
      <c r="K721" s="2">
        <v>620</v>
      </c>
      <c r="L721" s="2">
        <f>sales[[#This Row],[quantity]]*sales[[#This Row],[price]]</f>
        <v>620</v>
      </c>
      <c r="M721" s="9">
        <f>sales[[#This Row],[Total Price]]*3%</f>
        <v>18.599999999999998</v>
      </c>
      <c r="N721" s="171">
        <f>sales[[#This Row],[Total Price]]*2.5%</f>
        <v>15.5</v>
      </c>
      <c r="O721" s="9">
        <f>sales[[#This Row],[Total Price]]*1.5%</f>
        <v>9.2999999999999989</v>
      </c>
      <c r="Q721" s="2">
        <v>7</v>
      </c>
      <c r="R721" s="5" t="str">
        <f>_xlfn.CONCAT(sales[[#This Row],[Shop]]," ",sales[[#This Row],[Location]])</f>
        <v>Tuen Mun Broadway</v>
      </c>
    </row>
    <row r="722" spans="1:18" ht="15.6" customHeight="1">
      <c r="A722" s="7">
        <v>720</v>
      </c>
      <c r="B722" s="2" t="s">
        <v>1022</v>
      </c>
      <c r="C722" s="2" t="s">
        <v>1023</v>
      </c>
      <c r="D722" s="2" t="str">
        <f ca="1">OFFSET(Roster!$B$7, MATCH(B722&amp;" "&amp;C722&amp;"*",Roster!$B$8:$B$20,0),DAY(sales[[#This Row],[date]]),1, 1)</f>
        <v>May M</v>
      </c>
      <c r="E722" s="2">
        <f>MONTH(sales[[#This Row],[date]])</f>
        <v>6</v>
      </c>
      <c r="F722" s="234">
        <v>46201</v>
      </c>
      <c r="G722" s="3" t="str">
        <f>VLOOKUP("*"&amp;sales[[#This Row],[Input]]&amp;"*",'Ref-List'!$A:$C,1,0)</f>
        <v>Model-Input-Ref</v>
      </c>
      <c r="H722" s="2" t="str">
        <f>VLOOKUP("*"&amp;G722&amp;"*",'Ref-List'!$A:$C,3,0)</f>
        <v>Product Line</v>
      </c>
      <c r="J722" s="2">
        <v>1</v>
      </c>
      <c r="K722" s="2">
        <v>160</v>
      </c>
      <c r="L722" s="2">
        <f>sales[[#This Row],[quantity]]*sales[[#This Row],[price]]</f>
        <v>160</v>
      </c>
      <c r="M722" s="9">
        <f>sales[[#This Row],[Total Price]]*3%</f>
        <v>4.8</v>
      </c>
      <c r="N722" s="171">
        <f>sales[[#This Row],[Total Price]]*2.5%</f>
        <v>4</v>
      </c>
      <c r="O722" s="9">
        <f>sales[[#This Row],[Total Price]]*1.5%</f>
        <v>2.4</v>
      </c>
      <c r="Q722" s="2">
        <v>7</v>
      </c>
      <c r="R722" s="5" t="str">
        <f>_xlfn.CONCAT(sales[[#This Row],[Shop]]," ",sales[[#This Row],[Location]])</f>
        <v>Tuen Mun Broadway</v>
      </c>
    </row>
    <row r="723" spans="1:18" ht="15.6" customHeight="1">
      <c r="A723" s="7">
        <v>721</v>
      </c>
      <c r="B723" s="2" t="s">
        <v>1022</v>
      </c>
      <c r="C723" s="2" t="s">
        <v>1023</v>
      </c>
      <c r="D723" s="2" t="str">
        <f ca="1">OFFSET(Roster!$B$7, MATCH(B723&amp;" "&amp;C723&amp;"*",Roster!$B$8:$B$20,0),DAY(sales[[#This Row],[date]]),1, 1)</f>
        <v>May M</v>
      </c>
      <c r="E723" s="2">
        <f>MONTH(sales[[#This Row],[date]])</f>
        <v>6</v>
      </c>
      <c r="F723" s="234">
        <v>46201</v>
      </c>
      <c r="G723" s="3" t="str">
        <f>VLOOKUP("*"&amp;sales[[#This Row],[Input]]&amp;"*",'Ref-List'!$A:$C,1,0)</f>
        <v>Model-Input-Ref</v>
      </c>
      <c r="H723" s="2" t="str">
        <f>VLOOKUP("*"&amp;G723&amp;"*",'Ref-List'!$A:$C,3,0)</f>
        <v>Product Line</v>
      </c>
      <c r="J723" s="2">
        <v>1</v>
      </c>
      <c r="K723" s="2">
        <v>8180</v>
      </c>
      <c r="L723" s="2">
        <f>sales[[#This Row],[quantity]]*sales[[#This Row],[price]]</f>
        <v>8180</v>
      </c>
      <c r="M723" s="9">
        <f>sales[[#This Row],[Total Price]]*3%</f>
        <v>245.39999999999998</v>
      </c>
      <c r="N723" s="171">
        <f>sales[[#This Row],[Total Price]]*2.5%</f>
        <v>204.5</v>
      </c>
      <c r="O723" s="9">
        <f>sales[[#This Row],[Total Price]]*1.5%</f>
        <v>122.69999999999999</v>
      </c>
      <c r="Q723" s="2">
        <v>7</v>
      </c>
      <c r="R723" s="5" t="str">
        <f>_xlfn.CONCAT(sales[[#This Row],[Shop]]," ",sales[[#This Row],[Location]])</f>
        <v>Tuen Mun Broadway</v>
      </c>
    </row>
    <row r="724" spans="1:18" ht="15.6" customHeight="1">
      <c r="A724" s="7">
        <v>722</v>
      </c>
      <c r="B724" s="2" t="s">
        <v>1022</v>
      </c>
      <c r="C724" s="2" t="s">
        <v>1023</v>
      </c>
      <c r="D724" s="2" t="str">
        <f ca="1">OFFSET(Roster!$B$7, MATCH(B724&amp;" "&amp;C724&amp;"*",Roster!$B$8:$B$20,0),DAY(sales[[#This Row],[date]]),1, 1)</f>
        <v>May M</v>
      </c>
      <c r="E724" s="2">
        <f>MONTH(sales[[#This Row],[date]])</f>
        <v>6</v>
      </c>
      <c r="F724" s="234">
        <v>46201</v>
      </c>
      <c r="G724" s="3" t="str">
        <f>VLOOKUP("*"&amp;sales[[#This Row],[Input]]&amp;"*",'Ref-List'!$A:$C,1,0)</f>
        <v>Model-Input-Ref</v>
      </c>
      <c r="H724" s="2" t="str">
        <f>VLOOKUP("*"&amp;G724&amp;"*",'Ref-List'!$A:$C,3,0)</f>
        <v>Product Line</v>
      </c>
      <c r="J724" s="2">
        <v>1</v>
      </c>
      <c r="K724" s="2">
        <v>8180</v>
      </c>
      <c r="L724" s="2">
        <f>sales[[#This Row],[quantity]]*sales[[#This Row],[price]]</f>
        <v>8180</v>
      </c>
      <c r="M724" s="9">
        <f>sales[[#This Row],[Total Price]]*3%</f>
        <v>245.39999999999998</v>
      </c>
      <c r="N724" s="171">
        <f>sales[[#This Row],[Total Price]]*2.5%</f>
        <v>204.5</v>
      </c>
      <c r="O724" s="9">
        <f>sales[[#This Row],[Total Price]]*1.5%</f>
        <v>122.69999999999999</v>
      </c>
      <c r="Q724" s="2">
        <v>7</v>
      </c>
      <c r="R724" s="5" t="str">
        <f>_xlfn.CONCAT(sales[[#This Row],[Shop]]," ",sales[[#This Row],[Location]])</f>
        <v>Tuen Mun Broadway</v>
      </c>
    </row>
    <row r="725" spans="1:18" ht="15.6" customHeight="1">
      <c r="A725" s="7">
        <v>723</v>
      </c>
      <c r="B725" s="2" t="s">
        <v>1022</v>
      </c>
      <c r="C725" s="2" t="s">
        <v>1023</v>
      </c>
      <c r="D725" s="2" t="str">
        <f ca="1">OFFSET(Roster!$B$7, MATCH(B725&amp;" "&amp;C725&amp;"*",Roster!$B$8:$B$20,0),DAY(sales[[#This Row],[date]]),1, 1)</f>
        <v>May M</v>
      </c>
      <c r="E725" s="2">
        <f>MONTH(sales[[#This Row],[date]])</f>
        <v>6</v>
      </c>
      <c r="F725" s="234">
        <v>46201</v>
      </c>
      <c r="G725" s="3" t="str">
        <f>VLOOKUP("*"&amp;sales[[#This Row],[Input]]&amp;"*",'Ref-List'!$A:$C,1,0)</f>
        <v>Model-Input-Ref</v>
      </c>
      <c r="H725" s="2" t="str">
        <f>VLOOKUP("*"&amp;G725&amp;"*",'Ref-List'!$A:$C,3,0)</f>
        <v>Product Line</v>
      </c>
      <c r="J725" s="2">
        <v>1</v>
      </c>
      <c r="K725" s="2">
        <v>848</v>
      </c>
      <c r="L725" s="2">
        <f>sales[[#This Row],[quantity]]*sales[[#This Row],[price]]</f>
        <v>848</v>
      </c>
      <c r="M725" s="9">
        <f>sales[[#This Row],[Total Price]]*3%</f>
        <v>25.439999999999998</v>
      </c>
      <c r="N725" s="171">
        <f>sales[[#This Row],[Total Price]]*2.5%</f>
        <v>21.200000000000003</v>
      </c>
      <c r="O725" s="9">
        <f>sales[[#This Row],[Total Price]]*1.5%</f>
        <v>12.719999999999999</v>
      </c>
      <c r="Q725" s="2">
        <v>7</v>
      </c>
      <c r="R725" s="5" t="str">
        <f>_xlfn.CONCAT(sales[[#This Row],[Shop]]," ",sales[[#This Row],[Location]])</f>
        <v>Tuen Mun Broadway</v>
      </c>
    </row>
    <row r="726" spans="1:18" ht="15.6" customHeight="1">
      <c r="A726" s="7">
        <v>724</v>
      </c>
      <c r="B726" s="2" t="s">
        <v>1022</v>
      </c>
      <c r="C726" s="2" t="s">
        <v>1023</v>
      </c>
      <c r="D726" s="2" t="str">
        <f ca="1">OFFSET(Roster!$B$7, MATCH(B726&amp;" "&amp;C726&amp;"*",Roster!$B$8:$B$20,0),DAY(sales[[#This Row],[date]]),1, 1)</f>
        <v>May M</v>
      </c>
      <c r="E726" s="2">
        <f>MONTH(sales[[#This Row],[date]])</f>
        <v>6</v>
      </c>
      <c r="F726" s="234">
        <v>46201</v>
      </c>
      <c r="G726" s="3" t="str">
        <f>VLOOKUP("*"&amp;sales[[#This Row],[Input]]&amp;"*",'Ref-List'!$A:$C,1,0)</f>
        <v>Model-Input-Ref</v>
      </c>
      <c r="H726" s="2" t="str">
        <f>VLOOKUP("*"&amp;G726&amp;"*",'Ref-List'!$A:$C,3,0)</f>
        <v>Product Line</v>
      </c>
      <c r="J726" s="2">
        <v>1</v>
      </c>
      <c r="K726" s="2">
        <v>1388</v>
      </c>
      <c r="L726" s="2">
        <f>sales[[#This Row],[quantity]]*sales[[#This Row],[price]]</f>
        <v>1388</v>
      </c>
      <c r="M726" s="9">
        <f>sales[[#This Row],[Total Price]]*3%</f>
        <v>41.64</v>
      </c>
      <c r="N726" s="171">
        <f>sales[[#This Row],[Total Price]]*2.5%</f>
        <v>34.700000000000003</v>
      </c>
      <c r="O726" s="9">
        <f>sales[[#This Row],[Total Price]]*1.5%</f>
        <v>20.82</v>
      </c>
      <c r="Q726" s="2">
        <v>7</v>
      </c>
      <c r="R726" s="5" t="str">
        <f>_xlfn.CONCAT(sales[[#This Row],[Shop]]," ",sales[[#This Row],[Location]])</f>
        <v>Tuen Mun Broadway</v>
      </c>
    </row>
    <row r="727" spans="1:18" ht="15.6" customHeight="1">
      <c r="A727" s="7">
        <v>725</v>
      </c>
      <c r="B727" s="2" t="s">
        <v>1022</v>
      </c>
      <c r="C727" s="2" t="s">
        <v>1023</v>
      </c>
      <c r="D727" s="2" t="str">
        <f ca="1">OFFSET(Roster!$B$7, MATCH(B727&amp;" "&amp;C727&amp;"*",Roster!$B$8:$B$20,0),DAY(sales[[#This Row],[date]]),1, 1)</f>
        <v>May M</v>
      </c>
      <c r="E727" s="2">
        <f>MONTH(sales[[#This Row],[date]])</f>
        <v>6</v>
      </c>
      <c r="F727" s="234">
        <v>46201</v>
      </c>
      <c r="G727" s="3" t="str">
        <f>VLOOKUP("*"&amp;sales[[#This Row],[Input]]&amp;"*",'Ref-List'!$A:$C,1,0)</f>
        <v>Model-Input-Ref</v>
      </c>
      <c r="H727" s="2" t="str">
        <f>VLOOKUP("*"&amp;G727&amp;"*",'Ref-List'!$A:$C,3,0)</f>
        <v>Product Line</v>
      </c>
      <c r="J727" s="2">
        <v>1</v>
      </c>
      <c r="K727" s="2">
        <v>3988</v>
      </c>
      <c r="L727" s="2">
        <f>sales[[#This Row],[quantity]]*sales[[#This Row],[price]]</f>
        <v>3988</v>
      </c>
      <c r="M727" s="9">
        <f>sales[[#This Row],[Total Price]]*3%</f>
        <v>119.64</v>
      </c>
      <c r="N727" s="171">
        <f>sales[[#This Row],[Total Price]]*2.5%</f>
        <v>99.7</v>
      </c>
      <c r="O727" s="9">
        <f>sales[[#This Row],[Total Price]]*1.5%</f>
        <v>59.82</v>
      </c>
      <c r="Q727" s="2">
        <v>7</v>
      </c>
      <c r="R727" s="5" t="str">
        <f>_xlfn.CONCAT(sales[[#This Row],[Shop]]," ",sales[[#This Row],[Location]])</f>
        <v>Tuen Mun Broadway</v>
      </c>
    </row>
    <row r="728" spans="1:18" ht="15.6" customHeight="1">
      <c r="A728" s="7">
        <v>726</v>
      </c>
      <c r="B728" s="2" t="s">
        <v>1024</v>
      </c>
      <c r="C728" s="2" t="s">
        <v>1025</v>
      </c>
      <c r="D728" s="2" t="str">
        <f ca="1">OFFSET(Roster!$B$7, MATCH(B728&amp;" "&amp;C728&amp;"*",Roster!$B$8:$B$20,0),DAY(sales[[#This Row],[date]]),1, 1)</f>
        <v>Hazel</v>
      </c>
      <c r="E728" s="2">
        <f>MONTH(sales[[#This Row],[date]])</f>
        <v>6</v>
      </c>
      <c r="F728" s="234">
        <v>46177</v>
      </c>
      <c r="G728" s="3" t="str">
        <f>VLOOKUP("*"&amp;sales[[#This Row],[Input]]&amp;"*",'Ref-List'!$A:$C,1,0)</f>
        <v>Model-Input-Ref</v>
      </c>
      <c r="H728" s="2" t="str">
        <f>VLOOKUP("*"&amp;G728&amp;"*",'Ref-List'!$A:$C,3,0)</f>
        <v>Product Line</v>
      </c>
      <c r="J728" s="2">
        <v>1</v>
      </c>
      <c r="K728" s="2">
        <v>675</v>
      </c>
      <c r="L728" s="2">
        <f>sales[[#This Row],[quantity]]*sales[[#This Row],[price]]</f>
        <v>675</v>
      </c>
      <c r="M728" s="9">
        <f>sales[[#This Row],[Total Price]]*3%</f>
        <v>20.25</v>
      </c>
      <c r="N728" s="171">
        <f>sales[[#This Row],[Total Price]]*2.5%</f>
        <v>16.875</v>
      </c>
      <c r="O728" s="9">
        <f>sales[[#This Row],[Total Price]]*1.5%</f>
        <v>10.125</v>
      </c>
      <c r="Q728" s="2">
        <v>1</v>
      </c>
      <c r="R728" s="5" t="str">
        <f>_xlfn.CONCAT(sales[[#This Row],[Shop]]," ",sales[[#This Row],[Location]])</f>
        <v>SW Wing On</v>
      </c>
    </row>
    <row r="729" spans="1:18" ht="15.6" customHeight="1">
      <c r="A729" s="7">
        <v>727</v>
      </c>
      <c r="B729" s="2" t="s">
        <v>1024</v>
      </c>
      <c r="C729" s="2" t="s">
        <v>1025</v>
      </c>
      <c r="D729" s="2" t="str">
        <f ca="1">OFFSET(Roster!$B$7, MATCH(B729&amp;" "&amp;C729&amp;"*",Roster!$B$8:$B$20,0),DAY(sales[[#This Row],[date]]),1, 1)</f>
        <v>Hazel</v>
      </c>
      <c r="E729" s="2">
        <f>MONTH(sales[[#This Row],[date]])</f>
        <v>6</v>
      </c>
      <c r="F729" s="234">
        <v>46177</v>
      </c>
      <c r="G729" s="3" t="str">
        <f>VLOOKUP("*"&amp;sales[[#This Row],[Input]]&amp;"*",'Ref-List'!$A:$C,1,0)</f>
        <v>Model-Input-Ref</v>
      </c>
      <c r="H729" s="2" t="str">
        <f>VLOOKUP("*"&amp;G729&amp;"*",'Ref-List'!$A:$C,3,0)</f>
        <v>Product Line</v>
      </c>
      <c r="J729" s="2">
        <v>1</v>
      </c>
      <c r="K729" s="2">
        <v>798</v>
      </c>
      <c r="L729" s="2">
        <f>sales[[#This Row],[quantity]]*sales[[#This Row],[price]]</f>
        <v>798</v>
      </c>
      <c r="M729" s="9">
        <f>sales[[#This Row],[Total Price]]*3%</f>
        <v>23.939999999999998</v>
      </c>
      <c r="N729" s="171">
        <f>sales[[#This Row],[Total Price]]*2.5%</f>
        <v>19.950000000000003</v>
      </c>
      <c r="O729" s="9">
        <f>sales[[#This Row],[Total Price]]*1.5%</f>
        <v>11.969999999999999</v>
      </c>
      <c r="Q729" s="2">
        <v>1</v>
      </c>
      <c r="R729" s="5" t="str">
        <f>_xlfn.CONCAT(sales[[#This Row],[Shop]]," ",sales[[#This Row],[Location]])</f>
        <v>SW Wing On</v>
      </c>
    </row>
    <row r="730" spans="1:18" ht="15.6" customHeight="1">
      <c r="A730" s="7">
        <v>728</v>
      </c>
      <c r="B730" s="2" t="s">
        <v>1024</v>
      </c>
      <c r="C730" s="2" t="s">
        <v>1025</v>
      </c>
      <c r="D730" s="2" t="str">
        <f ca="1">OFFSET(Roster!$B$7, MATCH(B730&amp;" "&amp;C730&amp;"*",Roster!$B$8:$B$20,0),DAY(sales[[#This Row],[date]]),1, 1)</f>
        <v>Hazel</v>
      </c>
      <c r="E730" s="2">
        <f>MONTH(sales[[#This Row],[date]])</f>
        <v>6</v>
      </c>
      <c r="F730" s="234">
        <v>46177</v>
      </c>
      <c r="G730" s="3" t="str">
        <f>VLOOKUP("*"&amp;sales[[#This Row],[Input]]&amp;"*",'Ref-List'!$A:$C,1,0)</f>
        <v>Model-Input-Ref</v>
      </c>
      <c r="H730" s="2" t="str">
        <f>VLOOKUP("*"&amp;G730&amp;"*",'Ref-List'!$A:$C,3,0)</f>
        <v>Product Line</v>
      </c>
      <c r="J730" s="2">
        <v>1</v>
      </c>
      <c r="K730" s="2">
        <v>1516</v>
      </c>
      <c r="L730" s="2">
        <f>sales[[#This Row],[quantity]]*sales[[#This Row],[price]]</f>
        <v>1516</v>
      </c>
      <c r="M730" s="9">
        <f>sales[[#This Row],[Total Price]]*3%</f>
        <v>45.48</v>
      </c>
      <c r="N730" s="171">
        <f>sales[[#This Row],[Total Price]]*2.5%</f>
        <v>37.9</v>
      </c>
      <c r="O730" s="9">
        <f>sales[[#This Row],[Total Price]]*1.5%</f>
        <v>22.74</v>
      </c>
      <c r="Q730" s="2">
        <v>1</v>
      </c>
      <c r="R730" s="5" t="str">
        <f>_xlfn.CONCAT(sales[[#This Row],[Shop]]," ",sales[[#This Row],[Location]])</f>
        <v>SW Wing On</v>
      </c>
    </row>
    <row r="731" spans="1:18" ht="15.6" customHeight="1">
      <c r="A731" s="7">
        <v>729</v>
      </c>
      <c r="B731" s="2" t="s">
        <v>1024</v>
      </c>
      <c r="C731" s="2" t="s">
        <v>1025</v>
      </c>
      <c r="D731" s="2" t="str">
        <f ca="1">OFFSET(Roster!$B$7, MATCH(B731&amp;" "&amp;C731&amp;"*",Roster!$B$8:$B$20,0),DAY(sales[[#This Row],[date]]),1, 1)</f>
        <v>Hazel</v>
      </c>
      <c r="E731" s="2">
        <f>MONTH(sales[[#This Row],[date]])</f>
        <v>6</v>
      </c>
      <c r="F731" s="234">
        <v>46177</v>
      </c>
      <c r="G731" s="3" t="str">
        <f>VLOOKUP("*"&amp;sales[[#This Row],[Input]]&amp;"*",'Ref-List'!$A:$C,1,0)</f>
        <v>Model-Input-Ref</v>
      </c>
      <c r="H731" s="2" t="str">
        <f>VLOOKUP("*"&amp;G731&amp;"*",'Ref-List'!$A:$C,3,0)</f>
        <v>Product Line</v>
      </c>
      <c r="J731" s="2">
        <v>1</v>
      </c>
      <c r="K731" s="2">
        <v>1596</v>
      </c>
      <c r="L731" s="2">
        <f>sales[[#This Row],[quantity]]*sales[[#This Row],[price]]</f>
        <v>1596</v>
      </c>
      <c r="M731" s="9">
        <f>sales[[#This Row],[Total Price]]*3%</f>
        <v>47.879999999999995</v>
      </c>
      <c r="N731" s="171">
        <f>sales[[#This Row],[Total Price]]*2.5%</f>
        <v>39.900000000000006</v>
      </c>
      <c r="O731" s="9">
        <f>sales[[#This Row],[Total Price]]*1.5%</f>
        <v>23.939999999999998</v>
      </c>
      <c r="Q731" s="2">
        <v>1</v>
      </c>
      <c r="R731" s="5" t="str">
        <f>_xlfn.CONCAT(sales[[#This Row],[Shop]]," ",sales[[#This Row],[Location]])</f>
        <v>SW Wing On</v>
      </c>
    </row>
    <row r="732" spans="1:18" ht="15.6" customHeight="1">
      <c r="A732" s="7">
        <v>730</v>
      </c>
      <c r="B732" s="2" t="s">
        <v>1024</v>
      </c>
      <c r="C732" s="2" t="s">
        <v>1025</v>
      </c>
      <c r="D732" s="2" t="str">
        <f ca="1">OFFSET(Roster!$B$7, MATCH(B732&amp;" "&amp;C732&amp;"*",Roster!$B$8:$B$20,0),DAY(sales[[#This Row],[date]]),1, 1)</f>
        <v>Hazel</v>
      </c>
      <c r="E732" s="2">
        <f>MONTH(sales[[#This Row],[date]])</f>
        <v>6</v>
      </c>
      <c r="F732" s="234">
        <v>46178</v>
      </c>
      <c r="G732" s="3" t="str">
        <f>VLOOKUP("*"&amp;sales[[#This Row],[Input]]&amp;"*",'Ref-List'!$A:$C,1,0)</f>
        <v>Model-Input-Ref</v>
      </c>
      <c r="H732" s="2" t="str">
        <f>VLOOKUP("*"&amp;G732&amp;"*",'Ref-List'!$A:$C,3,0)</f>
        <v>Product Line</v>
      </c>
      <c r="J732" s="2">
        <v>1</v>
      </c>
      <c r="K732" s="2">
        <v>398</v>
      </c>
      <c r="L732" s="2">
        <f>sales[[#This Row],[quantity]]*sales[[#This Row],[price]]</f>
        <v>398</v>
      </c>
      <c r="M732" s="9">
        <f>sales[[#This Row],[Total Price]]*3%</f>
        <v>11.94</v>
      </c>
      <c r="N732" s="171">
        <f>sales[[#This Row],[Total Price]]*2.5%</f>
        <v>9.9500000000000011</v>
      </c>
      <c r="O732" s="9">
        <f>sales[[#This Row],[Total Price]]*1.5%</f>
        <v>5.97</v>
      </c>
      <c r="Q732" s="2">
        <v>1</v>
      </c>
      <c r="R732" s="5" t="str">
        <f>_xlfn.CONCAT(sales[[#This Row],[Shop]]," ",sales[[#This Row],[Location]])</f>
        <v>SW Wing On</v>
      </c>
    </row>
    <row r="733" spans="1:18" ht="15.6" customHeight="1">
      <c r="A733" s="7">
        <v>731</v>
      </c>
      <c r="B733" s="2" t="s">
        <v>1024</v>
      </c>
      <c r="C733" s="2" t="s">
        <v>1025</v>
      </c>
      <c r="D733" s="2" t="str">
        <f ca="1">OFFSET(Roster!$B$7, MATCH(B733&amp;" "&amp;C733&amp;"*",Roster!$B$8:$B$20,0),DAY(sales[[#This Row],[date]]),1, 1)</f>
        <v>Hazel</v>
      </c>
      <c r="E733" s="2">
        <f>MONTH(sales[[#This Row],[date]])</f>
        <v>6</v>
      </c>
      <c r="F733" s="234">
        <v>46178</v>
      </c>
      <c r="G733" s="3" t="str">
        <f>VLOOKUP("*"&amp;sales[[#This Row],[Input]]&amp;"*",'Ref-List'!$A:$C,1,0)</f>
        <v>Model-Input-Ref</v>
      </c>
      <c r="H733" s="2" t="str">
        <f>VLOOKUP("*"&amp;G733&amp;"*",'Ref-List'!$A:$C,3,0)</f>
        <v>Product Line</v>
      </c>
      <c r="J733" s="2">
        <v>1</v>
      </c>
      <c r="K733" s="2">
        <v>398</v>
      </c>
      <c r="L733" s="2">
        <f>sales[[#This Row],[quantity]]*sales[[#This Row],[price]]</f>
        <v>398</v>
      </c>
      <c r="M733" s="9">
        <f>sales[[#This Row],[Total Price]]*3%</f>
        <v>11.94</v>
      </c>
      <c r="N733" s="171">
        <f>sales[[#This Row],[Total Price]]*2.5%</f>
        <v>9.9500000000000011</v>
      </c>
      <c r="O733" s="9">
        <f>sales[[#This Row],[Total Price]]*1.5%</f>
        <v>5.97</v>
      </c>
      <c r="Q733" s="2">
        <v>1</v>
      </c>
      <c r="R733" s="5" t="str">
        <f>_xlfn.CONCAT(sales[[#This Row],[Shop]]," ",sales[[#This Row],[Location]])</f>
        <v>SW Wing On</v>
      </c>
    </row>
    <row r="734" spans="1:18" ht="15.6" customHeight="1">
      <c r="A734" s="7">
        <v>732</v>
      </c>
      <c r="B734" s="2" t="s">
        <v>1024</v>
      </c>
      <c r="C734" s="2" t="s">
        <v>1025</v>
      </c>
      <c r="D734" s="2" t="str">
        <f ca="1">OFFSET(Roster!$B$7, MATCH(B734&amp;" "&amp;C734&amp;"*",Roster!$B$8:$B$20,0),DAY(sales[[#This Row],[date]]),1, 1)</f>
        <v>Hazel</v>
      </c>
      <c r="E734" s="2">
        <f>MONTH(sales[[#This Row],[date]])</f>
        <v>6</v>
      </c>
      <c r="F734" s="234">
        <v>46178</v>
      </c>
      <c r="G734" s="3" t="str">
        <f>VLOOKUP("*"&amp;sales[[#This Row],[Input]]&amp;"*",'Ref-List'!$A:$C,1,0)</f>
        <v>Model-Input-Ref</v>
      </c>
      <c r="H734" s="2" t="str">
        <f>VLOOKUP("*"&amp;G734&amp;"*",'Ref-List'!$A:$C,3,0)</f>
        <v>Product Line</v>
      </c>
      <c r="J734" s="2">
        <v>1</v>
      </c>
      <c r="K734" s="2">
        <v>1516</v>
      </c>
      <c r="L734" s="2">
        <f>sales[[#This Row],[quantity]]*sales[[#This Row],[price]]</f>
        <v>1516</v>
      </c>
      <c r="M734" s="9">
        <f>sales[[#This Row],[Total Price]]*3%</f>
        <v>45.48</v>
      </c>
      <c r="N734" s="171">
        <f>sales[[#This Row],[Total Price]]*2.5%</f>
        <v>37.9</v>
      </c>
      <c r="O734" s="9">
        <f>sales[[#This Row],[Total Price]]*1.5%</f>
        <v>22.74</v>
      </c>
      <c r="Q734" s="2">
        <v>1</v>
      </c>
      <c r="R734" s="5" t="str">
        <f>_xlfn.CONCAT(sales[[#This Row],[Shop]]," ",sales[[#This Row],[Location]])</f>
        <v>SW Wing On</v>
      </c>
    </row>
    <row r="735" spans="1:18" ht="15.6" customHeight="1">
      <c r="A735" s="7">
        <v>733</v>
      </c>
      <c r="B735" s="2" t="s">
        <v>1024</v>
      </c>
      <c r="C735" s="2" t="s">
        <v>1025</v>
      </c>
      <c r="D735" s="2" t="str">
        <f ca="1">OFFSET(Roster!$B$7, MATCH(B735&amp;" "&amp;C735&amp;"*",Roster!$B$8:$B$20,0),DAY(sales[[#This Row],[date]]),1, 1)</f>
        <v>Hazel</v>
      </c>
      <c r="E735" s="2">
        <f>MONTH(sales[[#This Row],[date]])</f>
        <v>6</v>
      </c>
      <c r="F735" s="234">
        <v>46178</v>
      </c>
      <c r="G735" s="3" t="str">
        <f>VLOOKUP("*"&amp;sales[[#This Row],[Input]]&amp;"*",'Ref-List'!$A:$C,1,0)</f>
        <v>Model-Input-Ref</v>
      </c>
      <c r="H735" s="2" t="str">
        <f>VLOOKUP("*"&amp;G735&amp;"*",'Ref-List'!$A:$C,3,0)</f>
        <v>Product Line</v>
      </c>
      <c r="J735" s="2">
        <v>1</v>
      </c>
      <c r="K735" s="2">
        <v>675</v>
      </c>
      <c r="L735" s="2">
        <f>sales[[#This Row],[quantity]]*sales[[#This Row],[price]]</f>
        <v>675</v>
      </c>
      <c r="M735" s="9">
        <f>sales[[#This Row],[Total Price]]*3%</f>
        <v>20.25</v>
      </c>
      <c r="N735" s="171">
        <f>sales[[#This Row],[Total Price]]*2.5%</f>
        <v>16.875</v>
      </c>
      <c r="O735" s="9">
        <f>sales[[#This Row],[Total Price]]*1.5%</f>
        <v>10.125</v>
      </c>
      <c r="Q735" s="2">
        <v>1</v>
      </c>
      <c r="R735" s="5" t="str">
        <f>_xlfn.CONCAT(sales[[#This Row],[Shop]]," ",sales[[#This Row],[Location]])</f>
        <v>SW Wing On</v>
      </c>
    </row>
    <row r="736" spans="1:18" ht="15.6" customHeight="1">
      <c r="A736" s="7">
        <v>734</v>
      </c>
      <c r="B736" s="2" t="s">
        <v>1024</v>
      </c>
      <c r="C736" s="2" t="s">
        <v>1025</v>
      </c>
      <c r="D736" s="2" t="str">
        <f ca="1">OFFSET(Roster!$B$7, MATCH(B736&amp;" "&amp;C736&amp;"*",Roster!$B$8:$B$20,0),DAY(sales[[#This Row],[date]]),1, 1)</f>
        <v>Hazel</v>
      </c>
      <c r="E736" s="2">
        <f>MONTH(sales[[#This Row],[date]])</f>
        <v>6</v>
      </c>
      <c r="F736" s="234">
        <v>46178</v>
      </c>
      <c r="G736" s="3" t="str">
        <f>VLOOKUP("*"&amp;sales[[#This Row],[Input]]&amp;"*",'Ref-List'!$A:$C,1,0)</f>
        <v>Model-Input-Ref</v>
      </c>
      <c r="H736" s="2" t="str">
        <f>VLOOKUP("*"&amp;G736&amp;"*",'Ref-List'!$A:$C,3,0)</f>
        <v>Product Line</v>
      </c>
      <c r="J736" s="2">
        <v>1</v>
      </c>
      <c r="K736" s="2">
        <v>798</v>
      </c>
      <c r="L736" s="2">
        <f>sales[[#This Row],[quantity]]*sales[[#This Row],[price]]</f>
        <v>798</v>
      </c>
      <c r="M736" s="9">
        <f>sales[[#This Row],[Total Price]]*3%</f>
        <v>23.939999999999998</v>
      </c>
      <c r="N736" s="171">
        <f>sales[[#This Row],[Total Price]]*2.5%</f>
        <v>19.950000000000003</v>
      </c>
      <c r="O736" s="9">
        <f>sales[[#This Row],[Total Price]]*1.5%</f>
        <v>11.969999999999999</v>
      </c>
      <c r="Q736" s="2">
        <v>1</v>
      </c>
      <c r="R736" s="5" t="str">
        <f>_xlfn.CONCAT(sales[[#This Row],[Shop]]," ",sales[[#This Row],[Location]])</f>
        <v>SW Wing On</v>
      </c>
    </row>
    <row r="737" spans="1:18" ht="15.6" customHeight="1">
      <c r="A737" s="7">
        <v>735</v>
      </c>
      <c r="B737" s="2" t="s">
        <v>1024</v>
      </c>
      <c r="C737" s="2" t="s">
        <v>1025</v>
      </c>
      <c r="D737" s="2" t="str">
        <f ca="1">OFFSET(Roster!$B$7, MATCH(B737&amp;" "&amp;C737&amp;"*",Roster!$B$8:$B$20,0),DAY(sales[[#This Row],[date]]),1, 1)</f>
        <v>Hazel</v>
      </c>
      <c r="E737" s="2">
        <f>MONTH(sales[[#This Row],[date]])</f>
        <v>6</v>
      </c>
      <c r="F737" s="234">
        <v>46179</v>
      </c>
      <c r="G737" s="3" t="str">
        <f>VLOOKUP("*"&amp;sales[[#This Row],[Input]]&amp;"*",'Ref-List'!$A:$C,1,0)</f>
        <v>Model-Input-Ref</v>
      </c>
      <c r="H737" s="2" t="str">
        <f>VLOOKUP("*"&amp;G737&amp;"*",'Ref-List'!$A:$C,3,0)</f>
        <v>Product Line</v>
      </c>
      <c r="J737" s="2">
        <v>1</v>
      </c>
      <c r="K737" s="2">
        <v>1516</v>
      </c>
      <c r="L737" s="2">
        <f>sales[[#This Row],[quantity]]*sales[[#This Row],[price]]</f>
        <v>1516</v>
      </c>
      <c r="M737" s="9">
        <f>sales[[#This Row],[Total Price]]*3%</f>
        <v>45.48</v>
      </c>
      <c r="N737" s="171">
        <f>sales[[#This Row],[Total Price]]*2.5%</f>
        <v>37.9</v>
      </c>
      <c r="O737" s="9">
        <f>sales[[#This Row],[Total Price]]*1.5%</f>
        <v>22.74</v>
      </c>
      <c r="Q737" s="2">
        <v>1</v>
      </c>
      <c r="R737" s="5" t="str">
        <f>_xlfn.CONCAT(sales[[#This Row],[Shop]]," ",sales[[#This Row],[Location]])</f>
        <v>SW Wing On</v>
      </c>
    </row>
    <row r="738" spans="1:18" ht="15.6" customHeight="1">
      <c r="A738" s="7">
        <v>736</v>
      </c>
      <c r="B738" s="2" t="s">
        <v>1024</v>
      </c>
      <c r="C738" s="2" t="s">
        <v>1025</v>
      </c>
      <c r="D738" s="2" t="str">
        <f ca="1">OFFSET(Roster!$B$7, MATCH(B738&amp;" "&amp;C738&amp;"*",Roster!$B$8:$B$20,0),DAY(sales[[#This Row],[date]]),1, 1)</f>
        <v>Hazel</v>
      </c>
      <c r="E738" s="2">
        <f>MONTH(sales[[#This Row],[date]])</f>
        <v>6</v>
      </c>
      <c r="F738" s="234">
        <v>46179</v>
      </c>
      <c r="G738" s="3" t="str">
        <f>VLOOKUP("*"&amp;sales[[#This Row],[Input]]&amp;"*",'Ref-List'!$A:$C,1,0)</f>
        <v>Model-Input-Ref</v>
      </c>
      <c r="H738" s="2" t="str">
        <f>VLOOKUP("*"&amp;G738&amp;"*",'Ref-List'!$A:$C,3,0)</f>
        <v>Product Line</v>
      </c>
      <c r="J738" s="2">
        <v>1</v>
      </c>
      <c r="K738" s="2">
        <v>980</v>
      </c>
      <c r="L738" s="2">
        <f>sales[[#This Row],[quantity]]*sales[[#This Row],[price]]</f>
        <v>980</v>
      </c>
      <c r="M738" s="9">
        <f>sales[[#This Row],[Total Price]]*3%</f>
        <v>29.4</v>
      </c>
      <c r="N738" s="171">
        <f>sales[[#This Row],[Total Price]]*2.5%</f>
        <v>24.5</v>
      </c>
      <c r="O738" s="9">
        <f>sales[[#This Row],[Total Price]]*1.5%</f>
        <v>14.7</v>
      </c>
      <c r="Q738" s="2">
        <v>1</v>
      </c>
      <c r="R738" s="5" t="str">
        <f>_xlfn.CONCAT(sales[[#This Row],[Shop]]," ",sales[[#This Row],[Location]])</f>
        <v>SW Wing On</v>
      </c>
    </row>
    <row r="739" spans="1:18" ht="15.6" customHeight="1">
      <c r="A739" s="7">
        <v>737</v>
      </c>
      <c r="B739" s="2" t="s">
        <v>1024</v>
      </c>
      <c r="C739" s="2" t="s">
        <v>1025</v>
      </c>
      <c r="D739" s="2" t="str">
        <f ca="1">OFFSET(Roster!$B$7, MATCH(B739&amp;" "&amp;C739&amp;"*",Roster!$B$8:$B$20,0),DAY(sales[[#This Row],[date]]),1, 1)</f>
        <v>Hazel</v>
      </c>
      <c r="E739" s="2">
        <f>MONTH(sales[[#This Row],[date]])</f>
        <v>6</v>
      </c>
      <c r="F739" s="234">
        <v>46179</v>
      </c>
      <c r="G739" s="3" t="str">
        <f>VLOOKUP("*"&amp;sales[[#This Row],[Input]]&amp;"*",'Ref-List'!$A:$C,1,0)</f>
        <v>Model-Input-Ref</v>
      </c>
      <c r="H739" s="2" t="str">
        <f>VLOOKUP("*"&amp;G739&amp;"*",'Ref-List'!$A:$C,3,0)</f>
        <v>Product Line</v>
      </c>
      <c r="I739" s="8"/>
      <c r="J739" s="2">
        <v>1</v>
      </c>
      <c r="K739" s="2">
        <v>798</v>
      </c>
      <c r="L739" s="2">
        <f>sales[[#This Row],[quantity]]*sales[[#This Row],[price]]</f>
        <v>798</v>
      </c>
      <c r="M739" s="9">
        <f>sales[[#This Row],[Total Price]]*3%</f>
        <v>23.939999999999998</v>
      </c>
      <c r="N739" s="171">
        <f>sales[[#This Row],[Total Price]]*2.5%</f>
        <v>19.950000000000003</v>
      </c>
      <c r="O739" s="9">
        <f>sales[[#This Row],[Total Price]]*1.5%</f>
        <v>11.969999999999999</v>
      </c>
      <c r="Q739" s="2">
        <v>1</v>
      </c>
      <c r="R739" s="5" t="str">
        <f>_xlfn.CONCAT(sales[[#This Row],[Shop]]," ",sales[[#This Row],[Location]])</f>
        <v>SW Wing On</v>
      </c>
    </row>
    <row r="740" spans="1:18" ht="15.6" customHeight="1">
      <c r="A740" s="7">
        <v>738</v>
      </c>
      <c r="B740" s="2" t="s">
        <v>1024</v>
      </c>
      <c r="C740" s="2" t="s">
        <v>1025</v>
      </c>
      <c r="D740" s="2" t="str">
        <f ca="1">OFFSET(Roster!$B$7, MATCH(B740&amp;" "&amp;C740&amp;"*",Roster!$B$8:$B$20,0),DAY(sales[[#This Row],[date]]),1, 1)</f>
        <v>Hazel</v>
      </c>
      <c r="E740" s="2">
        <f>MONTH(sales[[#This Row],[date]])</f>
        <v>6</v>
      </c>
      <c r="F740" s="234">
        <v>46179</v>
      </c>
      <c r="G740" s="3" t="str">
        <f>VLOOKUP("*"&amp;sales[[#This Row],[Input]]&amp;"*",'Ref-List'!$A:$C,1,0)</f>
        <v>Model-Input-Ref</v>
      </c>
      <c r="H740" s="2" t="str">
        <f>VLOOKUP("*"&amp;G740&amp;"*",'Ref-List'!$A:$C,3,0)</f>
        <v>Product Line</v>
      </c>
      <c r="I740" s="8"/>
      <c r="J740" s="2">
        <v>1</v>
      </c>
      <c r="K740" s="2">
        <v>798</v>
      </c>
      <c r="L740" s="2">
        <f>sales[[#This Row],[quantity]]*sales[[#This Row],[price]]</f>
        <v>798</v>
      </c>
      <c r="M740" s="9">
        <f>sales[[#This Row],[Total Price]]*3%</f>
        <v>23.939999999999998</v>
      </c>
      <c r="N740" s="171">
        <f>sales[[#This Row],[Total Price]]*2.5%</f>
        <v>19.950000000000003</v>
      </c>
      <c r="O740" s="9">
        <f>sales[[#This Row],[Total Price]]*1.5%</f>
        <v>11.969999999999999</v>
      </c>
      <c r="Q740" s="2">
        <v>1</v>
      </c>
      <c r="R740" s="5" t="str">
        <f>_xlfn.CONCAT(sales[[#This Row],[Shop]]," ",sales[[#This Row],[Location]])</f>
        <v>SW Wing On</v>
      </c>
    </row>
    <row r="741" spans="1:18" ht="15.6" customHeight="1">
      <c r="A741" s="7">
        <v>739</v>
      </c>
      <c r="B741" s="2" t="s">
        <v>1024</v>
      </c>
      <c r="C741" s="2" t="s">
        <v>1025</v>
      </c>
      <c r="D741" s="2" t="str">
        <f ca="1">OFFSET(Roster!$B$7, MATCH(B741&amp;" "&amp;C741&amp;"*",Roster!$B$8:$B$20,0),DAY(sales[[#This Row],[date]]),1, 1)</f>
        <v>Hazel</v>
      </c>
      <c r="E741" s="2">
        <f>MONTH(sales[[#This Row],[date]])</f>
        <v>6</v>
      </c>
      <c r="F741" s="234">
        <v>46179</v>
      </c>
      <c r="G741" s="3" t="str">
        <f>VLOOKUP("*"&amp;sales[[#This Row],[Input]]&amp;"*",'Ref-List'!$A:$C,1,0)</f>
        <v>Model-Input-Ref</v>
      </c>
      <c r="H741" s="2" t="str">
        <f>VLOOKUP("*"&amp;G741&amp;"*",'Ref-List'!$A:$C,3,0)</f>
        <v>Product Line</v>
      </c>
      <c r="I741" s="8"/>
      <c r="J741" s="2">
        <v>1</v>
      </c>
      <c r="K741" s="2">
        <v>1704</v>
      </c>
      <c r="L741" s="2">
        <f>sales[[#This Row],[quantity]]*sales[[#This Row],[price]]</f>
        <v>1704</v>
      </c>
      <c r="M741" s="9">
        <f>sales[[#This Row],[Total Price]]*3%</f>
        <v>51.12</v>
      </c>
      <c r="N741" s="171">
        <f>sales[[#This Row],[Total Price]]*2.5%</f>
        <v>42.6</v>
      </c>
      <c r="O741" s="9">
        <f>sales[[#This Row],[Total Price]]*1.5%</f>
        <v>25.56</v>
      </c>
      <c r="Q741" s="2">
        <v>1</v>
      </c>
      <c r="R741" s="5" t="str">
        <f>_xlfn.CONCAT(sales[[#This Row],[Shop]]," ",sales[[#This Row],[Location]])</f>
        <v>SW Wing On</v>
      </c>
    </row>
    <row r="742" spans="1:18" ht="15.6" customHeight="1">
      <c r="A742" s="7">
        <v>740</v>
      </c>
      <c r="B742" s="2" t="s">
        <v>1024</v>
      </c>
      <c r="C742" s="2" t="s">
        <v>1025</v>
      </c>
      <c r="D742" s="2" t="str">
        <f ca="1">OFFSET(Roster!$B$7, MATCH(B742&amp;" "&amp;C742&amp;"*",Roster!$B$8:$B$20,0),DAY(sales[[#This Row],[date]]),1, 1)</f>
        <v>Hazel</v>
      </c>
      <c r="E742" s="2">
        <f>MONTH(sales[[#This Row],[date]])</f>
        <v>6</v>
      </c>
      <c r="F742" s="234">
        <v>46179</v>
      </c>
      <c r="G742" s="3" t="str">
        <f>VLOOKUP("*"&amp;sales[[#This Row],[Input]]&amp;"*",'Ref-List'!$A:$C,1,0)</f>
        <v>Model-Input-Ref</v>
      </c>
      <c r="H742" s="2" t="str">
        <f>VLOOKUP("*"&amp;G742&amp;"*",'Ref-List'!$A:$C,3,0)</f>
        <v>Product Line</v>
      </c>
      <c r="I742" s="8"/>
      <c r="J742" s="2">
        <v>1</v>
      </c>
      <c r="K742" s="2">
        <v>980</v>
      </c>
      <c r="L742" s="2">
        <f>sales[[#This Row],[quantity]]*sales[[#This Row],[price]]</f>
        <v>980</v>
      </c>
      <c r="M742" s="9">
        <f>sales[[#This Row],[Total Price]]*3%</f>
        <v>29.4</v>
      </c>
      <c r="N742" s="171">
        <f>sales[[#This Row],[Total Price]]*2.5%</f>
        <v>24.5</v>
      </c>
      <c r="O742" s="9">
        <f>sales[[#This Row],[Total Price]]*1.5%</f>
        <v>14.7</v>
      </c>
      <c r="Q742" s="2">
        <v>1</v>
      </c>
      <c r="R742" s="5" t="str">
        <f>_xlfn.CONCAT(sales[[#This Row],[Shop]]," ",sales[[#This Row],[Location]])</f>
        <v>SW Wing On</v>
      </c>
    </row>
    <row r="743" spans="1:18" ht="15.6" customHeight="1">
      <c r="A743" s="7">
        <v>741</v>
      </c>
      <c r="B743" s="2" t="s">
        <v>1024</v>
      </c>
      <c r="C743" s="2" t="s">
        <v>1025</v>
      </c>
      <c r="D743" s="2" t="str">
        <f ca="1">OFFSET(Roster!$B$7, MATCH(B743&amp;" "&amp;C743&amp;"*",Roster!$B$8:$B$20,0),DAY(sales[[#This Row],[date]]),1, 1)</f>
        <v>Hazel</v>
      </c>
      <c r="E743" s="2">
        <f>MONTH(sales[[#This Row],[date]])</f>
        <v>6</v>
      </c>
      <c r="F743" s="234">
        <v>46179</v>
      </c>
      <c r="G743" s="3" t="str">
        <f>VLOOKUP("*"&amp;sales[[#This Row],[Input]]&amp;"*",'Ref-List'!$A:$C,1,0)</f>
        <v>Model-Input-Ref</v>
      </c>
      <c r="H743" s="2" t="str">
        <f>VLOOKUP("*"&amp;G743&amp;"*",'Ref-List'!$A:$C,3,0)</f>
        <v>Product Line</v>
      </c>
      <c r="I743" s="8"/>
      <c r="J743" s="2">
        <v>1</v>
      </c>
      <c r="K743" s="2">
        <v>1914</v>
      </c>
      <c r="L743" s="2">
        <f>sales[[#This Row],[quantity]]*sales[[#This Row],[price]]</f>
        <v>1914</v>
      </c>
      <c r="M743" s="9">
        <f>sales[[#This Row],[Total Price]]*3%</f>
        <v>57.419999999999995</v>
      </c>
      <c r="N743" s="171">
        <f>sales[[#This Row],[Total Price]]*2.5%</f>
        <v>47.85</v>
      </c>
      <c r="O743" s="9">
        <f>sales[[#This Row],[Total Price]]*1.5%</f>
        <v>28.709999999999997</v>
      </c>
      <c r="Q743" s="2">
        <v>1</v>
      </c>
      <c r="R743" s="5" t="str">
        <f>_xlfn.CONCAT(sales[[#This Row],[Shop]]," ",sales[[#This Row],[Location]])</f>
        <v>SW Wing On</v>
      </c>
    </row>
    <row r="744" spans="1:18" ht="15.6" customHeight="1">
      <c r="A744" s="7">
        <v>742</v>
      </c>
      <c r="B744" s="2" t="s">
        <v>1024</v>
      </c>
      <c r="C744" s="2" t="s">
        <v>1025</v>
      </c>
      <c r="D744" s="2" t="str">
        <f ca="1">OFFSET(Roster!$B$7, MATCH(B744&amp;" "&amp;C744&amp;"*",Roster!$B$8:$B$20,0),DAY(sales[[#This Row],[date]]),1, 1)</f>
        <v>Hazel</v>
      </c>
      <c r="E744" s="2">
        <f>MONTH(sales[[#This Row],[date]])</f>
        <v>6</v>
      </c>
      <c r="F744" s="234">
        <v>46179</v>
      </c>
      <c r="G744" s="3" t="str">
        <f>VLOOKUP("*"&amp;sales[[#This Row],[Input]]&amp;"*",'Ref-List'!$A:$C,1,0)</f>
        <v>Model-Input-Ref</v>
      </c>
      <c r="H744" s="2" t="str">
        <f>VLOOKUP("*"&amp;G744&amp;"*",'Ref-List'!$A:$C,3,0)</f>
        <v>Product Line</v>
      </c>
      <c r="I744" s="8"/>
      <c r="J744" s="2">
        <v>1</v>
      </c>
      <c r="K744" s="2">
        <v>1596</v>
      </c>
      <c r="L744" s="2">
        <f>sales[[#This Row],[quantity]]*sales[[#This Row],[price]]</f>
        <v>1596</v>
      </c>
      <c r="M744" s="9">
        <f>sales[[#This Row],[Total Price]]*3%</f>
        <v>47.879999999999995</v>
      </c>
      <c r="N744" s="171">
        <f>sales[[#This Row],[Total Price]]*2.5%</f>
        <v>39.900000000000006</v>
      </c>
      <c r="O744" s="9">
        <f>sales[[#This Row],[Total Price]]*1.5%</f>
        <v>23.939999999999998</v>
      </c>
      <c r="Q744" s="2">
        <v>1</v>
      </c>
      <c r="R744" s="5" t="str">
        <f>_xlfn.CONCAT(sales[[#This Row],[Shop]]," ",sales[[#This Row],[Location]])</f>
        <v>SW Wing On</v>
      </c>
    </row>
    <row r="745" spans="1:18" ht="15.6" customHeight="1">
      <c r="A745" s="7">
        <v>743</v>
      </c>
      <c r="B745" s="2" t="s">
        <v>1024</v>
      </c>
      <c r="C745" s="2" t="s">
        <v>1025</v>
      </c>
      <c r="D745" s="2" t="str">
        <f ca="1">OFFSET(Roster!$B$7, MATCH(B745&amp;" "&amp;C745&amp;"*",Roster!$B$8:$B$20,0),DAY(sales[[#This Row],[date]]),1, 1)</f>
        <v>Hazel</v>
      </c>
      <c r="E745" s="2">
        <f>MONTH(sales[[#This Row],[date]])</f>
        <v>6</v>
      </c>
      <c r="F745" s="234">
        <v>46179</v>
      </c>
      <c r="G745" s="3" t="str">
        <f>VLOOKUP("*"&amp;sales[[#This Row],[Input]]&amp;"*",'Ref-List'!$A:$C,1,0)</f>
        <v>Model-Input-Ref</v>
      </c>
      <c r="H745" s="2" t="str">
        <f>VLOOKUP("*"&amp;G745&amp;"*",'Ref-List'!$A:$C,3,0)</f>
        <v>Product Line</v>
      </c>
      <c r="I745" s="8"/>
      <c r="J745" s="2">
        <v>1</v>
      </c>
      <c r="K745" s="2">
        <v>8988</v>
      </c>
      <c r="L745" s="2">
        <f>sales[[#This Row],[quantity]]*sales[[#This Row],[price]]</f>
        <v>8988</v>
      </c>
      <c r="M745" s="9">
        <f>sales[[#This Row],[Total Price]]*3%</f>
        <v>269.64</v>
      </c>
      <c r="N745" s="171">
        <f>sales[[#This Row],[Total Price]]*2.5%</f>
        <v>224.70000000000002</v>
      </c>
      <c r="O745" s="9">
        <f>sales[[#This Row],[Total Price]]*1.5%</f>
        <v>134.82</v>
      </c>
      <c r="Q745" s="2">
        <v>1</v>
      </c>
      <c r="R745" s="5" t="str">
        <f>_xlfn.CONCAT(sales[[#This Row],[Shop]]," ",sales[[#This Row],[Location]])</f>
        <v>SW Wing On</v>
      </c>
    </row>
    <row r="746" spans="1:18" ht="15.6" customHeight="1">
      <c r="A746" s="7">
        <v>744</v>
      </c>
      <c r="B746" s="2" t="s">
        <v>1024</v>
      </c>
      <c r="C746" s="2" t="s">
        <v>1025</v>
      </c>
      <c r="D746" s="2" t="str">
        <f ca="1">OFFSET(Roster!$B$7, MATCH(B746&amp;" "&amp;C746&amp;"*",Roster!$B$8:$B$20,0),DAY(sales[[#This Row],[date]]),1, 1)</f>
        <v>Hazel</v>
      </c>
      <c r="E746" s="2">
        <f>MONTH(sales[[#This Row],[date]])</f>
        <v>6</v>
      </c>
      <c r="F746" s="234">
        <v>46179</v>
      </c>
      <c r="G746" s="3" t="str">
        <f>VLOOKUP("*"&amp;sales[[#This Row],[Input]]&amp;"*",'Ref-List'!$A:$C,1,0)</f>
        <v>Model-Input-Ref</v>
      </c>
      <c r="H746" s="2" t="str">
        <f>VLOOKUP("*"&amp;G746&amp;"*",'Ref-List'!$A:$C,3,0)</f>
        <v>Product Line</v>
      </c>
      <c r="I746" s="8"/>
      <c r="J746" s="2">
        <v>1</v>
      </c>
      <c r="K746" s="2">
        <v>598</v>
      </c>
      <c r="L746" s="2">
        <f>sales[[#This Row],[quantity]]*sales[[#This Row],[price]]</f>
        <v>598</v>
      </c>
      <c r="M746" s="9">
        <f>sales[[#This Row],[Total Price]]*3%</f>
        <v>17.939999999999998</v>
      </c>
      <c r="N746" s="171">
        <f>sales[[#This Row],[Total Price]]*2.5%</f>
        <v>14.950000000000001</v>
      </c>
      <c r="O746" s="9">
        <f>sales[[#This Row],[Total Price]]*1.5%</f>
        <v>8.9699999999999989</v>
      </c>
      <c r="Q746" s="2">
        <v>1</v>
      </c>
      <c r="R746" s="5" t="str">
        <f>_xlfn.CONCAT(sales[[#This Row],[Shop]]," ",sales[[#This Row],[Location]])</f>
        <v>SW Wing On</v>
      </c>
    </row>
    <row r="747" spans="1:18" ht="15.6" customHeight="1">
      <c r="A747" s="7">
        <v>745</v>
      </c>
      <c r="B747" s="2" t="s">
        <v>1024</v>
      </c>
      <c r="C747" s="2" t="s">
        <v>1025</v>
      </c>
      <c r="D747" s="2" t="str">
        <f ca="1">OFFSET(Roster!$B$7, MATCH(B747&amp;" "&amp;C747&amp;"*",Roster!$B$8:$B$20,0),DAY(sales[[#This Row],[date]]),1, 1)</f>
        <v>Hazel</v>
      </c>
      <c r="E747" s="2">
        <f>MONTH(sales[[#This Row],[date]])</f>
        <v>6</v>
      </c>
      <c r="F747" s="234">
        <v>46179</v>
      </c>
      <c r="G747" s="3" t="str">
        <f>VLOOKUP("*"&amp;sales[[#This Row],[Input]]&amp;"*",'Ref-List'!$A:$C,1,0)</f>
        <v>Model-Input-Ref</v>
      </c>
      <c r="H747" s="2" t="str">
        <f>VLOOKUP("*"&amp;G747&amp;"*",'Ref-List'!$A:$C,3,0)</f>
        <v>Product Line</v>
      </c>
      <c r="I747" s="8"/>
      <c r="J747" s="2">
        <v>1</v>
      </c>
      <c r="K747" s="2">
        <v>638</v>
      </c>
      <c r="L747" s="2">
        <f>sales[[#This Row],[quantity]]*sales[[#This Row],[price]]</f>
        <v>638</v>
      </c>
      <c r="M747" s="9">
        <f>sales[[#This Row],[Total Price]]*3%</f>
        <v>19.14</v>
      </c>
      <c r="N747" s="171">
        <f>sales[[#This Row],[Total Price]]*2.5%</f>
        <v>15.950000000000001</v>
      </c>
      <c r="O747" s="9">
        <f>sales[[#This Row],[Total Price]]*1.5%</f>
        <v>9.57</v>
      </c>
      <c r="Q747" s="2">
        <v>1</v>
      </c>
      <c r="R747" s="5" t="str">
        <f>_xlfn.CONCAT(sales[[#This Row],[Shop]]," ",sales[[#This Row],[Location]])</f>
        <v>SW Wing On</v>
      </c>
    </row>
    <row r="748" spans="1:18" ht="15.6" customHeight="1">
      <c r="A748" s="7">
        <v>746</v>
      </c>
      <c r="B748" s="2" t="s">
        <v>1024</v>
      </c>
      <c r="C748" s="2" t="s">
        <v>1025</v>
      </c>
      <c r="D748" s="2" t="str">
        <f ca="1">OFFSET(Roster!$B$7, MATCH(B748&amp;" "&amp;C748&amp;"*",Roster!$B$8:$B$20,0),DAY(sales[[#This Row],[date]]),1, 1)</f>
        <v>Hazel</v>
      </c>
      <c r="E748" s="2">
        <f>MONTH(sales[[#This Row],[date]])</f>
        <v>6</v>
      </c>
      <c r="F748" s="234">
        <v>46179</v>
      </c>
      <c r="G748" s="3" t="str">
        <f>VLOOKUP("*"&amp;sales[[#This Row],[Input]]&amp;"*",'Ref-List'!$A:$C,1,0)</f>
        <v>Model-Input-Ref</v>
      </c>
      <c r="H748" s="2" t="str">
        <f>VLOOKUP("*"&amp;G748&amp;"*",'Ref-List'!$A:$C,3,0)</f>
        <v>Product Line</v>
      </c>
      <c r="I748" s="8"/>
      <c r="J748" s="2">
        <v>1</v>
      </c>
      <c r="K748" s="2">
        <v>568</v>
      </c>
      <c r="L748" s="2">
        <f>sales[[#This Row],[quantity]]*sales[[#This Row],[price]]</f>
        <v>568</v>
      </c>
      <c r="M748" s="9">
        <f>sales[[#This Row],[Total Price]]*3%</f>
        <v>17.04</v>
      </c>
      <c r="N748" s="171">
        <f>sales[[#This Row],[Total Price]]*2.5%</f>
        <v>14.200000000000001</v>
      </c>
      <c r="O748" s="9">
        <f>sales[[#This Row],[Total Price]]*1.5%</f>
        <v>8.52</v>
      </c>
      <c r="Q748" s="2">
        <v>1</v>
      </c>
      <c r="R748" s="5" t="str">
        <f>_xlfn.CONCAT(sales[[#This Row],[Shop]]," ",sales[[#This Row],[Location]])</f>
        <v>SW Wing On</v>
      </c>
    </row>
    <row r="749" spans="1:18" ht="15.6" customHeight="1">
      <c r="A749" s="7">
        <v>747</v>
      </c>
      <c r="B749" s="2" t="s">
        <v>1024</v>
      </c>
      <c r="C749" s="2" t="s">
        <v>1025</v>
      </c>
      <c r="D749" s="2" t="str">
        <f ca="1">OFFSET(Roster!$B$7, MATCH(B749&amp;" "&amp;C749&amp;"*",Roster!$B$8:$B$20,0),DAY(sales[[#This Row],[date]]),1, 1)</f>
        <v>Hazel</v>
      </c>
      <c r="E749" s="2">
        <f>MONTH(sales[[#This Row],[date]])</f>
        <v>6</v>
      </c>
      <c r="F749" s="234">
        <v>46179</v>
      </c>
      <c r="G749" s="3" t="str">
        <f>VLOOKUP("*"&amp;sales[[#This Row],[Input]]&amp;"*",'Ref-List'!$A:$C,1,0)</f>
        <v>Model-Input-Ref</v>
      </c>
      <c r="H749" s="2" t="str">
        <f>VLOOKUP("*"&amp;G749&amp;"*",'Ref-List'!$A:$C,3,0)</f>
        <v>Product Line</v>
      </c>
      <c r="I749" s="8"/>
      <c r="J749" s="2">
        <v>1</v>
      </c>
      <c r="K749" s="2">
        <v>598</v>
      </c>
      <c r="L749" s="2">
        <f>sales[[#This Row],[quantity]]*sales[[#This Row],[price]]</f>
        <v>598</v>
      </c>
      <c r="M749" s="9">
        <f>sales[[#This Row],[Total Price]]*3%</f>
        <v>17.939999999999998</v>
      </c>
      <c r="N749" s="171">
        <f>sales[[#This Row],[Total Price]]*2.5%</f>
        <v>14.950000000000001</v>
      </c>
      <c r="O749" s="9">
        <f>sales[[#This Row],[Total Price]]*1.5%</f>
        <v>8.9699999999999989</v>
      </c>
      <c r="Q749" s="2">
        <v>1</v>
      </c>
      <c r="R749" s="5" t="str">
        <f>_xlfn.CONCAT(sales[[#This Row],[Shop]]," ",sales[[#This Row],[Location]])</f>
        <v>SW Wing On</v>
      </c>
    </row>
    <row r="750" spans="1:18" ht="15.6" customHeight="1">
      <c r="A750" s="7">
        <v>748</v>
      </c>
      <c r="B750" s="2" t="s">
        <v>1024</v>
      </c>
      <c r="C750" s="2" t="s">
        <v>1025</v>
      </c>
      <c r="D750" s="2" t="str">
        <f ca="1">OFFSET(Roster!$B$7, MATCH(B750&amp;" "&amp;C750&amp;"*",Roster!$B$8:$B$20,0),DAY(sales[[#This Row],[date]]),1, 1)</f>
        <v>Hazel</v>
      </c>
      <c r="E750" s="2">
        <f>MONTH(sales[[#This Row],[date]])</f>
        <v>6</v>
      </c>
      <c r="F750" s="234">
        <v>46179</v>
      </c>
      <c r="G750" s="3" t="str">
        <f>VLOOKUP("*"&amp;sales[[#This Row],[Input]]&amp;"*",'Ref-List'!$A:$C,1,0)</f>
        <v>Model-Input-Ref</v>
      </c>
      <c r="H750" s="2" t="str">
        <f>VLOOKUP("*"&amp;G750&amp;"*",'Ref-List'!$A:$C,3,0)</f>
        <v>Product Line</v>
      </c>
      <c r="I750" s="8"/>
      <c r="J750" s="2">
        <v>1</v>
      </c>
      <c r="K750" s="2">
        <v>1498</v>
      </c>
      <c r="L750" s="2">
        <f>sales[[#This Row],[quantity]]*sales[[#This Row],[price]]</f>
        <v>1498</v>
      </c>
      <c r="M750" s="9">
        <f>sales[[#This Row],[Total Price]]*3%</f>
        <v>44.94</v>
      </c>
      <c r="N750" s="171">
        <f>sales[[#This Row],[Total Price]]*2.5%</f>
        <v>37.450000000000003</v>
      </c>
      <c r="O750" s="9">
        <f>sales[[#This Row],[Total Price]]*1.5%</f>
        <v>22.47</v>
      </c>
      <c r="Q750" s="2">
        <v>1</v>
      </c>
      <c r="R750" s="5" t="str">
        <f>_xlfn.CONCAT(sales[[#This Row],[Shop]]," ",sales[[#This Row],[Location]])</f>
        <v>SW Wing On</v>
      </c>
    </row>
    <row r="751" spans="1:18" ht="15.6" customHeight="1">
      <c r="A751" s="7">
        <v>749</v>
      </c>
      <c r="B751" s="2" t="s">
        <v>1024</v>
      </c>
      <c r="C751" s="2" t="s">
        <v>1025</v>
      </c>
      <c r="D751" s="2" t="str">
        <f ca="1">OFFSET(Roster!$B$7, MATCH(B751&amp;" "&amp;C751&amp;"*",Roster!$B$8:$B$20,0),DAY(sales[[#This Row],[date]]),1, 1)</f>
        <v>Hazel</v>
      </c>
      <c r="E751" s="2">
        <f>MONTH(sales[[#This Row],[date]])</f>
        <v>6</v>
      </c>
      <c r="F751" s="234">
        <v>46179</v>
      </c>
      <c r="G751" s="3" t="str">
        <f>VLOOKUP("*"&amp;sales[[#This Row],[Input]]&amp;"*",'Ref-List'!$A:$C,1,0)</f>
        <v>Model-Input-Ref</v>
      </c>
      <c r="H751" s="2" t="str">
        <f>VLOOKUP("*"&amp;G751&amp;"*",'Ref-List'!$A:$C,3,0)</f>
        <v>Product Line</v>
      </c>
      <c r="I751" s="8"/>
      <c r="J751" s="2">
        <v>1</v>
      </c>
      <c r="K751" s="2">
        <v>1768</v>
      </c>
      <c r="L751" s="2">
        <f>sales[[#This Row],[quantity]]*sales[[#This Row],[price]]</f>
        <v>1768</v>
      </c>
      <c r="M751" s="9">
        <f>sales[[#This Row],[Total Price]]*3%</f>
        <v>53.04</v>
      </c>
      <c r="N751" s="171">
        <f>sales[[#This Row],[Total Price]]*2.5%</f>
        <v>44.2</v>
      </c>
      <c r="O751" s="9">
        <f>sales[[#This Row],[Total Price]]*1.5%</f>
        <v>26.52</v>
      </c>
      <c r="Q751" s="2">
        <v>1</v>
      </c>
      <c r="R751" s="5" t="str">
        <f>_xlfn.CONCAT(sales[[#This Row],[Shop]]," ",sales[[#This Row],[Location]])</f>
        <v>SW Wing On</v>
      </c>
    </row>
    <row r="752" spans="1:18" ht="15.6" customHeight="1">
      <c r="A752" s="7">
        <v>750</v>
      </c>
      <c r="B752" s="2" t="s">
        <v>1024</v>
      </c>
      <c r="C752" s="2" t="s">
        <v>1025</v>
      </c>
      <c r="D752" s="2" t="str">
        <f ca="1">OFFSET(Roster!$B$7, MATCH(B752&amp;" "&amp;C752&amp;"*",Roster!$B$8:$B$20,0),DAY(sales[[#This Row],[date]]),1, 1)</f>
        <v>Hazel</v>
      </c>
      <c r="E752" s="2">
        <f>MONTH(sales[[#This Row],[date]])</f>
        <v>6</v>
      </c>
      <c r="F752" s="234">
        <v>46179</v>
      </c>
      <c r="G752" s="3" t="str">
        <f>VLOOKUP("*"&amp;sales[[#This Row],[Input]]&amp;"*",'Ref-List'!$A:$C,1,0)</f>
        <v>Model-Input-Ref</v>
      </c>
      <c r="H752" s="2" t="str">
        <f>VLOOKUP("*"&amp;G752&amp;"*",'Ref-List'!$A:$C,3,0)</f>
        <v>Product Line</v>
      </c>
      <c r="I752" s="8"/>
      <c r="J752" s="2">
        <v>1</v>
      </c>
      <c r="K752" s="2">
        <v>268.2</v>
      </c>
      <c r="L752" s="2">
        <f>sales[[#This Row],[quantity]]*sales[[#This Row],[price]]</f>
        <v>268.2</v>
      </c>
      <c r="M752" s="9">
        <f>sales[[#This Row],[Total Price]]*3%</f>
        <v>8.0459999999999994</v>
      </c>
      <c r="N752" s="171">
        <f>sales[[#This Row],[Total Price]]*2.5%</f>
        <v>6.7050000000000001</v>
      </c>
      <c r="O752" s="9">
        <f>sales[[#This Row],[Total Price]]*1.5%</f>
        <v>4.0229999999999997</v>
      </c>
      <c r="Q752" s="2">
        <v>1</v>
      </c>
      <c r="R752" s="5" t="str">
        <f>_xlfn.CONCAT(sales[[#This Row],[Shop]]," ",sales[[#This Row],[Location]])</f>
        <v>SW Wing On</v>
      </c>
    </row>
    <row r="753" spans="1:18" ht="15.6" customHeight="1">
      <c r="A753" s="7">
        <v>751</v>
      </c>
      <c r="B753" s="2" t="s">
        <v>1024</v>
      </c>
      <c r="C753" s="2" t="s">
        <v>1025</v>
      </c>
      <c r="D753" s="2" t="str">
        <f ca="1">OFFSET(Roster!$B$7, MATCH(B753&amp;" "&amp;C753&amp;"*",Roster!$B$8:$B$20,0),DAY(sales[[#This Row],[date]]),1, 1)</f>
        <v>Hazel</v>
      </c>
      <c r="E753" s="2">
        <f>MONTH(sales[[#This Row],[date]])</f>
        <v>6</v>
      </c>
      <c r="F753" s="234">
        <v>46179</v>
      </c>
      <c r="G753" s="3" t="str">
        <f>VLOOKUP("*"&amp;sales[[#This Row],[Input]]&amp;"*",'Ref-List'!$A:$C,1,0)</f>
        <v>Model-Input-Ref</v>
      </c>
      <c r="H753" s="2" t="str">
        <f>VLOOKUP("*"&amp;G753&amp;"*",'Ref-List'!$A:$C,3,0)</f>
        <v>Product Line</v>
      </c>
      <c r="I753" s="8"/>
      <c r="J753" s="2">
        <v>1</v>
      </c>
      <c r="K753" s="2">
        <v>1276</v>
      </c>
      <c r="L753" s="2">
        <f>sales[[#This Row],[quantity]]*sales[[#This Row],[price]]</f>
        <v>1276</v>
      </c>
      <c r="M753" s="9">
        <f>sales[[#This Row],[Total Price]]*3%</f>
        <v>38.28</v>
      </c>
      <c r="N753" s="171">
        <f>sales[[#This Row],[Total Price]]*2.5%</f>
        <v>31.900000000000002</v>
      </c>
      <c r="O753" s="9">
        <f>sales[[#This Row],[Total Price]]*1.5%</f>
        <v>19.14</v>
      </c>
      <c r="Q753" s="2">
        <v>1</v>
      </c>
      <c r="R753" s="5" t="str">
        <f>_xlfn.CONCAT(sales[[#This Row],[Shop]]," ",sales[[#This Row],[Location]])</f>
        <v>SW Wing On</v>
      </c>
    </row>
    <row r="754" spans="1:18" ht="15.6" customHeight="1">
      <c r="A754" s="7">
        <v>752</v>
      </c>
      <c r="B754" s="2" t="s">
        <v>1024</v>
      </c>
      <c r="C754" s="2" t="s">
        <v>1025</v>
      </c>
      <c r="D754" s="2" t="str">
        <f ca="1">OFFSET(Roster!$B$7, MATCH(B754&amp;" "&amp;C754&amp;"*",Roster!$B$8:$B$20,0),DAY(sales[[#This Row],[date]]),1, 1)</f>
        <v>Hazel</v>
      </c>
      <c r="E754" s="2">
        <f>MONTH(sales[[#This Row],[date]])</f>
        <v>6</v>
      </c>
      <c r="F754" s="234">
        <v>46179</v>
      </c>
      <c r="G754" s="3" t="str">
        <f>VLOOKUP("*"&amp;sales[[#This Row],[Input]]&amp;"*",'Ref-List'!$A:$C,1,0)</f>
        <v>Model-Input-Ref</v>
      </c>
      <c r="H754" s="2" t="str">
        <f>VLOOKUP("*"&amp;G754&amp;"*",'Ref-List'!$A:$C,3,0)</f>
        <v>Product Line</v>
      </c>
      <c r="I754" s="8"/>
      <c r="J754" s="2">
        <v>1</v>
      </c>
      <c r="K754" s="2">
        <v>808.2</v>
      </c>
      <c r="L754" s="2">
        <f>sales[[#This Row],[quantity]]*sales[[#This Row],[price]]</f>
        <v>808.2</v>
      </c>
      <c r="M754" s="9">
        <f>sales[[#This Row],[Total Price]]*3%</f>
        <v>24.246000000000002</v>
      </c>
      <c r="N754" s="171">
        <f>sales[[#This Row],[Total Price]]*2.5%</f>
        <v>20.205000000000002</v>
      </c>
      <c r="O754" s="9">
        <f>sales[[#This Row],[Total Price]]*1.5%</f>
        <v>12.123000000000001</v>
      </c>
      <c r="Q754" s="2">
        <v>1</v>
      </c>
      <c r="R754" s="5" t="str">
        <f>_xlfn.CONCAT(sales[[#This Row],[Shop]]," ",sales[[#This Row],[Location]])</f>
        <v>SW Wing On</v>
      </c>
    </row>
    <row r="755" spans="1:18" ht="15.6" customHeight="1">
      <c r="A755" s="7">
        <v>753</v>
      </c>
      <c r="B755" s="2" t="s">
        <v>1024</v>
      </c>
      <c r="C755" s="2" t="s">
        <v>1025</v>
      </c>
      <c r="D755" s="2" t="str">
        <f ca="1">OFFSET(Roster!$B$7, MATCH(B755&amp;" "&amp;C755&amp;"*",Roster!$B$8:$B$20,0),DAY(sales[[#This Row],[date]]),1, 1)</f>
        <v>Hazel</v>
      </c>
      <c r="E755" s="2">
        <f>MONTH(sales[[#This Row],[date]])</f>
        <v>6</v>
      </c>
      <c r="F755" s="234">
        <v>46179</v>
      </c>
      <c r="G755" s="3" t="str">
        <f>VLOOKUP("*"&amp;sales[[#This Row],[Input]]&amp;"*",'Ref-List'!$A:$C,1,0)</f>
        <v>Model-Input-Ref</v>
      </c>
      <c r="H755" s="2" t="str">
        <f>VLOOKUP("*"&amp;G755&amp;"*",'Ref-List'!$A:$C,3,0)</f>
        <v>Product Line</v>
      </c>
      <c r="I755" s="8"/>
      <c r="J755" s="2">
        <v>1</v>
      </c>
      <c r="K755" s="2">
        <v>578</v>
      </c>
      <c r="L755" s="2">
        <f>sales[[#This Row],[quantity]]*sales[[#This Row],[price]]</f>
        <v>578</v>
      </c>
      <c r="M755" s="9">
        <f>sales[[#This Row],[Total Price]]*3%</f>
        <v>17.34</v>
      </c>
      <c r="N755" s="171">
        <f>sales[[#This Row],[Total Price]]*2.5%</f>
        <v>14.450000000000001</v>
      </c>
      <c r="O755" s="9">
        <f>sales[[#This Row],[Total Price]]*1.5%</f>
        <v>8.67</v>
      </c>
      <c r="Q755" s="2">
        <v>1</v>
      </c>
      <c r="R755" s="5" t="str">
        <f>_xlfn.CONCAT(sales[[#This Row],[Shop]]," ",sales[[#This Row],[Location]])</f>
        <v>SW Wing On</v>
      </c>
    </row>
    <row r="756" spans="1:18" ht="15.6" customHeight="1">
      <c r="A756" s="7">
        <v>754</v>
      </c>
      <c r="B756" s="2" t="s">
        <v>1024</v>
      </c>
      <c r="C756" s="2" t="s">
        <v>1025</v>
      </c>
      <c r="D756" s="2" t="str">
        <f ca="1">OFFSET(Roster!$B$7, MATCH(B756&amp;" "&amp;C756&amp;"*",Roster!$B$8:$B$20,0),DAY(sales[[#This Row],[date]]),1, 1)</f>
        <v>Hazel</v>
      </c>
      <c r="E756" s="2">
        <f>MONTH(sales[[#This Row],[date]])</f>
        <v>6</v>
      </c>
      <c r="F756" s="234">
        <v>46179</v>
      </c>
      <c r="G756" s="3" t="str">
        <f>VLOOKUP("*"&amp;sales[[#This Row],[Input]]&amp;"*",'Ref-List'!$A:$C,1,0)</f>
        <v>Model-Input-Ref</v>
      </c>
      <c r="H756" s="2" t="str">
        <f>VLOOKUP("*"&amp;G756&amp;"*",'Ref-List'!$A:$C,3,0)</f>
        <v>Product Line</v>
      </c>
      <c r="I756" s="8"/>
      <c r="J756" s="2">
        <v>1</v>
      </c>
      <c r="K756" s="2">
        <v>196.2</v>
      </c>
      <c r="L756" s="2">
        <f>sales[[#This Row],[quantity]]*sales[[#This Row],[price]]</f>
        <v>196.2</v>
      </c>
      <c r="M756" s="9">
        <f>sales[[#This Row],[Total Price]]*3%</f>
        <v>5.8859999999999992</v>
      </c>
      <c r="N756" s="171">
        <f>sales[[#This Row],[Total Price]]*2.5%</f>
        <v>4.9050000000000002</v>
      </c>
      <c r="O756" s="9">
        <f>sales[[#This Row],[Total Price]]*1.5%</f>
        <v>2.9429999999999996</v>
      </c>
      <c r="Q756" s="2">
        <v>1</v>
      </c>
      <c r="R756" s="5" t="str">
        <f>_xlfn.CONCAT(sales[[#This Row],[Shop]]," ",sales[[#This Row],[Location]])</f>
        <v>SW Wing On</v>
      </c>
    </row>
    <row r="757" spans="1:18" ht="15.6" customHeight="1">
      <c r="A757" s="7">
        <v>755</v>
      </c>
      <c r="B757" s="2" t="s">
        <v>1024</v>
      </c>
      <c r="C757" s="2" t="s">
        <v>1025</v>
      </c>
      <c r="D757" s="2" t="str">
        <f ca="1">OFFSET(Roster!$B$7, MATCH(B757&amp;" "&amp;C757&amp;"*",Roster!$B$8:$B$20,0),DAY(sales[[#This Row],[date]]),1, 1)</f>
        <v>Hazel</v>
      </c>
      <c r="E757" s="2">
        <f>MONTH(sales[[#This Row],[date]])</f>
        <v>6</v>
      </c>
      <c r="F757" s="234">
        <v>46179</v>
      </c>
      <c r="G757" s="3" t="str">
        <f>VLOOKUP("*"&amp;sales[[#This Row],[Input]]&amp;"*",'Ref-List'!$A:$C,1,0)</f>
        <v>Model-Input-Ref</v>
      </c>
      <c r="H757" s="2" t="str">
        <f>VLOOKUP("*"&amp;G757&amp;"*",'Ref-List'!$A:$C,3,0)</f>
        <v>Product Line</v>
      </c>
      <c r="I757" s="8"/>
      <c r="J757" s="2">
        <v>1</v>
      </c>
      <c r="K757" s="2">
        <v>214.2</v>
      </c>
      <c r="L757" s="2">
        <f>sales[[#This Row],[quantity]]*sales[[#This Row],[price]]</f>
        <v>214.2</v>
      </c>
      <c r="M757" s="9">
        <f>sales[[#This Row],[Total Price]]*3%</f>
        <v>6.4259999999999993</v>
      </c>
      <c r="N757" s="171">
        <f>sales[[#This Row],[Total Price]]*2.5%</f>
        <v>5.3550000000000004</v>
      </c>
      <c r="O757" s="9">
        <f>sales[[#This Row],[Total Price]]*1.5%</f>
        <v>3.2129999999999996</v>
      </c>
      <c r="Q757" s="2">
        <v>1</v>
      </c>
      <c r="R757" s="5" t="str">
        <f>_xlfn.CONCAT(sales[[#This Row],[Shop]]," ",sales[[#This Row],[Location]])</f>
        <v>SW Wing On</v>
      </c>
    </row>
    <row r="758" spans="1:18" ht="15.6" customHeight="1">
      <c r="A758" s="7">
        <v>756</v>
      </c>
      <c r="B758" s="2" t="s">
        <v>1024</v>
      </c>
      <c r="C758" s="2" t="s">
        <v>1025</v>
      </c>
      <c r="D758" s="2" t="str">
        <f ca="1">OFFSET(Roster!$B$7, MATCH(B758&amp;" "&amp;C758&amp;"*",Roster!$B$8:$B$20,0),DAY(sales[[#This Row],[date]]),1, 1)</f>
        <v>Hazel</v>
      </c>
      <c r="E758" s="2">
        <f>MONTH(sales[[#This Row],[date]])</f>
        <v>6</v>
      </c>
      <c r="F758" s="234">
        <v>46179</v>
      </c>
      <c r="G758" s="3" t="str">
        <f>VLOOKUP("*"&amp;sales[[#This Row],[Input]]&amp;"*",'Ref-List'!$A:$C,1,0)</f>
        <v>Model-Input-Ref</v>
      </c>
      <c r="H758" s="2" t="str">
        <f>VLOOKUP("*"&amp;G758&amp;"*",'Ref-List'!$A:$C,3,0)</f>
        <v>Product Line</v>
      </c>
      <c r="I758" s="8"/>
      <c r="J758" s="2">
        <v>1</v>
      </c>
      <c r="K758" s="2">
        <v>868</v>
      </c>
      <c r="L758" s="2">
        <f>sales[[#This Row],[quantity]]*sales[[#This Row],[price]]</f>
        <v>868</v>
      </c>
      <c r="M758" s="9">
        <f>sales[[#This Row],[Total Price]]*3%</f>
        <v>26.04</v>
      </c>
      <c r="N758" s="171">
        <f>sales[[#This Row],[Total Price]]*2.5%</f>
        <v>21.700000000000003</v>
      </c>
      <c r="O758" s="9">
        <f>sales[[#This Row],[Total Price]]*1.5%</f>
        <v>13.02</v>
      </c>
      <c r="Q758" s="2">
        <v>1</v>
      </c>
      <c r="R758" s="5" t="str">
        <f>_xlfn.CONCAT(sales[[#This Row],[Shop]]," ",sales[[#This Row],[Location]])</f>
        <v>SW Wing On</v>
      </c>
    </row>
    <row r="759" spans="1:18" ht="15.6" customHeight="1">
      <c r="A759" s="7">
        <v>757</v>
      </c>
      <c r="B759" s="2" t="s">
        <v>1024</v>
      </c>
      <c r="C759" s="2" t="s">
        <v>1025</v>
      </c>
      <c r="D759" s="2" t="str">
        <f ca="1">OFFSET(Roster!$B$7, MATCH(B759&amp;" "&amp;C759&amp;"*",Roster!$B$8:$B$20,0),DAY(sales[[#This Row],[date]]),1, 1)</f>
        <v>Hazel</v>
      </c>
      <c r="E759" s="2">
        <f>MONTH(sales[[#This Row],[date]])</f>
        <v>6</v>
      </c>
      <c r="F759" s="234">
        <v>46186</v>
      </c>
      <c r="G759" s="3" t="str">
        <f>VLOOKUP("*"&amp;sales[[#This Row],[Input]]&amp;"*",'Ref-List'!$A:$C,1,0)</f>
        <v>Model-Input-Ref</v>
      </c>
      <c r="H759" s="2" t="str">
        <f>VLOOKUP("*"&amp;G759&amp;"*",'Ref-List'!$A:$C,3,0)</f>
        <v>Product Line</v>
      </c>
      <c r="I759" s="8"/>
      <c r="J759" s="2">
        <v>1</v>
      </c>
      <c r="K759" s="2">
        <v>498</v>
      </c>
      <c r="L759" s="2">
        <f>sales[[#This Row],[quantity]]*sales[[#This Row],[price]]</f>
        <v>498</v>
      </c>
      <c r="M759" s="9">
        <f>sales[[#This Row],[Total Price]]*3%</f>
        <v>14.94</v>
      </c>
      <c r="N759" s="171">
        <f>sales[[#This Row],[Total Price]]*2.5%</f>
        <v>12.450000000000001</v>
      </c>
      <c r="O759" s="9">
        <f>sales[[#This Row],[Total Price]]*1.5%</f>
        <v>7.47</v>
      </c>
      <c r="Q759" s="2">
        <v>2</v>
      </c>
      <c r="R759" s="5" t="str">
        <f>_xlfn.CONCAT(sales[[#This Row],[Shop]]," ",sales[[#This Row],[Location]])</f>
        <v>SW Wing On</v>
      </c>
    </row>
    <row r="760" spans="1:18" ht="15.6" customHeight="1">
      <c r="A760" s="7">
        <v>758</v>
      </c>
      <c r="B760" s="2" t="s">
        <v>1024</v>
      </c>
      <c r="C760" s="2" t="s">
        <v>1025</v>
      </c>
      <c r="D760" s="2" t="str">
        <f ca="1">OFFSET(Roster!$B$7, MATCH(B760&amp;" "&amp;C760&amp;"*",Roster!$B$8:$B$20,0),DAY(sales[[#This Row],[date]]),1, 1)</f>
        <v>Hazel</v>
      </c>
      <c r="E760" s="2">
        <f>MONTH(sales[[#This Row],[date]])</f>
        <v>6</v>
      </c>
      <c r="F760" s="234">
        <v>46186</v>
      </c>
      <c r="G760" s="3" t="str">
        <f>VLOOKUP("*"&amp;sales[[#This Row],[Input]]&amp;"*",'Ref-List'!$A:$C,1,0)</f>
        <v>Model-Input-Ref</v>
      </c>
      <c r="H760" s="2" t="str">
        <f>VLOOKUP("*"&amp;G760&amp;"*",'Ref-List'!$A:$C,3,0)</f>
        <v>Product Line</v>
      </c>
      <c r="I760" s="8"/>
      <c r="J760" s="2">
        <v>1</v>
      </c>
      <c r="K760" s="2">
        <v>868</v>
      </c>
      <c r="L760" s="2">
        <f>sales[[#This Row],[quantity]]*sales[[#This Row],[price]]</f>
        <v>868</v>
      </c>
      <c r="M760" s="9">
        <f>sales[[#This Row],[Total Price]]*3%</f>
        <v>26.04</v>
      </c>
      <c r="N760" s="171">
        <f>sales[[#This Row],[Total Price]]*2.5%</f>
        <v>21.700000000000003</v>
      </c>
      <c r="O760" s="9">
        <f>sales[[#This Row],[Total Price]]*1.5%</f>
        <v>13.02</v>
      </c>
      <c r="Q760" s="2">
        <v>2</v>
      </c>
      <c r="R760" s="5" t="str">
        <f>_xlfn.CONCAT(sales[[#This Row],[Shop]]," ",sales[[#This Row],[Location]])</f>
        <v>SW Wing On</v>
      </c>
    </row>
    <row r="761" spans="1:18" ht="15.6" customHeight="1">
      <c r="A761" s="7">
        <v>759</v>
      </c>
      <c r="B761" s="2" t="s">
        <v>1024</v>
      </c>
      <c r="C761" s="2" t="s">
        <v>1025</v>
      </c>
      <c r="D761" s="2" t="str">
        <f ca="1">OFFSET(Roster!$B$7, MATCH(B761&amp;" "&amp;C761&amp;"*",Roster!$B$8:$B$20,0),DAY(sales[[#This Row],[date]]),1, 1)</f>
        <v>Hazel</v>
      </c>
      <c r="E761" s="2">
        <f>MONTH(sales[[#This Row],[date]])</f>
        <v>6</v>
      </c>
      <c r="F761" s="234">
        <v>46186</v>
      </c>
      <c r="G761" s="3" t="str">
        <f>VLOOKUP("*"&amp;sales[[#This Row],[Input]]&amp;"*",'Ref-List'!$A:$C,1,0)</f>
        <v>Model-Input-Ref</v>
      </c>
      <c r="H761" s="2" t="str">
        <f>VLOOKUP("*"&amp;G761&amp;"*",'Ref-List'!$A:$C,3,0)</f>
        <v>Product Line</v>
      </c>
      <c r="J761" s="2">
        <v>1</v>
      </c>
      <c r="K761" s="2">
        <v>1914</v>
      </c>
      <c r="L761" s="2">
        <f>sales[[#This Row],[quantity]]*sales[[#This Row],[price]]</f>
        <v>1914</v>
      </c>
      <c r="M761" s="9">
        <f>sales[[#This Row],[Total Price]]*3%</f>
        <v>57.419999999999995</v>
      </c>
      <c r="N761" s="171">
        <f>sales[[#This Row],[Total Price]]*2.5%</f>
        <v>47.85</v>
      </c>
      <c r="O761" s="9">
        <f>sales[[#This Row],[Total Price]]*1.5%</f>
        <v>28.709999999999997</v>
      </c>
      <c r="Q761" s="2">
        <v>2</v>
      </c>
      <c r="R761" s="5" t="str">
        <f>_xlfn.CONCAT(sales[[#This Row],[Shop]]," ",sales[[#This Row],[Location]])</f>
        <v>SW Wing On</v>
      </c>
    </row>
    <row r="762" spans="1:18" ht="15.6" customHeight="1">
      <c r="A762" s="7">
        <v>760</v>
      </c>
      <c r="B762" s="2" t="s">
        <v>1024</v>
      </c>
      <c r="C762" s="2" t="s">
        <v>1025</v>
      </c>
      <c r="D762" s="2" t="str">
        <f ca="1">OFFSET(Roster!$B$7, MATCH(B762&amp;" "&amp;C762&amp;"*",Roster!$B$8:$B$20,0),DAY(sales[[#This Row],[date]]),1, 1)</f>
        <v>Hazel</v>
      </c>
      <c r="E762" s="2">
        <f>MONTH(sales[[#This Row],[date]])</f>
        <v>6</v>
      </c>
      <c r="F762" s="234">
        <v>46186</v>
      </c>
      <c r="G762" s="3" t="str">
        <f>VLOOKUP("*"&amp;sales[[#This Row],[Input]]&amp;"*",'Ref-List'!$A:$C,1,0)</f>
        <v>Model-Input-Ref</v>
      </c>
      <c r="H762" s="2" t="str">
        <f>VLOOKUP("*"&amp;G762&amp;"*",'Ref-List'!$A:$C,3,0)</f>
        <v>Product Line</v>
      </c>
      <c r="J762" s="2">
        <v>1</v>
      </c>
      <c r="K762" s="2">
        <v>798</v>
      </c>
      <c r="L762" s="2">
        <f>sales[[#This Row],[quantity]]*sales[[#This Row],[price]]</f>
        <v>798</v>
      </c>
      <c r="M762" s="9">
        <f>sales[[#This Row],[Total Price]]*3%</f>
        <v>23.939999999999998</v>
      </c>
      <c r="N762" s="171">
        <f>sales[[#This Row],[Total Price]]*2.5%</f>
        <v>19.950000000000003</v>
      </c>
      <c r="O762" s="9">
        <f>sales[[#This Row],[Total Price]]*1.5%</f>
        <v>11.969999999999999</v>
      </c>
      <c r="Q762" s="2">
        <v>2</v>
      </c>
      <c r="R762" s="5" t="str">
        <f>_xlfn.CONCAT(sales[[#This Row],[Shop]]," ",sales[[#This Row],[Location]])</f>
        <v>SW Wing On</v>
      </c>
    </row>
    <row r="763" spans="1:18" ht="15.6" customHeight="1">
      <c r="A763" s="7">
        <v>761</v>
      </c>
      <c r="B763" s="2" t="s">
        <v>1024</v>
      </c>
      <c r="C763" s="2" t="s">
        <v>1025</v>
      </c>
      <c r="D763" s="2" t="str">
        <f ca="1">OFFSET(Roster!$B$7, MATCH(B763&amp;" "&amp;C763&amp;"*",Roster!$B$8:$B$20,0),DAY(sales[[#This Row],[date]]),1, 1)</f>
        <v>Hazel</v>
      </c>
      <c r="E763" s="2">
        <f>MONTH(sales[[#This Row],[date]])</f>
        <v>6</v>
      </c>
      <c r="F763" s="234">
        <v>46186</v>
      </c>
      <c r="G763" s="3" t="str">
        <f>VLOOKUP("*"&amp;sales[[#This Row],[Input]]&amp;"*",'Ref-List'!$A:$C,1,0)</f>
        <v>Model-Input-Ref</v>
      </c>
      <c r="H763" s="2" t="str">
        <f>VLOOKUP("*"&amp;G763&amp;"*",'Ref-List'!$A:$C,3,0)</f>
        <v>Product Line</v>
      </c>
      <c r="J763" s="2">
        <v>1</v>
      </c>
      <c r="K763" s="2">
        <v>598</v>
      </c>
      <c r="L763" s="2">
        <f>sales[[#This Row],[quantity]]*sales[[#This Row],[price]]</f>
        <v>598</v>
      </c>
      <c r="M763" s="9">
        <f>sales[[#This Row],[Total Price]]*3%</f>
        <v>17.939999999999998</v>
      </c>
      <c r="N763" s="171">
        <f>sales[[#This Row],[Total Price]]*2.5%</f>
        <v>14.950000000000001</v>
      </c>
      <c r="O763" s="9">
        <f>sales[[#This Row],[Total Price]]*1.5%</f>
        <v>8.9699999999999989</v>
      </c>
      <c r="Q763" s="2">
        <v>2</v>
      </c>
      <c r="R763" s="5" t="str">
        <f>_xlfn.CONCAT(sales[[#This Row],[Shop]]," ",sales[[#This Row],[Location]])</f>
        <v>SW Wing On</v>
      </c>
    </row>
    <row r="764" spans="1:18" ht="15.6" customHeight="1">
      <c r="A764" s="7">
        <v>762</v>
      </c>
      <c r="B764" s="2" t="s">
        <v>1024</v>
      </c>
      <c r="C764" s="2" t="s">
        <v>1025</v>
      </c>
      <c r="D764" s="2" t="str">
        <f ca="1">OFFSET(Roster!$B$7, MATCH(B764&amp;" "&amp;C764&amp;"*",Roster!$B$8:$B$20,0),DAY(sales[[#This Row],[date]]),1, 1)</f>
        <v>Hazel</v>
      </c>
      <c r="E764" s="2">
        <f>MONTH(sales[[#This Row],[date]])</f>
        <v>6</v>
      </c>
      <c r="F764" s="234">
        <v>46186</v>
      </c>
      <c r="G764" s="3" t="str">
        <f>VLOOKUP("*"&amp;sales[[#This Row],[Input]]&amp;"*",'Ref-List'!$A:$C,1,0)</f>
        <v>Model-Input-Ref</v>
      </c>
      <c r="H764" s="2" t="str">
        <f>VLOOKUP("*"&amp;G764&amp;"*",'Ref-List'!$A:$C,3,0)</f>
        <v>Product Line</v>
      </c>
      <c r="J764" s="2">
        <v>1</v>
      </c>
      <c r="K764" s="2">
        <v>464</v>
      </c>
      <c r="L764" s="2">
        <f>sales[[#This Row],[quantity]]*sales[[#This Row],[price]]</f>
        <v>464</v>
      </c>
      <c r="M764" s="9">
        <f>sales[[#This Row],[Total Price]]*3%</f>
        <v>13.92</v>
      </c>
      <c r="N764" s="171">
        <f>sales[[#This Row],[Total Price]]*2.5%</f>
        <v>11.600000000000001</v>
      </c>
      <c r="O764" s="9">
        <f>sales[[#This Row],[Total Price]]*1.5%</f>
        <v>6.96</v>
      </c>
      <c r="Q764" s="2">
        <v>2</v>
      </c>
      <c r="R764" s="5" t="str">
        <f>_xlfn.CONCAT(sales[[#This Row],[Shop]]," ",sales[[#This Row],[Location]])</f>
        <v>SW Wing On</v>
      </c>
    </row>
    <row r="765" spans="1:18" ht="15.6" customHeight="1">
      <c r="A765" s="7">
        <v>763</v>
      </c>
      <c r="B765" s="2" t="s">
        <v>1024</v>
      </c>
      <c r="C765" s="2" t="s">
        <v>1025</v>
      </c>
      <c r="D765" s="2" t="str">
        <f ca="1">OFFSET(Roster!$B$7, MATCH(B765&amp;" "&amp;C765&amp;"*",Roster!$B$8:$B$20,0),DAY(sales[[#This Row],[date]]),1, 1)</f>
        <v>Hazel</v>
      </c>
      <c r="E765" s="2">
        <f>MONTH(sales[[#This Row],[date]])</f>
        <v>6</v>
      </c>
      <c r="F765" s="234">
        <v>46186</v>
      </c>
      <c r="G765" s="3" t="str">
        <f>VLOOKUP("*"&amp;sales[[#This Row],[Input]]&amp;"*",'Ref-List'!$A:$C,1,0)</f>
        <v>Model-Input-Ref</v>
      </c>
      <c r="H765" s="2" t="str">
        <f>VLOOKUP("*"&amp;G765&amp;"*",'Ref-List'!$A:$C,3,0)</f>
        <v>Product Line</v>
      </c>
      <c r="J765" s="2">
        <v>1</v>
      </c>
      <c r="K765" s="2">
        <v>1506</v>
      </c>
      <c r="L765" s="2">
        <f>sales[[#This Row],[quantity]]*sales[[#This Row],[price]]</f>
        <v>1506</v>
      </c>
      <c r="M765" s="9">
        <f>sales[[#This Row],[Total Price]]*3%</f>
        <v>45.18</v>
      </c>
      <c r="N765" s="171">
        <f>sales[[#This Row],[Total Price]]*2.5%</f>
        <v>37.65</v>
      </c>
      <c r="O765" s="9">
        <f>sales[[#This Row],[Total Price]]*1.5%</f>
        <v>22.59</v>
      </c>
      <c r="Q765" s="2">
        <v>2</v>
      </c>
      <c r="R765" s="5" t="str">
        <f>_xlfn.CONCAT(sales[[#This Row],[Shop]]," ",sales[[#This Row],[Location]])</f>
        <v>SW Wing On</v>
      </c>
    </row>
    <row r="766" spans="1:18" ht="15.6" customHeight="1">
      <c r="A766" s="7">
        <v>764</v>
      </c>
      <c r="B766" s="2" t="s">
        <v>1024</v>
      </c>
      <c r="C766" s="2" t="s">
        <v>1025</v>
      </c>
      <c r="D766" s="2" t="str">
        <f ca="1">OFFSET(Roster!$B$7, MATCH(B766&amp;" "&amp;C766&amp;"*",Roster!$B$8:$B$20,0),DAY(sales[[#This Row],[date]]),1, 1)</f>
        <v>Hazel</v>
      </c>
      <c r="E766" s="2">
        <f>MONTH(sales[[#This Row],[date]])</f>
        <v>6</v>
      </c>
      <c r="F766" s="234">
        <v>46186</v>
      </c>
      <c r="G766" s="3" t="str">
        <f>VLOOKUP("*"&amp;sales[[#This Row],[Input]]&amp;"*",'Ref-List'!$A:$C,1,0)</f>
        <v>Model-Input-Ref</v>
      </c>
      <c r="H766" s="2" t="str">
        <f>VLOOKUP("*"&amp;G766&amp;"*",'Ref-List'!$A:$C,3,0)</f>
        <v>Product Line</v>
      </c>
      <c r="J766" s="2">
        <v>1</v>
      </c>
      <c r="K766" s="2">
        <v>808.2</v>
      </c>
      <c r="L766" s="2">
        <f>sales[[#This Row],[quantity]]*sales[[#This Row],[price]]</f>
        <v>808.2</v>
      </c>
      <c r="M766" s="9">
        <f>sales[[#This Row],[Total Price]]*3%</f>
        <v>24.246000000000002</v>
      </c>
      <c r="N766" s="171">
        <f>sales[[#This Row],[Total Price]]*2.5%</f>
        <v>20.205000000000002</v>
      </c>
      <c r="O766" s="9">
        <f>sales[[#This Row],[Total Price]]*1.5%</f>
        <v>12.123000000000001</v>
      </c>
      <c r="Q766" s="2">
        <v>2</v>
      </c>
      <c r="R766" s="5" t="str">
        <f>_xlfn.CONCAT(sales[[#This Row],[Shop]]," ",sales[[#This Row],[Location]])</f>
        <v>SW Wing On</v>
      </c>
    </row>
    <row r="767" spans="1:18" ht="15.6" customHeight="1">
      <c r="A767" s="7">
        <v>765</v>
      </c>
      <c r="B767" s="2" t="s">
        <v>1024</v>
      </c>
      <c r="C767" s="2" t="s">
        <v>1025</v>
      </c>
      <c r="D767" s="2" t="str">
        <f ca="1">OFFSET(Roster!$B$7, MATCH(B767&amp;" "&amp;C767&amp;"*",Roster!$B$8:$B$20,0),DAY(sales[[#This Row],[date]]),1, 1)</f>
        <v>Hazel</v>
      </c>
      <c r="E767" s="2">
        <f>MONTH(sales[[#This Row],[date]])</f>
        <v>6</v>
      </c>
      <c r="F767" s="234">
        <v>46186</v>
      </c>
      <c r="G767" s="3" t="str">
        <f>VLOOKUP("*"&amp;sales[[#This Row],[Input]]&amp;"*",'Ref-List'!$A:$C,1,0)</f>
        <v>Model-Input-Ref</v>
      </c>
      <c r="H767" s="2" t="str">
        <f>VLOOKUP("*"&amp;G767&amp;"*",'Ref-List'!$A:$C,3,0)</f>
        <v>Product Line</v>
      </c>
      <c r="J767" s="2">
        <v>1</v>
      </c>
      <c r="K767" s="2">
        <v>358</v>
      </c>
      <c r="L767" s="2">
        <f>sales[[#This Row],[quantity]]*sales[[#This Row],[price]]</f>
        <v>358</v>
      </c>
      <c r="M767" s="9">
        <f>sales[[#This Row],[Total Price]]*3%</f>
        <v>10.74</v>
      </c>
      <c r="N767" s="171">
        <f>sales[[#This Row],[Total Price]]*2.5%</f>
        <v>8.9500000000000011</v>
      </c>
      <c r="O767" s="9">
        <f>sales[[#This Row],[Total Price]]*1.5%</f>
        <v>5.37</v>
      </c>
      <c r="Q767" s="2">
        <v>2</v>
      </c>
      <c r="R767" s="5" t="str">
        <f>_xlfn.CONCAT(sales[[#This Row],[Shop]]," ",sales[[#This Row],[Location]])</f>
        <v>SW Wing On</v>
      </c>
    </row>
    <row r="768" spans="1:18" ht="15.6" customHeight="1">
      <c r="A768" s="7">
        <v>766</v>
      </c>
      <c r="B768" s="2" t="s">
        <v>1024</v>
      </c>
      <c r="C768" s="2" t="s">
        <v>1025</v>
      </c>
      <c r="D768" s="2" t="str">
        <f ca="1">OFFSET(Roster!$B$7, MATCH(B768&amp;" "&amp;C768&amp;"*",Roster!$B$8:$B$20,0),DAY(sales[[#This Row],[date]]),1, 1)</f>
        <v>Hazel</v>
      </c>
      <c r="E768" s="2">
        <f>MONTH(sales[[#This Row],[date]])</f>
        <v>6</v>
      </c>
      <c r="F768" s="234">
        <v>46186</v>
      </c>
      <c r="G768" s="3" t="str">
        <f>VLOOKUP("*"&amp;sales[[#This Row],[Input]]&amp;"*",'Ref-List'!$A:$C,1,0)</f>
        <v>Model-Input-Ref</v>
      </c>
      <c r="H768" s="2" t="str">
        <f>VLOOKUP("*"&amp;G768&amp;"*",'Ref-List'!$A:$C,3,0)</f>
        <v>Product Line</v>
      </c>
      <c r="J768" s="2">
        <v>1</v>
      </c>
      <c r="K768" s="2">
        <v>898</v>
      </c>
      <c r="L768" s="2">
        <f>sales[[#This Row],[quantity]]*sales[[#This Row],[price]]</f>
        <v>898</v>
      </c>
      <c r="M768" s="9">
        <f>sales[[#This Row],[Total Price]]*3%</f>
        <v>26.939999999999998</v>
      </c>
      <c r="N768" s="171">
        <f>sales[[#This Row],[Total Price]]*2.5%</f>
        <v>22.450000000000003</v>
      </c>
      <c r="O768" s="9">
        <f>sales[[#This Row],[Total Price]]*1.5%</f>
        <v>13.469999999999999</v>
      </c>
      <c r="Q768" s="2">
        <v>2</v>
      </c>
      <c r="R768" s="5" t="str">
        <f>_xlfn.CONCAT(sales[[#This Row],[Shop]]," ",sales[[#This Row],[Location]])</f>
        <v>SW Wing On</v>
      </c>
    </row>
    <row r="769" spans="1:18" ht="15.6" customHeight="1">
      <c r="A769" s="7">
        <v>767</v>
      </c>
      <c r="B769" s="2" t="s">
        <v>1024</v>
      </c>
      <c r="C769" s="2" t="s">
        <v>1025</v>
      </c>
      <c r="D769" s="2" t="str">
        <f ca="1">OFFSET(Roster!$B$7, MATCH(B769&amp;" "&amp;C769&amp;"*",Roster!$B$8:$B$20,0),DAY(sales[[#This Row],[date]]),1, 1)</f>
        <v>Hazel</v>
      </c>
      <c r="E769" s="2">
        <f>MONTH(sales[[#This Row],[date]])</f>
        <v>6</v>
      </c>
      <c r="F769" s="234">
        <v>46186</v>
      </c>
      <c r="G769" s="3" t="str">
        <f>VLOOKUP("*"&amp;sales[[#This Row],[Input]]&amp;"*",'Ref-List'!$A:$C,1,0)</f>
        <v>Model-Input-Ref</v>
      </c>
      <c r="H769" s="2" t="str">
        <f>VLOOKUP("*"&amp;G769&amp;"*",'Ref-List'!$A:$C,3,0)</f>
        <v>Product Line</v>
      </c>
      <c r="J769" s="2">
        <v>1</v>
      </c>
      <c r="K769" s="2">
        <v>868</v>
      </c>
      <c r="L769" s="2">
        <f>sales[[#This Row],[quantity]]*sales[[#This Row],[price]]</f>
        <v>868</v>
      </c>
      <c r="M769" s="9">
        <f>sales[[#This Row],[Total Price]]*3%</f>
        <v>26.04</v>
      </c>
      <c r="N769" s="171">
        <f>sales[[#This Row],[Total Price]]*2.5%</f>
        <v>21.700000000000003</v>
      </c>
      <c r="O769" s="9">
        <f>sales[[#This Row],[Total Price]]*1.5%</f>
        <v>13.02</v>
      </c>
      <c r="Q769" s="2">
        <v>2</v>
      </c>
      <c r="R769" s="5" t="str">
        <f>_xlfn.CONCAT(sales[[#This Row],[Shop]]," ",sales[[#This Row],[Location]])</f>
        <v>SW Wing On</v>
      </c>
    </row>
    <row r="770" spans="1:18" ht="15.6" customHeight="1">
      <c r="A770" s="7">
        <v>768</v>
      </c>
      <c r="B770" s="2" t="s">
        <v>1024</v>
      </c>
      <c r="C770" s="2" t="s">
        <v>1025</v>
      </c>
      <c r="D770" s="2" t="str">
        <f ca="1">OFFSET(Roster!$B$7, MATCH(B770&amp;" "&amp;C770&amp;"*",Roster!$B$8:$B$20,0),DAY(sales[[#This Row],[date]]),1, 1)</f>
        <v>Hazel</v>
      </c>
      <c r="E770" s="2">
        <f>MONTH(sales[[#This Row],[date]])</f>
        <v>6</v>
      </c>
      <c r="F770" s="234">
        <v>46186</v>
      </c>
      <c r="G770" s="3" t="str">
        <f>VLOOKUP("*"&amp;sales[[#This Row],[Input]]&amp;"*",'Ref-List'!$A:$C,1,0)</f>
        <v>Model-Input-Ref</v>
      </c>
      <c r="H770" s="2" t="str">
        <f>VLOOKUP("*"&amp;G770&amp;"*",'Ref-List'!$A:$C,3,0)</f>
        <v>Product Line</v>
      </c>
      <c r="J770" s="2">
        <v>1</v>
      </c>
      <c r="K770" s="2">
        <v>638</v>
      </c>
      <c r="L770" s="2">
        <f>sales[[#This Row],[quantity]]*sales[[#This Row],[price]]</f>
        <v>638</v>
      </c>
      <c r="M770" s="9">
        <f>sales[[#This Row],[Total Price]]*3%</f>
        <v>19.14</v>
      </c>
      <c r="N770" s="171">
        <f>sales[[#This Row],[Total Price]]*2.5%</f>
        <v>15.950000000000001</v>
      </c>
      <c r="O770" s="9">
        <f>sales[[#This Row],[Total Price]]*1.5%</f>
        <v>9.57</v>
      </c>
      <c r="Q770" s="2">
        <v>2</v>
      </c>
      <c r="R770" s="5" t="str">
        <f>_xlfn.CONCAT(sales[[#This Row],[Shop]]," ",sales[[#This Row],[Location]])</f>
        <v>SW Wing On</v>
      </c>
    </row>
    <row r="771" spans="1:18" ht="15.6" customHeight="1">
      <c r="A771" s="7">
        <v>769</v>
      </c>
      <c r="B771" s="2" t="s">
        <v>1024</v>
      </c>
      <c r="C771" s="2" t="s">
        <v>1025</v>
      </c>
      <c r="D771" s="2" t="str">
        <f ca="1">OFFSET(Roster!$B$7, MATCH(B771&amp;" "&amp;C771&amp;"*",Roster!$B$8:$B$20,0),DAY(sales[[#This Row],[date]]),1, 1)</f>
        <v>Hazel</v>
      </c>
      <c r="E771" s="2">
        <f>MONTH(sales[[#This Row],[date]])</f>
        <v>6</v>
      </c>
      <c r="F771" s="234">
        <v>46186</v>
      </c>
      <c r="G771" s="3" t="str">
        <f>VLOOKUP("*"&amp;sales[[#This Row],[Input]]&amp;"*",'Ref-List'!$A:$C,1,0)</f>
        <v>Model-Input-Ref</v>
      </c>
      <c r="H771" s="2" t="str">
        <f>VLOOKUP("*"&amp;G771&amp;"*",'Ref-List'!$A:$C,3,0)</f>
        <v>Product Line</v>
      </c>
      <c r="J771" s="2">
        <v>1</v>
      </c>
      <c r="K771" s="2">
        <v>798</v>
      </c>
      <c r="L771" s="2">
        <f>sales[[#This Row],[quantity]]*sales[[#This Row],[price]]</f>
        <v>798</v>
      </c>
      <c r="M771" s="9">
        <f>sales[[#This Row],[Total Price]]*3%</f>
        <v>23.939999999999998</v>
      </c>
      <c r="N771" s="171">
        <f>sales[[#This Row],[Total Price]]*2.5%</f>
        <v>19.950000000000003</v>
      </c>
      <c r="O771" s="9">
        <f>sales[[#This Row],[Total Price]]*1.5%</f>
        <v>11.969999999999999</v>
      </c>
      <c r="Q771" s="2">
        <v>2</v>
      </c>
      <c r="R771" s="5" t="str">
        <f>_xlfn.CONCAT(sales[[#This Row],[Shop]]," ",sales[[#This Row],[Location]])</f>
        <v>SW Wing On</v>
      </c>
    </row>
    <row r="772" spans="1:18" ht="15.6" customHeight="1">
      <c r="A772" s="7">
        <v>770</v>
      </c>
      <c r="B772" s="2" t="s">
        <v>1024</v>
      </c>
      <c r="C772" s="2" t="s">
        <v>1025</v>
      </c>
      <c r="D772" s="2" t="str">
        <f ca="1">OFFSET(Roster!$B$7, MATCH(B772&amp;" "&amp;C772&amp;"*",Roster!$B$8:$B$20,0),DAY(sales[[#This Row],[date]]),1, 1)</f>
        <v>Hazel</v>
      </c>
      <c r="E772" s="2">
        <f>MONTH(sales[[#This Row],[date]])</f>
        <v>6</v>
      </c>
      <c r="F772" s="234">
        <v>46186</v>
      </c>
      <c r="G772" s="3" t="str">
        <f>VLOOKUP("*"&amp;sales[[#This Row],[Input]]&amp;"*",'Ref-List'!$A:$C,1,0)</f>
        <v>Model-Input-Ref</v>
      </c>
      <c r="H772" s="2" t="str">
        <f>VLOOKUP("*"&amp;G772&amp;"*",'Ref-List'!$A:$C,3,0)</f>
        <v>Product Line</v>
      </c>
      <c r="J772" s="2">
        <v>1</v>
      </c>
      <c r="K772" s="2">
        <v>808.2</v>
      </c>
      <c r="L772" s="2">
        <f>sales[[#This Row],[quantity]]*sales[[#This Row],[price]]</f>
        <v>808.2</v>
      </c>
      <c r="M772" s="9">
        <f>sales[[#This Row],[Total Price]]*3%</f>
        <v>24.246000000000002</v>
      </c>
      <c r="N772" s="171">
        <f>sales[[#This Row],[Total Price]]*2.5%</f>
        <v>20.205000000000002</v>
      </c>
      <c r="O772" s="9">
        <f>sales[[#This Row],[Total Price]]*1.5%</f>
        <v>12.123000000000001</v>
      </c>
      <c r="Q772" s="2">
        <v>2</v>
      </c>
      <c r="R772" s="5" t="str">
        <f>_xlfn.CONCAT(sales[[#This Row],[Shop]]," ",sales[[#This Row],[Location]])</f>
        <v>SW Wing On</v>
      </c>
    </row>
    <row r="773" spans="1:18" ht="15.6" customHeight="1">
      <c r="A773" s="7">
        <v>771</v>
      </c>
      <c r="B773" s="2" t="s">
        <v>1024</v>
      </c>
      <c r="C773" s="2" t="s">
        <v>1025</v>
      </c>
      <c r="D773" s="2" t="str">
        <f ca="1">OFFSET(Roster!$B$7, MATCH(B773&amp;" "&amp;C773&amp;"*",Roster!$B$8:$B$20,0),DAY(sales[[#This Row],[date]]),1, 1)</f>
        <v>Hazel</v>
      </c>
      <c r="E773" s="2">
        <f>MONTH(sales[[#This Row],[date]])</f>
        <v>6</v>
      </c>
      <c r="F773" s="234">
        <v>46186</v>
      </c>
      <c r="G773" s="3" t="str">
        <f>VLOOKUP("*"&amp;sales[[#This Row],[Input]]&amp;"*",'Ref-List'!$A:$C,1,0)</f>
        <v>Model-Input-Ref</v>
      </c>
      <c r="H773" s="2" t="str">
        <f>VLOOKUP("*"&amp;G773&amp;"*",'Ref-List'!$A:$C,3,0)</f>
        <v>Product Line</v>
      </c>
      <c r="J773" s="2">
        <v>1</v>
      </c>
      <c r="K773" s="2">
        <v>1276</v>
      </c>
      <c r="L773" s="2">
        <f>sales[[#This Row],[quantity]]*sales[[#This Row],[price]]</f>
        <v>1276</v>
      </c>
      <c r="M773" s="9">
        <f>sales[[#This Row],[Total Price]]*3%</f>
        <v>38.28</v>
      </c>
      <c r="N773" s="171">
        <f>sales[[#This Row],[Total Price]]*2.5%</f>
        <v>31.900000000000002</v>
      </c>
      <c r="O773" s="9">
        <f>sales[[#This Row],[Total Price]]*1.5%</f>
        <v>19.14</v>
      </c>
      <c r="Q773" s="2">
        <v>2</v>
      </c>
      <c r="R773" s="5" t="str">
        <f>_xlfn.CONCAT(sales[[#This Row],[Shop]]," ",sales[[#This Row],[Location]])</f>
        <v>SW Wing On</v>
      </c>
    </row>
    <row r="774" spans="1:18" ht="15.6" customHeight="1">
      <c r="A774" s="7">
        <v>772</v>
      </c>
      <c r="B774" s="2" t="s">
        <v>1024</v>
      </c>
      <c r="C774" s="2" t="s">
        <v>1025</v>
      </c>
      <c r="D774" s="2" t="str">
        <f ca="1">OFFSET(Roster!$B$7, MATCH(B774&amp;" "&amp;C774&amp;"*",Roster!$B$8:$B$20,0),DAY(sales[[#This Row],[date]]),1, 1)</f>
        <v>Hazel</v>
      </c>
      <c r="E774" s="2">
        <f>MONTH(sales[[#This Row],[date]])</f>
        <v>6</v>
      </c>
      <c r="F774" s="234">
        <v>46186</v>
      </c>
      <c r="G774" s="3" t="str">
        <f>VLOOKUP("*"&amp;sales[[#This Row],[Input]]&amp;"*",'Ref-List'!$A:$C,1,0)</f>
        <v>Model-Input-Ref</v>
      </c>
      <c r="H774" s="2" t="str">
        <f>VLOOKUP("*"&amp;G774&amp;"*",'Ref-List'!$A:$C,3,0)</f>
        <v>Product Line</v>
      </c>
      <c r="J774" s="2">
        <v>1</v>
      </c>
      <c r="K774" s="2">
        <v>798</v>
      </c>
      <c r="L774" s="2">
        <f>sales[[#This Row],[quantity]]*sales[[#This Row],[price]]</f>
        <v>798</v>
      </c>
      <c r="M774" s="9">
        <f>sales[[#This Row],[Total Price]]*3%</f>
        <v>23.939999999999998</v>
      </c>
      <c r="N774" s="171">
        <f>sales[[#This Row],[Total Price]]*2.5%</f>
        <v>19.950000000000003</v>
      </c>
      <c r="O774" s="9">
        <f>sales[[#This Row],[Total Price]]*1.5%</f>
        <v>11.969999999999999</v>
      </c>
      <c r="Q774" s="2">
        <v>2</v>
      </c>
      <c r="R774" s="5" t="str">
        <f>_xlfn.CONCAT(sales[[#This Row],[Shop]]," ",sales[[#This Row],[Location]])</f>
        <v>SW Wing On</v>
      </c>
    </row>
    <row r="775" spans="1:18" ht="15.6" customHeight="1">
      <c r="A775" s="7">
        <v>773</v>
      </c>
      <c r="B775" s="2" t="s">
        <v>1024</v>
      </c>
      <c r="C775" s="2" t="s">
        <v>1025</v>
      </c>
      <c r="D775" s="2" t="str">
        <f ca="1">OFFSET(Roster!$B$7, MATCH(B775&amp;" "&amp;C775&amp;"*",Roster!$B$8:$B$20,0),DAY(sales[[#This Row],[date]]),1, 1)</f>
        <v>Hazel</v>
      </c>
      <c r="E775" s="2">
        <f>MONTH(sales[[#This Row],[date]])</f>
        <v>6</v>
      </c>
      <c r="F775" s="234">
        <v>46186</v>
      </c>
      <c r="G775" s="3" t="str">
        <f>VLOOKUP("*"&amp;sales[[#This Row],[Input]]&amp;"*",'Ref-List'!$A:$C,1,0)</f>
        <v>Model-Input-Ref</v>
      </c>
      <c r="H775" s="2" t="str">
        <f>VLOOKUP("*"&amp;G775&amp;"*",'Ref-List'!$A:$C,3,0)</f>
        <v>Product Line</v>
      </c>
      <c r="J775" s="2">
        <v>1</v>
      </c>
      <c r="K775" s="2">
        <v>498</v>
      </c>
      <c r="L775" s="2">
        <f>sales[[#This Row],[quantity]]*sales[[#This Row],[price]]</f>
        <v>498</v>
      </c>
      <c r="M775" s="9">
        <f>sales[[#This Row],[Total Price]]*3%</f>
        <v>14.94</v>
      </c>
      <c r="N775" s="171">
        <f>sales[[#This Row],[Total Price]]*2.5%</f>
        <v>12.450000000000001</v>
      </c>
      <c r="O775" s="9">
        <f>sales[[#This Row],[Total Price]]*1.5%</f>
        <v>7.47</v>
      </c>
      <c r="Q775" s="2">
        <v>2</v>
      </c>
      <c r="R775" s="5" t="str">
        <f>_xlfn.CONCAT(sales[[#This Row],[Shop]]," ",sales[[#This Row],[Location]])</f>
        <v>SW Wing On</v>
      </c>
    </row>
    <row r="776" spans="1:18" ht="15.6" customHeight="1">
      <c r="A776" s="7">
        <v>774</v>
      </c>
      <c r="B776" s="2" t="s">
        <v>1024</v>
      </c>
      <c r="C776" s="2" t="s">
        <v>1025</v>
      </c>
      <c r="D776" s="2" t="str">
        <f ca="1">OFFSET(Roster!$B$7, MATCH(B776&amp;" "&amp;C776&amp;"*",Roster!$B$8:$B$20,0),DAY(sales[[#This Row],[date]]),1, 1)</f>
        <v>Hazel</v>
      </c>
      <c r="E776" s="2">
        <f>MONTH(sales[[#This Row],[date]])</f>
        <v>6</v>
      </c>
      <c r="F776" s="234">
        <v>46186</v>
      </c>
      <c r="G776" s="3" t="str">
        <f>VLOOKUP("*"&amp;sales[[#This Row],[Input]]&amp;"*",'Ref-List'!$A:$C,1,0)</f>
        <v>Model-Input-Ref</v>
      </c>
      <c r="H776" s="2" t="str">
        <f>VLOOKUP("*"&amp;G776&amp;"*",'Ref-List'!$A:$C,3,0)</f>
        <v>Product Line</v>
      </c>
      <c r="J776" s="2">
        <v>1</v>
      </c>
      <c r="K776" s="2">
        <v>250</v>
      </c>
      <c r="L776" s="2">
        <f>sales[[#This Row],[quantity]]*sales[[#This Row],[price]]</f>
        <v>250</v>
      </c>
      <c r="M776" s="9">
        <f>sales[[#This Row],[Total Price]]*3%</f>
        <v>7.5</v>
      </c>
      <c r="N776" s="171">
        <f>sales[[#This Row],[Total Price]]*2.5%</f>
        <v>6.25</v>
      </c>
      <c r="O776" s="9">
        <f>sales[[#This Row],[Total Price]]*1.5%</f>
        <v>3.75</v>
      </c>
      <c r="Q776" s="2">
        <v>2</v>
      </c>
      <c r="R776" s="5" t="str">
        <f>_xlfn.CONCAT(sales[[#This Row],[Shop]]," ",sales[[#This Row],[Location]])</f>
        <v>SW Wing On</v>
      </c>
    </row>
    <row r="777" spans="1:18" ht="15.6" customHeight="1">
      <c r="A777" s="7">
        <v>775</v>
      </c>
      <c r="B777" s="2" t="s">
        <v>1024</v>
      </c>
      <c r="C777" s="2" t="s">
        <v>1025</v>
      </c>
      <c r="D777" s="2" t="str">
        <f ca="1">OFFSET(Roster!$B$7, MATCH(B777&amp;" "&amp;C777&amp;"*",Roster!$B$8:$B$20,0),DAY(sales[[#This Row],[date]]),1, 1)</f>
        <v>Hazel</v>
      </c>
      <c r="E777" s="2">
        <f>MONTH(sales[[#This Row],[date]])</f>
        <v>6</v>
      </c>
      <c r="F777" s="234">
        <v>46186</v>
      </c>
      <c r="G777" s="3" t="str">
        <f>VLOOKUP("*"&amp;sales[[#This Row],[Input]]&amp;"*",'Ref-List'!$A:$C,1,0)</f>
        <v>Model-Input-Ref</v>
      </c>
      <c r="H777" s="2" t="str">
        <f>VLOOKUP("*"&amp;G777&amp;"*",'Ref-List'!$A:$C,3,0)</f>
        <v>Product Line</v>
      </c>
      <c r="J777" s="2">
        <v>1</v>
      </c>
      <c r="K777" s="2">
        <v>1156</v>
      </c>
      <c r="L777" s="2">
        <f>sales[[#This Row],[quantity]]*sales[[#This Row],[price]]</f>
        <v>1156</v>
      </c>
      <c r="M777" s="9">
        <f>sales[[#This Row],[Total Price]]*3%</f>
        <v>34.68</v>
      </c>
      <c r="N777" s="171">
        <f>sales[[#This Row],[Total Price]]*2.5%</f>
        <v>28.900000000000002</v>
      </c>
      <c r="O777" s="9">
        <f>sales[[#This Row],[Total Price]]*1.5%</f>
        <v>17.34</v>
      </c>
      <c r="Q777" s="2">
        <v>2</v>
      </c>
      <c r="R777" s="5" t="str">
        <f>_xlfn.CONCAT(sales[[#This Row],[Shop]]," ",sales[[#This Row],[Location]])</f>
        <v>SW Wing On</v>
      </c>
    </row>
    <row r="778" spans="1:18" ht="15.6" customHeight="1">
      <c r="A778" s="7">
        <v>776</v>
      </c>
      <c r="B778" s="2" t="s">
        <v>1024</v>
      </c>
      <c r="C778" s="2" t="s">
        <v>1025</v>
      </c>
      <c r="D778" s="2" t="str">
        <f ca="1">OFFSET(Roster!$B$7, MATCH(B778&amp;" "&amp;C778&amp;"*",Roster!$B$8:$B$20,0),DAY(sales[[#This Row],[date]]),1, 1)</f>
        <v>Hazel</v>
      </c>
      <c r="E778" s="2">
        <f>MONTH(sales[[#This Row],[date]])</f>
        <v>6</v>
      </c>
      <c r="F778" s="234">
        <v>46186</v>
      </c>
      <c r="G778" s="3" t="str">
        <f>VLOOKUP("*"&amp;sales[[#This Row],[Input]]&amp;"*",'Ref-List'!$A:$C,1,0)</f>
        <v>Model-Input-Ref</v>
      </c>
      <c r="H778" s="2" t="str">
        <f>VLOOKUP("*"&amp;G778&amp;"*",'Ref-List'!$A:$C,3,0)</f>
        <v>Product Line</v>
      </c>
      <c r="J778" s="2">
        <v>1</v>
      </c>
      <c r="K778" s="2">
        <v>150</v>
      </c>
      <c r="L778" s="2">
        <f>sales[[#This Row],[quantity]]*sales[[#This Row],[price]]</f>
        <v>150</v>
      </c>
      <c r="M778" s="9">
        <f>sales[[#This Row],[Total Price]]*3%</f>
        <v>4.5</v>
      </c>
      <c r="N778" s="171">
        <f>sales[[#This Row],[Total Price]]*2.5%</f>
        <v>3.75</v>
      </c>
      <c r="O778" s="9">
        <f>sales[[#This Row],[Total Price]]*1.5%</f>
        <v>2.25</v>
      </c>
      <c r="Q778" s="2">
        <v>2</v>
      </c>
      <c r="R778" s="5" t="str">
        <f>_xlfn.CONCAT(sales[[#This Row],[Shop]]," ",sales[[#This Row],[Location]])</f>
        <v>SW Wing On</v>
      </c>
    </row>
    <row r="779" spans="1:18" ht="15.6" customHeight="1">
      <c r="A779" s="7">
        <v>777</v>
      </c>
      <c r="B779" s="2" t="s">
        <v>1024</v>
      </c>
      <c r="C779" s="2" t="s">
        <v>1025</v>
      </c>
      <c r="D779" s="2" t="str">
        <f ca="1">OFFSET(Roster!$B$7, MATCH(B779&amp;" "&amp;C779&amp;"*",Roster!$B$8:$B$20,0),DAY(sales[[#This Row],[date]]),1, 1)</f>
        <v>Hazel</v>
      </c>
      <c r="E779" s="2">
        <f>MONTH(sales[[#This Row],[date]])</f>
        <v>6</v>
      </c>
      <c r="F779" s="234">
        <v>46186</v>
      </c>
      <c r="G779" s="3" t="str">
        <f>VLOOKUP("*"&amp;sales[[#This Row],[Input]]&amp;"*",'Ref-List'!$A:$C,1,0)</f>
        <v>Model-Input-Ref</v>
      </c>
      <c r="H779" s="2" t="str">
        <f>VLOOKUP("*"&amp;G779&amp;"*",'Ref-List'!$A:$C,3,0)</f>
        <v>Product Line</v>
      </c>
      <c r="J779" s="2">
        <v>1</v>
      </c>
      <c r="K779" s="2">
        <v>638</v>
      </c>
      <c r="L779" s="2">
        <f>sales[[#This Row],[quantity]]*sales[[#This Row],[price]]</f>
        <v>638</v>
      </c>
      <c r="M779" s="9">
        <f>sales[[#This Row],[Total Price]]*3%</f>
        <v>19.14</v>
      </c>
      <c r="N779" s="171">
        <f>sales[[#This Row],[Total Price]]*2.5%</f>
        <v>15.950000000000001</v>
      </c>
      <c r="O779" s="9">
        <f>sales[[#This Row],[Total Price]]*1.5%</f>
        <v>9.57</v>
      </c>
      <c r="Q779" s="2">
        <v>2</v>
      </c>
      <c r="R779" s="5" t="str">
        <f>_xlfn.CONCAT(sales[[#This Row],[Shop]]," ",sales[[#This Row],[Location]])</f>
        <v>SW Wing On</v>
      </c>
    </row>
    <row r="780" spans="1:18" ht="15.6" customHeight="1">
      <c r="A780" s="7">
        <v>778</v>
      </c>
      <c r="B780" s="2" t="s">
        <v>1024</v>
      </c>
      <c r="C780" s="2" t="s">
        <v>1025</v>
      </c>
      <c r="D780" s="2" t="str">
        <f ca="1">OFFSET(Roster!$B$7, MATCH(B780&amp;" "&amp;C780&amp;"*",Roster!$B$8:$B$20,0),DAY(sales[[#This Row],[date]]),1, 1)</f>
        <v>Hazel</v>
      </c>
      <c r="E780" s="2">
        <f>MONTH(sales[[#This Row],[date]])</f>
        <v>6</v>
      </c>
      <c r="F780" s="234">
        <v>46186</v>
      </c>
      <c r="G780" s="3" t="str">
        <f>VLOOKUP("*"&amp;sales[[#This Row],[Input]]&amp;"*",'Ref-List'!$A:$C,1,0)</f>
        <v>Model-Input-Ref</v>
      </c>
      <c r="H780" s="2" t="str">
        <f>VLOOKUP("*"&amp;G780&amp;"*",'Ref-List'!$A:$C,3,0)</f>
        <v>Product Line</v>
      </c>
      <c r="J780" s="2">
        <v>1</v>
      </c>
      <c r="K780" s="2">
        <v>996</v>
      </c>
      <c r="L780" s="2">
        <f>sales[[#This Row],[quantity]]*sales[[#This Row],[price]]</f>
        <v>996</v>
      </c>
      <c r="M780" s="9">
        <f>sales[[#This Row],[Total Price]]*3%</f>
        <v>29.88</v>
      </c>
      <c r="N780" s="171">
        <f>sales[[#This Row],[Total Price]]*2.5%</f>
        <v>24.900000000000002</v>
      </c>
      <c r="O780" s="9">
        <f>sales[[#This Row],[Total Price]]*1.5%</f>
        <v>14.94</v>
      </c>
      <c r="Q780" s="2">
        <v>2</v>
      </c>
      <c r="R780" s="5" t="str">
        <f>_xlfn.CONCAT(sales[[#This Row],[Shop]]," ",sales[[#This Row],[Location]])</f>
        <v>SW Wing On</v>
      </c>
    </row>
    <row r="781" spans="1:18" ht="15.6" customHeight="1">
      <c r="A781" s="7">
        <v>779</v>
      </c>
      <c r="B781" s="2" t="s">
        <v>1024</v>
      </c>
      <c r="C781" s="2" t="s">
        <v>1025</v>
      </c>
      <c r="D781" s="2" t="str">
        <f ca="1">OFFSET(Roster!$B$7, MATCH(B781&amp;" "&amp;C781&amp;"*",Roster!$B$8:$B$20,0),DAY(sales[[#This Row],[date]]),1, 1)</f>
        <v>Hazel</v>
      </c>
      <c r="E781" s="2">
        <f>MONTH(sales[[#This Row],[date]])</f>
        <v>6</v>
      </c>
      <c r="F781" s="234">
        <v>46186</v>
      </c>
      <c r="G781" s="3" t="str">
        <f>VLOOKUP("*"&amp;sales[[#This Row],[Input]]&amp;"*",'Ref-List'!$A:$C,1,0)</f>
        <v>Model-Input-Ref</v>
      </c>
      <c r="H781" s="2" t="str">
        <f>VLOOKUP("*"&amp;G781&amp;"*",'Ref-List'!$A:$C,3,0)</f>
        <v>Product Line</v>
      </c>
      <c r="J781" s="2">
        <v>1</v>
      </c>
      <c r="K781" s="2">
        <v>2552</v>
      </c>
      <c r="L781" s="2">
        <f>sales[[#This Row],[quantity]]*sales[[#This Row],[price]]</f>
        <v>2552</v>
      </c>
      <c r="M781" s="9">
        <f>sales[[#This Row],[Total Price]]*3%</f>
        <v>76.56</v>
      </c>
      <c r="N781" s="171">
        <f>sales[[#This Row],[Total Price]]*2.5%</f>
        <v>63.800000000000004</v>
      </c>
      <c r="O781" s="9">
        <f>sales[[#This Row],[Total Price]]*1.5%</f>
        <v>38.28</v>
      </c>
      <c r="Q781" s="2">
        <v>2</v>
      </c>
      <c r="R781" s="5" t="str">
        <f>_xlfn.CONCAT(sales[[#This Row],[Shop]]," ",sales[[#This Row],[Location]])</f>
        <v>SW Wing On</v>
      </c>
    </row>
    <row r="782" spans="1:18" ht="15.6" customHeight="1">
      <c r="A782" s="7">
        <v>780</v>
      </c>
      <c r="B782" s="2" t="s">
        <v>1024</v>
      </c>
      <c r="C782" s="2" t="s">
        <v>1025</v>
      </c>
      <c r="D782" s="2" t="str">
        <f ca="1">OFFSET(Roster!$B$7, MATCH(B782&amp;" "&amp;C782&amp;"*",Roster!$B$8:$B$20,0),DAY(sales[[#This Row],[date]]),1, 1)</f>
        <v>Hazel</v>
      </c>
      <c r="E782" s="2">
        <f>MONTH(sales[[#This Row],[date]])</f>
        <v>6</v>
      </c>
      <c r="F782" s="234">
        <v>46186</v>
      </c>
      <c r="G782" s="3" t="str">
        <f>VLOOKUP("*"&amp;sales[[#This Row],[Input]]&amp;"*",'Ref-List'!$A:$C,1,0)</f>
        <v>Model-Input-Ref</v>
      </c>
      <c r="H782" s="2" t="str">
        <f>VLOOKUP("*"&amp;G782&amp;"*",'Ref-List'!$A:$C,3,0)</f>
        <v>Product Line</v>
      </c>
      <c r="J782" s="2">
        <v>1</v>
      </c>
      <c r="K782" s="2">
        <v>798</v>
      </c>
      <c r="L782" s="2">
        <f>sales[[#This Row],[quantity]]*sales[[#This Row],[price]]</f>
        <v>798</v>
      </c>
      <c r="M782" s="9">
        <f>sales[[#This Row],[Total Price]]*3%</f>
        <v>23.939999999999998</v>
      </c>
      <c r="N782" s="171">
        <f>sales[[#This Row],[Total Price]]*2.5%</f>
        <v>19.950000000000003</v>
      </c>
      <c r="O782" s="9">
        <f>sales[[#This Row],[Total Price]]*1.5%</f>
        <v>11.969999999999999</v>
      </c>
      <c r="Q782" s="2">
        <v>2</v>
      </c>
      <c r="R782" s="5" t="str">
        <f>_xlfn.CONCAT(sales[[#This Row],[Shop]]," ",sales[[#This Row],[Location]])</f>
        <v>SW Wing On</v>
      </c>
    </row>
    <row r="783" spans="1:18" ht="15.6" customHeight="1">
      <c r="A783" s="7">
        <v>781</v>
      </c>
      <c r="B783" s="2" t="s">
        <v>1024</v>
      </c>
      <c r="C783" s="2" t="s">
        <v>1025</v>
      </c>
      <c r="D783" s="2" t="str">
        <f ca="1">OFFSET(Roster!$B$7, MATCH(B783&amp;" "&amp;C783&amp;"*",Roster!$B$8:$B$20,0),DAY(sales[[#This Row],[date]]),1, 1)</f>
        <v>Hazel</v>
      </c>
      <c r="E783" s="2">
        <f>MONTH(sales[[#This Row],[date]])</f>
        <v>6</v>
      </c>
      <c r="F783" s="234">
        <v>46186</v>
      </c>
      <c r="G783" s="3" t="str">
        <f>VLOOKUP("*"&amp;sales[[#This Row],[Input]]&amp;"*",'Ref-List'!$A:$C,1,0)</f>
        <v>Model-Input-Ref</v>
      </c>
      <c r="H783" s="2" t="str">
        <f>VLOOKUP("*"&amp;G783&amp;"*",'Ref-List'!$A:$C,3,0)</f>
        <v>Product Line</v>
      </c>
      <c r="J783" s="2">
        <v>1</v>
      </c>
      <c r="K783" s="2">
        <v>498</v>
      </c>
      <c r="L783" s="2">
        <f>sales[[#This Row],[quantity]]*sales[[#This Row],[price]]</f>
        <v>498</v>
      </c>
      <c r="M783" s="9">
        <f>sales[[#This Row],[Total Price]]*3%</f>
        <v>14.94</v>
      </c>
      <c r="N783" s="171">
        <f>sales[[#This Row],[Total Price]]*2.5%</f>
        <v>12.450000000000001</v>
      </c>
      <c r="O783" s="9">
        <f>sales[[#This Row],[Total Price]]*1.5%</f>
        <v>7.47</v>
      </c>
      <c r="Q783" s="2">
        <v>2</v>
      </c>
      <c r="R783" s="5" t="str">
        <f>_xlfn.CONCAT(sales[[#This Row],[Shop]]," ",sales[[#This Row],[Location]])</f>
        <v>SW Wing On</v>
      </c>
    </row>
    <row r="784" spans="1:18" ht="15.6" customHeight="1">
      <c r="A784" s="7">
        <v>782</v>
      </c>
      <c r="B784" s="2" t="s">
        <v>1024</v>
      </c>
      <c r="C784" s="2" t="s">
        <v>1025</v>
      </c>
      <c r="D784" s="2" t="str">
        <f ca="1">OFFSET(Roster!$B$7, MATCH(B784&amp;" "&amp;C784&amp;"*",Roster!$B$8:$B$20,0),DAY(sales[[#This Row],[date]]),1, 1)</f>
        <v>Hazel</v>
      </c>
      <c r="E784" s="2">
        <f>MONTH(sales[[#This Row],[date]])</f>
        <v>6</v>
      </c>
      <c r="F784" s="234">
        <v>46186</v>
      </c>
      <c r="G784" s="3" t="str">
        <f>VLOOKUP("*"&amp;sales[[#This Row],[Input]]&amp;"*",'Ref-List'!$A:$C,1,0)</f>
        <v>Model-Input-Ref</v>
      </c>
      <c r="H784" s="2" t="str">
        <f>VLOOKUP("*"&amp;G784&amp;"*",'Ref-List'!$A:$C,3,0)</f>
        <v>Product Line</v>
      </c>
      <c r="J784" s="2">
        <v>1</v>
      </c>
      <c r="K784" s="2">
        <v>498</v>
      </c>
      <c r="L784" s="2">
        <f>sales[[#This Row],[quantity]]*sales[[#This Row],[price]]</f>
        <v>498</v>
      </c>
      <c r="M784" s="9">
        <f>sales[[#This Row],[Total Price]]*3%</f>
        <v>14.94</v>
      </c>
      <c r="N784" s="171">
        <f>sales[[#This Row],[Total Price]]*2.5%</f>
        <v>12.450000000000001</v>
      </c>
      <c r="O784" s="9">
        <f>sales[[#This Row],[Total Price]]*1.5%</f>
        <v>7.47</v>
      </c>
      <c r="Q784" s="2">
        <v>2</v>
      </c>
      <c r="R784" s="5" t="str">
        <f>_xlfn.CONCAT(sales[[#This Row],[Shop]]," ",sales[[#This Row],[Location]])</f>
        <v>SW Wing On</v>
      </c>
    </row>
    <row r="785" spans="1:18" ht="15.6" customHeight="1">
      <c r="A785" s="7">
        <v>783</v>
      </c>
      <c r="B785" s="2" t="s">
        <v>1024</v>
      </c>
      <c r="C785" s="2" t="s">
        <v>1025</v>
      </c>
      <c r="D785" s="2" t="str">
        <f ca="1">OFFSET(Roster!$B$7, MATCH(B785&amp;" "&amp;C785&amp;"*",Roster!$B$8:$B$20,0),DAY(sales[[#This Row],[date]]),1, 1)</f>
        <v>Hazel</v>
      </c>
      <c r="E785" s="2">
        <f>MONTH(sales[[#This Row],[date]])</f>
        <v>6</v>
      </c>
      <c r="F785" s="234">
        <v>46186</v>
      </c>
      <c r="G785" s="3" t="str">
        <f>VLOOKUP("*"&amp;sales[[#This Row],[Input]]&amp;"*",'Ref-List'!$A:$C,1,0)</f>
        <v>Model-Input-Ref</v>
      </c>
      <c r="H785" s="2" t="str">
        <f>VLOOKUP("*"&amp;G785&amp;"*",'Ref-List'!$A:$C,3,0)</f>
        <v>Product Line</v>
      </c>
      <c r="J785" s="2">
        <v>1</v>
      </c>
      <c r="K785" s="2">
        <v>798</v>
      </c>
      <c r="L785" s="2">
        <f>sales[[#This Row],[quantity]]*sales[[#This Row],[price]]</f>
        <v>798</v>
      </c>
      <c r="M785" s="9">
        <f>sales[[#This Row],[Total Price]]*3%</f>
        <v>23.939999999999998</v>
      </c>
      <c r="N785" s="171">
        <f>sales[[#This Row],[Total Price]]*2.5%</f>
        <v>19.950000000000003</v>
      </c>
      <c r="O785" s="9">
        <f>sales[[#This Row],[Total Price]]*1.5%</f>
        <v>11.969999999999999</v>
      </c>
      <c r="Q785" s="2">
        <v>2</v>
      </c>
      <c r="R785" s="5" t="str">
        <f>_xlfn.CONCAT(sales[[#This Row],[Shop]]," ",sales[[#This Row],[Location]])</f>
        <v>SW Wing On</v>
      </c>
    </row>
    <row r="786" spans="1:18" ht="15.6" customHeight="1">
      <c r="A786" s="7">
        <v>784</v>
      </c>
      <c r="B786" s="2" t="s">
        <v>1024</v>
      </c>
      <c r="C786" s="2" t="s">
        <v>1025</v>
      </c>
      <c r="D786" s="2" t="str">
        <f ca="1">OFFSET(Roster!$B$7, MATCH(B786&amp;" "&amp;C786&amp;"*",Roster!$B$8:$B$20,0),DAY(sales[[#This Row],[date]]),1, 1)</f>
        <v>Hazel</v>
      </c>
      <c r="E786" s="2">
        <f>MONTH(sales[[#This Row],[date]])</f>
        <v>6</v>
      </c>
      <c r="F786" s="234">
        <v>46186</v>
      </c>
      <c r="G786" s="3" t="str">
        <f>VLOOKUP("*"&amp;sales[[#This Row],[Input]]&amp;"*",'Ref-List'!$A:$C,1,0)</f>
        <v>Model-Input-Ref</v>
      </c>
      <c r="H786" s="2" t="str">
        <f>VLOOKUP("*"&amp;G786&amp;"*",'Ref-List'!$A:$C,3,0)</f>
        <v>Product Line</v>
      </c>
      <c r="J786" s="2">
        <v>1</v>
      </c>
      <c r="K786" s="2">
        <v>1734</v>
      </c>
      <c r="L786" s="2">
        <f>sales[[#This Row],[quantity]]*sales[[#This Row],[price]]</f>
        <v>1734</v>
      </c>
      <c r="M786" s="9">
        <f>sales[[#This Row],[Total Price]]*3%</f>
        <v>52.019999999999996</v>
      </c>
      <c r="N786" s="171">
        <f>sales[[#This Row],[Total Price]]*2.5%</f>
        <v>43.35</v>
      </c>
      <c r="O786" s="9">
        <f>sales[[#This Row],[Total Price]]*1.5%</f>
        <v>26.009999999999998</v>
      </c>
      <c r="Q786" s="2">
        <v>2</v>
      </c>
      <c r="R786" s="5" t="str">
        <f>_xlfn.CONCAT(sales[[#This Row],[Shop]]," ",sales[[#This Row],[Location]])</f>
        <v>SW Wing On</v>
      </c>
    </row>
    <row r="787" spans="1:18" ht="15.6" customHeight="1">
      <c r="A787" s="7">
        <v>785</v>
      </c>
      <c r="B787" s="2" t="s">
        <v>1024</v>
      </c>
      <c r="C787" s="2" t="s">
        <v>1025</v>
      </c>
      <c r="D787" s="2" t="str">
        <f ca="1">OFFSET(Roster!$B$7, MATCH(B787&amp;" "&amp;C787&amp;"*",Roster!$B$8:$B$20,0),DAY(sales[[#This Row],[date]]),1, 1)</f>
        <v>Hazel</v>
      </c>
      <c r="E787" s="2">
        <f>MONTH(sales[[#This Row],[date]])</f>
        <v>6</v>
      </c>
      <c r="F787" s="234">
        <v>46186</v>
      </c>
      <c r="G787" s="3" t="str">
        <f>VLOOKUP("*"&amp;sales[[#This Row],[Input]]&amp;"*",'Ref-List'!$A:$C,1,0)</f>
        <v>Model-Input-Ref</v>
      </c>
      <c r="H787" s="2" t="str">
        <f>VLOOKUP("*"&amp;G787&amp;"*",'Ref-List'!$A:$C,3,0)</f>
        <v>Product Line</v>
      </c>
      <c r="J787" s="2">
        <v>1</v>
      </c>
      <c r="K787" s="2">
        <v>150</v>
      </c>
      <c r="L787" s="2">
        <f>sales[[#This Row],[quantity]]*sales[[#This Row],[price]]</f>
        <v>150</v>
      </c>
      <c r="M787" s="9">
        <f>sales[[#This Row],[Total Price]]*3%</f>
        <v>4.5</v>
      </c>
      <c r="N787" s="171">
        <f>sales[[#This Row],[Total Price]]*2.5%</f>
        <v>3.75</v>
      </c>
      <c r="O787" s="9">
        <f>sales[[#This Row],[Total Price]]*1.5%</f>
        <v>2.25</v>
      </c>
      <c r="Q787" s="2">
        <v>2</v>
      </c>
      <c r="R787" s="5" t="str">
        <f>_xlfn.CONCAT(sales[[#This Row],[Shop]]," ",sales[[#This Row],[Location]])</f>
        <v>SW Wing On</v>
      </c>
    </row>
    <row r="788" spans="1:18" ht="15.6" customHeight="1">
      <c r="A788" s="7">
        <v>786</v>
      </c>
      <c r="B788" s="2" t="s">
        <v>1024</v>
      </c>
      <c r="C788" s="2" t="s">
        <v>1025</v>
      </c>
      <c r="D788" s="2" t="str">
        <f ca="1">OFFSET(Roster!$B$7, MATCH(B788&amp;" "&amp;C788&amp;"*",Roster!$B$8:$B$20,0),DAY(sales[[#This Row],[date]]),1, 1)</f>
        <v>Hazel</v>
      </c>
      <c r="E788" s="2">
        <f>MONTH(sales[[#This Row],[date]])</f>
        <v>6</v>
      </c>
      <c r="F788" s="234">
        <v>46186</v>
      </c>
      <c r="G788" s="3" t="str">
        <f>VLOOKUP("*"&amp;sales[[#This Row],[Input]]&amp;"*",'Ref-List'!$A:$C,1,0)</f>
        <v>Model-Input-Ref</v>
      </c>
      <c r="H788" s="2" t="str">
        <f>VLOOKUP("*"&amp;G788&amp;"*",'Ref-List'!$A:$C,3,0)</f>
        <v>Product Line</v>
      </c>
      <c r="J788" s="2">
        <v>1</v>
      </c>
      <c r="K788" s="2">
        <v>868</v>
      </c>
      <c r="L788" s="2">
        <f>sales[[#This Row],[quantity]]*sales[[#This Row],[price]]</f>
        <v>868</v>
      </c>
      <c r="M788" s="9">
        <f>sales[[#This Row],[Total Price]]*3%</f>
        <v>26.04</v>
      </c>
      <c r="N788" s="171">
        <f>sales[[#This Row],[Total Price]]*2.5%</f>
        <v>21.700000000000003</v>
      </c>
      <c r="O788" s="9">
        <f>sales[[#This Row],[Total Price]]*1.5%</f>
        <v>13.02</v>
      </c>
      <c r="Q788" s="2">
        <v>2</v>
      </c>
      <c r="R788" s="5" t="str">
        <f>_xlfn.CONCAT(sales[[#This Row],[Shop]]," ",sales[[#This Row],[Location]])</f>
        <v>SW Wing On</v>
      </c>
    </row>
    <row r="789" spans="1:18" ht="15.6" customHeight="1">
      <c r="A789" s="7">
        <v>787</v>
      </c>
      <c r="B789" s="2" t="s">
        <v>1024</v>
      </c>
      <c r="C789" s="2" t="s">
        <v>1025</v>
      </c>
      <c r="D789" s="2" t="str">
        <f ca="1">OFFSET(Roster!$B$7, MATCH(B789&amp;" "&amp;C789&amp;"*",Roster!$B$8:$B$20,0),DAY(sales[[#This Row],[date]]),1, 1)</f>
        <v>Hazel</v>
      </c>
      <c r="E789" s="2">
        <f>MONTH(sales[[#This Row],[date]])</f>
        <v>6</v>
      </c>
      <c r="F789" s="234">
        <v>46193</v>
      </c>
      <c r="G789" s="3" t="str">
        <f>VLOOKUP("*"&amp;sales[[#This Row],[Input]]&amp;"*",'Ref-List'!$A:$C,1,0)</f>
        <v>Model-Input-Ref</v>
      </c>
      <c r="H789" s="2" t="str">
        <f>VLOOKUP("*"&amp;G789&amp;"*",'Ref-List'!$A:$C,3,0)</f>
        <v>Product Line</v>
      </c>
      <c r="J789" s="2">
        <v>1</v>
      </c>
      <c r="K789" s="2">
        <v>1768</v>
      </c>
      <c r="L789" s="2">
        <f>sales[[#This Row],[quantity]]*sales[[#This Row],[price]]</f>
        <v>1768</v>
      </c>
      <c r="M789" s="9">
        <f>sales[[#This Row],[Total Price]]*3%</f>
        <v>53.04</v>
      </c>
      <c r="N789" s="171">
        <f>sales[[#This Row],[Total Price]]*2.5%</f>
        <v>44.2</v>
      </c>
      <c r="O789" s="9">
        <f>sales[[#This Row],[Total Price]]*1.5%</f>
        <v>26.52</v>
      </c>
      <c r="Q789" s="2">
        <v>3</v>
      </c>
      <c r="R789" s="5" t="str">
        <f>_xlfn.CONCAT(sales[[#This Row],[Shop]]," ",sales[[#This Row],[Location]])</f>
        <v>SW Wing On</v>
      </c>
    </row>
    <row r="790" spans="1:18" ht="15.6" customHeight="1">
      <c r="A790" s="7">
        <v>788</v>
      </c>
      <c r="B790" s="2" t="s">
        <v>1024</v>
      </c>
      <c r="C790" s="2" t="s">
        <v>1025</v>
      </c>
      <c r="D790" s="2" t="str">
        <f ca="1">OFFSET(Roster!$B$7, MATCH(B790&amp;" "&amp;C790&amp;"*",Roster!$B$8:$B$20,0),DAY(sales[[#This Row],[date]]),1, 1)</f>
        <v>Hazel</v>
      </c>
      <c r="E790" s="2">
        <f>MONTH(sales[[#This Row],[date]])</f>
        <v>6</v>
      </c>
      <c r="F790" s="234">
        <v>46193</v>
      </c>
      <c r="G790" s="3" t="str">
        <f>VLOOKUP("*"&amp;sales[[#This Row],[Input]]&amp;"*",'Ref-List'!$A:$C,1,0)</f>
        <v>Model-Input-Ref</v>
      </c>
      <c r="H790" s="2" t="str">
        <f>VLOOKUP("*"&amp;G790&amp;"*",'Ref-List'!$A:$C,3,0)</f>
        <v>Product Line</v>
      </c>
      <c r="J790" s="2">
        <v>1</v>
      </c>
      <c r="K790" s="2">
        <v>2688</v>
      </c>
      <c r="L790" s="2">
        <f>sales[[#This Row],[quantity]]*sales[[#This Row],[price]]</f>
        <v>2688</v>
      </c>
      <c r="M790" s="9">
        <f>sales[[#This Row],[Total Price]]*3%</f>
        <v>80.64</v>
      </c>
      <c r="N790" s="171">
        <f>sales[[#This Row],[Total Price]]*2.5%</f>
        <v>67.2</v>
      </c>
      <c r="O790" s="9">
        <f>sales[[#This Row],[Total Price]]*1.5%</f>
        <v>40.32</v>
      </c>
      <c r="Q790" s="2">
        <v>3</v>
      </c>
      <c r="R790" s="5" t="str">
        <f>_xlfn.CONCAT(sales[[#This Row],[Shop]]," ",sales[[#This Row],[Location]])</f>
        <v>SW Wing On</v>
      </c>
    </row>
    <row r="791" spans="1:18" ht="15.6" customHeight="1">
      <c r="A791" s="7">
        <v>789</v>
      </c>
      <c r="B791" s="2" t="s">
        <v>1024</v>
      </c>
      <c r="C791" s="2" t="s">
        <v>1025</v>
      </c>
      <c r="D791" s="2" t="str">
        <f ca="1">OFFSET(Roster!$B$7, MATCH(B791&amp;" "&amp;C791&amp;"*",Roster!$B$8:$B$20,0),DAY(sales[[#This Row],[date]]),1, 1)</f>
        <v>Hazel</v>
      </c>
      <c r="E791" s="2">
        <f>MONTH(sales[[#This Row],[date]])</f>
        <v>6</v>
      </c>
      <c r="F791" s="234">
        <v>46193</v>
      </c>
      <c r="G791" s="3" t="str">
        <f>VLOOKUP("*"&amp;sales[[#This Row],[Input]]&amp;"*",'Ref-List'!$A:$C,1,0)</f>
        <v>Model-Input-Ref</v>
      </c>
      <c r="H791" s="2" t="str">
        <f>VLOOKUP("*"&amp;G791&amp;"*",'Ref-List'!$A:$C,3,0)</f>
        <v>Product Line</v>
      </c>
      <c r="J791" s="2">
        <v>1</v>
      </c>
      <c r="K791" s="2">
        <v>3192</v>
      </c>
      <c r="L791" s="2">
        <f>sales[[#This Row],[quantity]]*sales[[#This Row],[price]]</f>
        <v>3192</v>
      </c>
      <c r="M791" s="9">
        <f>sales[[#This Row],[Total Price]]*3%</f>
        <v>95.759999999999991</v>
      </c>
      <c r="N791" s="171">
        <f>sales[[#This Row],[Total Price]]*2.5%</f>
        <v>79.800000000000011</v>
      </c>
      <c r="O791" s="9">
        <f>sales[[#This Row],[Total Price]]*1.5%</f>
        <v>47.879999999999995</v>
      </c>
      <c r="Q791" s="2">
        <v>3</v>
      </c>
      <c r="R791" s="5" t="str">
        <f>_xlfn.CONCAT(sales[[#This Row],[Shop]]," ",sales[[#This Row],[Location]])</f>
        <v>SW Wing On</v>
      </c>
    </row>
    <row r="792" spans="1:18" ht="15.6" customHeight="1">
      <c r="A792" s="7">
        <v>790</v>
      </c>
      <c r="B792" s="2" t="s">
        <v>1024</v>
      </c>
      <c r="C792" s="2" t="s">
        <v>1025</v>
      </c>
      <c r="D792" s="2" t="str">
        <f ca="1">OFFSET(Roster!$B$7, MATCH(B792&amp;" "&amp;C792&amp;"*",Roster!$B$8:$B$20,0),DAY(sales[[#This Row],[date]]),1, 1)</f>
        <v>Hazel</v>
      </c>
      <c r="E792" s="2">
        <f>MONTH(sales[[#This Row],[date]])</f>
        <v>6</v>
      </c>
      <c r="F792" s="234">
        <v>46193</v>
      </c>
      <c r="G792" s="3" t="str">
        <f>VLOOKUP("*"&amp;sales[[#This Row],[Input]]&amp;"*",'Ref-List'!$A:$C,1,0)</f>
        <v>Model-Input-Ref</v>
      </c>
      <c r="H792" s="2" t="str">
        <f>VLOOKUP("*"&amp;G792&amp;"*",'Ref-List'!$A:$C,3,0)</f>
        <v>Product Line</v>
      </c>
      <c r="J792" s="2">
        <v>1</v>
      </c>
      <c r="K792" s="2">
        <v>716</v>
      </c>
      <c r="L792" s="2">
        <f>sales[[#This Row],[quantity]]*sales[[#This Row],[price]]</f>
        <v>716</v>
      </c>
      <c r="M792" s="9">
        <f>sales[[#This Row],[Total Price]]*3%</f>
        <v>21.48</v>
      </c>
      <c r="N792" s="171">
        <f>sales[[#This Row],[Total Price]]*2.5%</f>
        <v>17.900000000000002</v>
      </c>
      <c r="O792" s="9">
        <f>sales[[#This Row],[Total Price]]*1.5%</f>
        <v>10.74</v>
      </c>
      <c r="Q792" s="2">
        <v>3</v>
      </c>
      <c r="R792" s="5" t="str">
        <f>_xlfn.CONCAT(sales[[#This Row],[Shop]]," ",sales[[#This Row],[Location]])</f>
        <v>SW Wing On</v>
      </c>
    </row>
    <row r="793" spans="1:18" ht="15.6" customHeight="1">
      <c r="A793" s="7">
        <v>791</v>
      </c>
      <c r="B793" s="2" t="s">
        <v>1024</v>
      </c>
      <c r="C793" s="2" t="s">
        <v>1025</v>
      </c>
      <c r="D793" s="2" t="str">
        <f ca="1">OFFSET(Roster!$B$7, MATCH(B793&amp;" "&amp;C793&amp;"*",Roster!$B$8:$B$20,0),DAY(sales[[#This Row],[date]]),1, 1)</f>
        <v>Hazel</v>
      </c>
      <c r="E793" s="2">
        <f>MONTH(sales[[#This Row],[date]])</f>
        <v>6</v>
      </c>
      <c r="F793" s="234">
        <v>46193</v>
      </c>
      <c r="G793" s="3" t="str">
        <f>VLOOKUP("*"&amp;sales[[#This Row],[Input]]&amp;"*",'Ref-List'!$A:$C,1,0)</f>
        <v>Model-Input-Ref</v>
      </c>
      <c r="H793" s="2" t="str">
        <f>VLOOKUP("*"&amp;G793&amp;"*",'Ref-List'!$A:$C,3,0)</f>
        <v>Product Line</v>
      </c>
      <c r="J793" s="2">
        <v>1</v>
      </c>
      <c r="K793" s="2">
        <v>448.2</v>
      </c>
      <c r="L793" s="2">
        <f>sales[[#This Row],[quantity]]*sales[[#This Row],[price]]</f>
        <v>448.2</v>
      </c>
      <c r="M793" s="9">
        <f>sales[[#This Row],[Total Price]]*3%</f>
        <v>13.446</v>
      </c>
      <c r="N793" s="171">
        <f>sales[[#This Row],[Total Price]]*2.5%</f>
        <v>11.205</v>
      </c>
      <c r="O793" s="9">
        <f>sales[[#This Row],[Total Price]]*1.5%</f>
        <v>6.7229999999999999</v>
      </c>
      <c r="Q793" s="2">
        <v>3</v>
      </c>
      <c r="R793" s="5" t="str">
        <f>_xlfn.CONCAT(sales[[#This Row],[Shop]]," ",sales[[#This Row],[Location]])</f>
        <v>SW Wing On</v>
      </c>
    </row>
    <row r="794" spans="1:18" ht="15.6" customHeight="1">
      <c r="A794" s="7">
        <v>792</v>
      </c>
      <c r="B794" s="2" t="s">
        <v>1024</v>
      </c>
      <c r="C794" s="2" t="s">
        <v>1025</v>
      </c>
      <c r="D794" s="2" t="str">
        <f ca="1">OFFSET(Roster!$B$7, MATCH(B794&amp;" "&amp;C794&amp;"*",Roster!$B$8:$B$20,0),DAY(sales[[#This Row],[date]]),1, 1)</f>
        <v>Hazel</v>
      </c>
      <c r="E794" s="2">
        <f>MONTH(sales[[#This Row],[date]])</f>
        <v>6</v>
      </c>
      <c r="F794" s="234">
        <v>46193</v>
      </c>
      <c r="G794" s="3" t="str">
        <f>VLOOKUP("*"&amp;sales[[#This Row],[Input]]&amp;"*",'Ref-List'!$A:$C,1,0)</f>
        <v>Model-Input-Ref</v>
      </c>
      <c r="H794" s="2" t="str">
        <f>VLOOKUP("*"&amp;G794&amp;"*",'Ref-List'!$A:$C,3,0)</f>
        <v>Product Line</v>
      </c>
      <c r="J794" s="2">
        <v>1</v>
      </c>
      <c r="K794" s="2">
        <v>448.2</v>
      </c>
      <c r="L794" s="2">
        <f>sales[[#This Row],[quantity]]*sales[[#This Row],[price]]</f>
        <v>448.2</v>
      </c>
      <c r="M794" s="9">
        <f>sales[[#This Row],[Total Price]]*3%</f>
        <v>13.446</v>
      </c>
      <c r="N794" s="171">
        <f>sales[[#This Row],[Total Price]]*2.5%</f>
        <v>11.205</v>
      </c>
      <c r="O794" s="9">
        <f>sales[[#This Row],[Total Price]]*1.5%</f>
        <v>6.7229999999999999</v>
      </c>
      <c r="Q794" s="2">
        <v>3</v>
      </c>
      <c r="R794" s="5" t="str">
        <f>_xlfn.CONCAT(sales[[#This Row],[Shop]]," ",sales[[#This Row],[Location]])</f>
        <v>SW Wing On</v>
      </c>
    </row>
    <row r="795" spans="1:18" ht="15.6" customHeight="1">
      <c r="A795" s="7">
        <v>793</v>
      </c>
      <c r="B795" s="2" t="s">
        <v>1024</v>
      </c>
      <c r="C795" s="2" t="s">
        <v>1025</v>
      </c>
      <c r="D795" s="2" t="str">
        <f ca="1">OFFSET(Roster!$B$7, MATCH(B795&amp;" "&amp;C795&amp;"*",Roster!$B$8:$B$20,0),DAY(sales[[#This Row],[date]]),1, 1)</f>
        <v>Hazel</v>
      </c>
      <c r="E795" s="2">
        <f>MONTH(sales[[#This Row],[date]])</f>
        <v>6</v>
      </c>
      <c r="F795" s="234">
        <v>46193</v>
      </c>
      <c r="G795" s="3" t="str">
        <f>VLOOKUP("*"&amp;sales[[#This Row],[Input]]&amp;"*",'Ref-List'!$A:$C,1,0)</f>
        <v>Model-Input-Ref</v>
      </c>
      <c r="H795" s="2" t="str">
        <f>VLOOKUP("*"&amp;G795&amp;"*",'Ref-List'!$A:$C,3,0)</f>
        <v>Product Line</v>
      </c>
      <c r="J795" s="2">
        <v>1</v>
      </c>
      <c r="K795" s="2">
        <v>1596</v>
      </c>
      <c r="L795" s="2">
        <f>sales[[#This Row],[quantity]]*sales[[#This Row],[price]]</f>
        <v>1596</v>
      </c>
      <c r="M795" s="9">
        <f>sales[[#This Row],[Total Price]]*3%</f>
        <v>47.879999999999995</v>
      </c>
      <c r="N795" s="171">
        <f>sales[[#This Row],[Total Price]]*2.5%</f>
        <v>39.900000000000006</v>
      </c>
      <c r="O795" s="9">
        <f>sales[[#This Row],[Total Price]]*1.5%</f>
        <v>23.939999999999998</v>
      </c>
      <c r="Q795" s="2">
        <v>3</v>
      </c>
      <c r="R795" s="5" t="str">
        <f>_xlfn.CONCAT(sales[[#This Row],[Shop]]," ",sales[[#This Row],[Location]])</f>
        <v>SW Wing On</v>
      </c>
    </row>
    <row r="796" spans="1:18" ht="15.6" customHeight="1">
      <c r="A796" s="7">
        <v>794</v>
      </c>
      <c r="B796" s="2" t="s">
        <v>1024</v>
      </c>
      <c r="C796" s="2" t="s">
        <v>1025</v>
      </c>
      <c r="D796" s="2" t="str">
        <f ca="1">OFFSET(Roster!$B$7, MATCH(B796&amp;" "&amp;C796&amp;"*",Roster!$B$8:$B$20,0),DAY(sales[[#This Row],[date]]),1, 1)</f>
        <v>Hazel</v>
      </c>
      <c r="E796" s="2">
        <f>MONTH(sales[[#This Row],[date]])</f>
        <v>6</v>
      </c>
      <c r="F796" s="234">
        <v>46193</v>
      </c>
      <c r="G796" s="3" t="str">
        <f>VLOOKUP("*"&amp;sales[[#This Row],[Input]]&amp;"*",'Ref-List'!$A:$C,1,0)</f>
        <v>Model-Input-Ref</v>
      </c>
      <c r="H796" s="2" t="str">
        <f>VLOOKUP("*"&amp;G796&amp;"*",'Ref-List'!$A:$C,3,0)</f>
        <v>Product Line</v>
      </c>
      <c r="J796" s="2">
        <v>1</v>
      </c>
      <c r="K796" s="2">
        <v>898</v>
      </c>
      <c r="L796" s="2">
        <f>sales[[#This Row],[quantity]]*sales[[#This Row],[price]]</f>
        <v>898</v>
      </c>
      <c r="M796" s="9">
        <f>sales[[#This Row],[Total Price]]*3%</f>
        <v>26.939999999999998</v>
      </c>
      <c r="N796" s="171">
        <f>sales[[#This Row],[Total Price]]*2.5%</f>
        <v>22.450000000000003</v>
      </c>
      <c r="O796" s="9">
        <f>sales[[#This Row],[Total Price]]*1.5%</f>
        <v>13.469999999999999</v>
      </c>
      <c r="Q796" s="2">
        <v>3</v>
      </c>
      <c r="R796" s="5" t="str">
        <f>_xlfn.CONCAT(sales[[#This Row],[Shop]]," ",sales[[#This Row],[Location]])</f>
        <v>SW Wing On</v>
      </c>
    </row>
    <row r="797" spans="1:18" ht="15.6" customHeight="1">
      <c r="A797" s="7">
        <v>795</v>
      </c>
      <c r="B797" s="2" t="s">
        <v>1024</v>
      </c>
      <c r="C797" s="2" t="s">
        <v>1025</v>
      </c>
      <c r="D797" s="2" t="str">
        <f ca="1">OFFSET(Roster!$B$7, MATCH(B797&amp;" "&amp;C797&amp;"*",Roster!$B$8:$B$20,0),DAY(sales[[#This Row],[date]]),1, 1)</f>
        <v>Hazel</v>
      </c>
      <c r="E797" s="2">
        <f>MONTH(sales[[#This Row],[date]])</f>
        <v>6</v>
      </c>
      <c r="F797" s="234">
        <v>46193</v>
      </c>
      <c r="G797" s="3" t="str">
        <f>VLOOKUP("*"&amp;sales[[#This Row],[Input]]&amp;"*",'Ref-List'!$A:$C,1,0)</f>
        <v>Model-Input-Ref</v>
      </c>
      <c r="H797" s="2" t="str">
        <f>VLOOKUP("*"&amp;G797&amp;"*",'Ref-List'!$A:$C,3,0)</f>
        <v>Product Line</v>
      </c>
      <c r="J797" s="2">
        <v>1</v>
      </c>
      <c r="K797" s="2">
        <v>637</v>
      </c>
      <c r="L797" s="2">
        <f>sales[[#This Row],[quantity]]*sales[[#This Row],[price]]</f>
        <v>637</v>
      </c>
      <c r="M797" s="9">
        <f>sales[[#This Row],[Total Price]]*3%</f>
        <v>19.11</v>
      </c>
      <c r="N797" s="171">
        <f>sales[[#This Row],[Total Price]]*2.5%</f>
        <v>15.925000000000001</v>
      </c>
      <c r="O797" s="9">
        <f>sales[[#This Row],[Total Price]]*1.5%</f>
        <v>9.5549999999999997</v>
      </c>
      <c r="Q797" s="2">
        <v>3</v>
      </c>
      <c r="R797" s="5" t="str">
        <f>_xlfn.CONCAT(sales[[#This Row],[Shop]]," ",sales[[#This Row],[Location]])</f>
        <v>SW Wing On</v>
      </c>
    </row>
    <row r="798" spans="1:18" ht="15.75" customHeight="1">
      <c r="A798" s="7">
        <v>796</v>
      </c>
      <c r="B798" s="2" t="s">
        <v>1024</v>
      </c>
      <c r="C798" s="2" t="s">
        <v>1025</v>
      </c>
      <c r="D798" s="2" t="str">
        <f ca="1">OFFSET(Roster!$B$7, MATCH(B798&amp;" "&amp;C798&amp;"*",Roster!$B$8:$B$20,0),DAY(sales[[#This Row],[date]]),1, 1)</f>
        <v>Hazel</v>
      </c>
      <c r="E798" s="2">
        <f>MONTH(sales[[#This Row],[date]])</f>
        <v>6</v>
      </c>
      <c r="F798" s="234">
        <v>46193</v>
      </c>
      <c r="G798" s="3" t="str">
        <f>VLOOKUP("*"&amp;sales[[#This Row],[Input]]&amp;"*",'Ref-List'!$A:$C,1,0)</f>
        <v>Model-Input-Ref</v>
      </c>
      <c r="H798" s="2" t="str">
        <f>VLOOKUP("*"&amp;G798&amp;"*",'Ref-List'!$A:$C,3,0)</f>
        <v>Product Line</v>
      </c>
      <c r="J798" s="2">
        <v>1</v>
      </c>
      <c r="K798" s="2">
        <v>1736</v>
      </c>
      <c r="L798" s="2">
        <f>sales[[#This Row],[quantity]]*sales[[#This Row],[price]]</f>
        <v>1736</v>
      </c>
      <c r="M798" s="9">
        <f>sales[[#This Row],[Total Price]]*3%</f>
        <v>52.08</v>
      </c>
      <c r="N798" s="171">
        <f>sales[[#This Row],[Total Price]]*2.5%</f>
        <v>43.400000000000006</v>
      </c>
      <c r="O798" s="9">
        <f>sales[[#This Row],[Total Price]]*1.5%</f>
        <v>26.04</v>
      </c>
      <c r="Q798" s="2">
        <v>3</v>
      </c>
      <c r="R798" s="5" t="str">
        <f>_xlfn.CONCAT(sales[[#This Row],[Shop]]," ",sales[[#This Row],[Location]])</f>
        <v>SW Wing On</v>
      </c>
    </row>
    <row r="799" spans="1:18" ht="15.6" customHeight="1">
      <c r="A799" s="7">
        <v>797</v>
      </c>
      <c r="B799" s="2" t="s">
        <v>1024</v>
      </c>
      <c r="C799" s="2" t="s">
        <v>1025</v>
      </c>
      <c r="D799" s="2" t="str">
        <f ca="1">OFFSET(Roster!$B$7, MATCH(B799&amp;" "&amp;C799&amp;"*",Roster!$B$8:$B$20,0),DAY(sales[[#This Row],[date]]),1, 1)</f>
        <v>Hazel</v>
      </c>
      <c r="E799" s="2">
        <f>MONTH(sales[[#This Row],[date]])</f>
        <v>6</v>
      </c>
      <c r="F799" s="234">
        <v>46193</v>
      </c>
      <c r="G799" s="3" t="str">
        <f>VLOOKUP("*"&amp;sales[[#This Row],[Input]]&amp;"*",'Ref-List'!$A:$C,1,0)</f>
        <v>Model-Input-Ref</v>
      </c>
      <c r="H799" s="2" t="str">
        <f>VLOOKUP("*"&amp;G799&amp;"*",'Ref-List'!$A:$C,3,0)</f>
        <v>Product Line</v>
      </c>
      <c r="J799" s="2">
        <v>1</v>
      </c>
      <c r="K799" s="2">
        <v>8988</v>
      </c>
      <c r="L799" s="2">
        <f>sales[[#This Row],[quantity]]*sales[[#This Row],[price]]</f>
        <v>8988</v>
      </c>
      <c r="M799" s="9">
        <f>sales[[#This Row],[Total Price]]*3%</f>
        <v>269.64</v>
      </c>
      <c r="N799" s="171">
        <f>sales[[#This Row],[Total Price]]*2.5%</f>
        <v>224.70000000000002</v>
      </c>
      <c r="O799" s="9">
        <f>sales[[#This Row],[Total Price]]*1.5%</f>
        <v>134.82</v>
      </c>
      <c r="Q799" s="2">
        <v>3</v>
      </c>
      <c r="R799" s="5" t="str">
        <f>_xlfn.CONCAT(sales[[#This Row],[Shop]]," ",sales[[#This Row],[Location]])</f>
        <v>SW Wing On</v>
      </c>
    </row>
    <row r="800" spans="1:18" ht="15.6" customHeight="1">
      <c r="A800" s="7">
        <v>798</v>
      </c>
      <c r="B800" s="2" t="s">
        <v>1024</v>
      </c>
      <c r="C800" s="2" t="s">
        <v>1025</v>
      </c>
      <c r="D800" s="2" t="str">
        <f ca="1">OFFSET(Roster!$B$7, MATCH(B800&amp;" "&amp;C800&amp;"*",Roster!$B$8:$B$20,0),DAY(sales[[#This Row],[date]]),1, 1)</f>
        <v>Hazel</v>
      </c>
      <c r="E800" s="2">
        <f>MONTH(sales[[#This Row],[date]])</f>
        <v>6</v>
      </c>
      <c r="F800" s="234">
        <v>46193</v>
      </c>
      <c r="G800" s="3" t="str">
        <f>VLOOKUP("*"&amp;sales[[#This Row],[Input]]&amp;"*",'Ref-List'!$A:$C,1,0)</f>
        <v>Model-Input-Ref</v>
      </c>
      <c r="H800" s="2" t="str">
        <f>VLOOKUP("*"&amp;G800&amp;"*",'Ref-List'!$A:$C,3,0)</f>
        <v>Product Line</v>
      </c>
      <c r="J800" s="2">
        <v>1</v>
      </c>
      <c r="K800" s="2">
        <v>358.2</v>
      </c>
      <c r="L800" s="2">
        <f>sales[[#This Row],[quantity]]*sales[[#This Row],[price]]</f>
        <v>358.2</v>
      </c>
      <c r="M800" s="9">
        <f>sales[[#This Row],[Total Price]]*3%</f>
        <v>10.745999999999999</v>
      </c>
      <c r="N800" s="171">
        <f>sales[[#This Row],[Total Price]]*2.5%</f>
        <v>8.9550000000000001</v>
      </c>
      <c r="O800" s="9">
        <f>sales[[#This Row],[Total Price]]*1.5%</f>
        <v>5.3729999999999993</v>
      </c>
      <c r="Q800" s="2">
        <v>3</v>
      </c>
      <c r="R800" s="5" t="str">
        <f>_xlfn.CONCAT(sales[[#This Row],[Shop]]," ",sales[[#This Row],[Location]])</f>
        <v>SW Wing On</v>
      </c>
    </row>
    <row r="801" spans="1:18" ht="15.6" customHeight="1">
      <c r="A801" s="7">
        <v>799</v>
      </c>
      <c r="B801" s="2" t="s">
        <v>1024</v>
      </c>
      <c r="C801" s="2" t="s">
        <v>1025</v>
      </c>
      <c r="D801" s="2" t="str">
        <f ca="1">OFFSET(Roster!$B$7, MATCH(B801&amp;" "&amp;C801&amp;"*",Roster!$B$8:$B$20,0),DAY(sales[[#This Row],[date]]),1, 1)</f>
        <v>Hazel</v>
      </c>
      <c r="E801" s="2">
        <f>MONTH(sales[[#This Row],[date]])</f>
        <v>6</v>
      </c>
      <c r="F801" s="234">
        <v>46193</v>
      </c>
      <c r="G801" s="3" t="str">
        <f>VLOOKUP("*"&amp;sales[[#This Row],[Input]]&amp;"*",'Ref-List'!$A:$C,1,0)</f>
        <v>Model-Input-Ref</v>
      </c>
      <c r="H801" s="2" t="str">
        <f>VLOOKUP("*"&amp;G801&amp;"*",'Ref-List'!$A:$C,3,0)</f>
        <v>Product Line</v>
      </c>
      <c r="J801" s="2">
        <v>1</v>
      </c>
      <c r="K801" s="2">
        <v>250</v>
      </c>
      <c r="L801" s="2">
        <f>sales[[#This Row],[quantity]]*sales[[#This Row],[price]]</f>
        <v>250</v>
      </c>
      <c r="M801" s="9">
        <f>sales[[#This Row],[Total Price]]*3%</f>
        <v>7.5</v>
      </c>
      <c r="N801" s="171">
        <f>sales[[#This Row],[Total Price]]*2.5%</f>
        <v>6.25</v>
      </c>
      <c r="O801" s="9">
        <f>sales[[#This Row],[Total Price]]*1.5%</f>
        <v>3.75</v>
      </c>
      <c r="Q801" s="2">
        <v>3</v>
      </c>
      <c r="R801" s="5" t="str">
        <f>_xlfn.CONCAT(sales[[#This Row],[Shop]]," ",sales[[#This Row],[Location]])</f>
        <v>SW Wing On</v>
      </c>
    </row>
    <row r="802" spans="1:18" ht="15.6" customHeight="1">
      <c r="A802" s="7">
        <v>800</v>
      </c>
      <c r="B802" s="2" t="s">
        <v>1024</v>
      </c>
      <c r="C802" s="2" t="s">
        <v>1025</v>
      </c>
      <c r="D802" s="2" t="str">
        <f ca="1">OFFSET(Roster!$B$7, MATCH(B802&amp;" "&amp;C802&amp;"*",Roster!$B$8:$B$20,0),DAY(sales[[#This Row],[date]]),1, 1)</f>
        <v>Hazel</v>
      </c>
      <c r="E802" s="2">
        <f>MONTH(sales[[#This Row],[date]])</f>
        <v>6</v>
      </c>
      <c r="F802" s="234">
        <v>46193</v>
      </c>
      <c r="G802" s="3" t="str">
        <f>VLOOKUP("*"&amp;sales[[#This Row],[Input]]&amp;"*",'Ref-List'!$A:$C,1,0)</f>
        <v>Model-Input-Ref</v>
      </c>
      <c r="H802" s="2" t="str">
        <f>VLOOKUP("*"&amp;G802&amp;"*",'Ref-List'!$A:$C,3,0)</f>
        <v>Product Line</v>
      </c>
      <c r="J802" s="2">
        <v>1</v>
      </c>
      <c r="K802" s="2">
        <v>79.2</v>
      </c>
      <c r="L802" s="2">
        <f>sales[[#This Row],[quantity]]*sales[[#This Row],[price]]</f>
        <v>79.2</v>
      </c>
      <c r="M802" s="9">
        <f>sales[[#This Row],[Total Price]]*3%</f>
        <v>2.3759999999999999</v>
      </c>
      <c r="N802" s="171">
        <f>sales[[#This Row],[Total Price]]*2.5%</f>
        <v>1.9800000000000002</v>
      </c>
      <c r="O802" s="9">
        <f>sales[[#This Row],[Total Price]]*1.5%</f>
        <v>1.1879999999999999</v>
      </c>
      <c r="Q802" s="2">
        <v>3</v>
      </c>
      <c r="R802" s="5" t="str">
        <f>_xlfn.CONCAT(sales[[#This Row],[Shop]]," ",sales[[#This Row],[Location]])</f>
        <v>SW Wing On</v>
      </c>
    </row>
    <row r="803" spans="1:18" ht="15.6" customHeight="1">
      <c r="A803" s="7">
        <v>801</v>
      </c>
      <c r="B803" s="2" t="s">
        <v>1024</v>
      </c>
      <c r="C803" s="2" t="s">
        <v>1025</v>
      </c>
      <c r="D803" s="2" t="str">
        <f ca="1">OFFSET(Roster!$B$7, MATCH(B803&amp;" "&amp;C803&amp;"*",Roster!$B$8:$B$20,0),DAY(sales[[#This Row],[date]]),1, 1)</f>
        <v>Hazel</v>
      </c>
      <c r="E803" s="2">
        <f>MONTH(sales[[#This Row],[date]])</f>
        <v>6</v>
      </c>
      <c r="F803" s="234">
        <v>46193</v>
      </c>
      <c r="G803" s="3" t="str">
        <f>VLOOKUP("*"&amp;sales[[#This Row],[Input]]&amp;"*",'Ref-List'!$A:$C,1,0)</f>
        <v>Model-Input-Ref</v>
      </c>
      <c r="H803" s="2" t="str">
        <f>VLOOKUP("*"&amp;G803&amp;"*",'Ref-List'!$A:$C,3,0)</f>
        <v>Product Line</v>
      </c>
      <c r="J803" s="2">
        <v>1</v>
      </c>
      <c r="K803" s="2">
        <v>798</v>
      </c>
      <c r="L803" s="2">
        <f>sales[[#This Row],[quantity]]*sales[[#This Row],[price]]</f>
        <v>798</v>
      </c>
      <c r="M803" s="9">
        <f>sales[[#This Row],[Total Price]]*3%</f>
        <v>23.939999999999998</v>
      </c>
      <c r="N803" s="171">
        <f>sales[[#This Row],[Total Price]]*2.5%</f>
        <v>19.950000000000003</v>
      </c>
      <c r="O803" s="9">
        <f>sales[[#This Row],[Total Price]]*1.5%</f>
        <v>11.969999999999999</v>
      </c>
      <c r="Q803" s="2">
        <v>3</v>
      </c>
      <c r="R803" s="5" t="str">
        <f>_xlfn.CONCAT(sales[[#This Row],[Shop]]," ",sales[[#This Row],[Location]])</f>
        <v>SW Wing On</v>
      </c>
    </row>
    <row r="804" spans="1:18" ht="15.6" customHeight="1">
      <c r="A804" s="7">
        <v>802</v>
      </c>
      <c r="B804" s="2" t="s">
        <v>1024</v>
      </c>
      <c r="C804" s="2" t="s">
        <v>1025</v>
      </c>
      <c r="D804" s="2" t="str">
        <f ca="1">OFFSET(Roster!$B$7, MATCH(B804&amp;" "&amp;C804&amp;"*",Roster!$B$8:$B$20,0),DAY(sales[[#This Row],[date]]),1, 1)</f>
        <v>Hazel</v>
      </c>
      <c r="E804" s="2">
        <f>MONTH(sales[[#This Row],[date]])</f>
        <v>6</v>
      </c>
      <c r="F804" s="234">
        <v>46193</v>
      </c>
      <c r="G804" s="3" t="str">
        <f>VLOOKUP("*"&amp;sales[[#This Row],[Input]]&amp;"*",'Ref-List'!$A:$C,1,0)</f>
        <v>Model-Input-Ref</v>
      </c>
      <c r="H804" s="2" t="str">
        <f>VLOOKUP("*"&amp;G804&amp;"*",'Ref-List'!$A:$C,3,0)</f>
        <v>Product Line</v>
      </c>
      <c r="J804" s="2">
        <v>1</v>
      </c>
      <c r="K804" s="2">
        <v>2552</v>
      </c>
      <c r="L804" s="2">
        <f>sales[[#This Row],[quantity]]*sales[[#This Row],[price]]</f>
        <v>2552</v>
      </c>
      <c r="M804" s="9">
        <f>sales[[#This Row],[Total Price]]*3%</f>
        <v>76.56</v>
      </c>
      <c r="N804" s="171">
        <f>sales[[#This Row],[Total Price]]*2.5%</f>
        <v>63.800000000000004</v>
      </c>
      <c r="O804" s="9">
        <f>sales[[#This Row],[Total Price]]*1.5%</f>
        <v>38.28</v>
      </c>
      <c r="Q804" s="2">
        <v>3</v>
      </c>
      <c r="R804" s="5" t="str">
        <f>_xlfn.CONCAT(sales[[#This Row],[Shop]]," ",sales[[#This Row],[Location]])</f>
        <v>SW Wing On</v>
      </c>
    </row>
    <row r="805" spans="1:18" ht="15.6" customHeight="1">
      <c r="A805" s="7">
        <v>803</v>
      </c>
      <c r="B805" s="2" t="s">
        <v>1024</v>
      </c>
      <c r="C805" s="2" t="s">
        <v>1025</v>
      </c>
      <c r="D805" s="2" t="str">
        <f ca="1">OFFSET(Roster!$B$7, MATCH(B805&amp;" "&amp;C805&amp;"*",Roster!$B$8:$B$20,0),DAY(sales[[#This Row],[date]]),1, 1)</f>
        <v>Hazel</v>
      </c>
      <c r="E805" s="2">
        <f>MONTH(sales[[#This Row],[date]])</f>
        <v>6</v>
      </c>
      <c r="F805" s="234">
        <v>46193</v>
      </c>
      <c r="G805" s="3" t="str">
        <f>VLOOKUP("*"&amp;sales[[#This Row],[Input]]&amp;"*",'Ref-List'!$A:$C,1,0)</f>
        <v>Model-Input-Ref</v>
      </c>
      <c r="H805" s="2" t="str">
        <f>VLOOKUP("*"&amp;G805&amp;"*",'Ref-List'!$A:$C,3,0)</f>
        <v>Product Line</v>
      </c>
      <c r="J805" s="2">
        <v>1</v>
      </c>
      <c r="K805" s="2">
        <v>808.2</v>
      </c>
      <c r="L805" s="2">
        <f>sales[[#This Row],[quantity]]*sales[[#This Row],[price]]</f>
        <v>808.2</v>
      </c>
      <c r="M805" s="9">
        <f>sales[[#This Row],[Total Price]]*3%</f>
        <v>24.246000000000002</v>
      </c>
      <c r="N805" s="171">
        <f>sales[[#This Row],[Total Price]]*2.5%</f>
        <v>20.205000000000002</v>
      </c>
      <c r="O805" s="9">
        <f>sales[[#This Row],[Total Price]]*1.5%</f>
        <v>12.123000000000001</v>
      </c>
      <c r="Q805" s="2">
        <v>3</v>
      </c>
      <c r="R805" s="5" t="str">
        <f>_xlfn.CONCAT(sales[[#This Row],[Shop]]," ",sales[[#This Row],[Location]])</f>
        <v>SW Wing On</v>
      </c>
    </row>
    <row r="806" spans="1:18" ht="15.6" customHeight="1">
      <c r="A806" s="7">
        <v>804</v>
      </c>
      <c r="B806" s="2" t="s">
        <v>1024</v>
      </c>
      <c r="C806" s="2" t="s">
        <v>1025</v>
      </c>
      <c r="D806" s="2" t="str">
        <f ca="1">OFFSET(Roster!$B$7, MATCH(B806&amp;" "&amp;C806&amp;"*",Roster!$B$8:$B$20,0),DAY(sales[[#This Row],[date]]),1, 1)</f>
        <v>Hazel</v>
      </c>
      <c r="E806" s="2">
        <f>MONTH(sales[[#This Row],[date]])</f>
        <v>6</v>
      </c>
      <c r="F806" s="234">
        <v>46193</v>
      </c>
      <c r="G806" s="3" t="str">
        <f>VLOOKUP("*"&amp;sales[[#This Row],[Input]]&amp;"*",'Ref-List'!$A:$C,1,0)</f>
        <v>Model-Input-Ref</v>
      </c>
      <c r="H806" s="2" t="str">
        <f>VLOOKUP("*"&amp;G806&amp;"*",'Ref-List'!$A:$C,3,0)</f>
        <v>Product Line</v>
      </c>
      <c r="J806" s="2">
        <v>1</v>
      </c>
      <c r="K806" s="2">
        <v>598</v>
      </c>
      <c r="L806" s="2">
        <f>sales[[#This Row],[quantity]]*sales[[#This Row],[price]]</f>
        <v>598</v>
      </c>
      <c r="M806" s="9">
        <f>sales[[#This Row],[Total Price]]*3%</f>
        <v>17.939999999999998</v>
      </c>
      <c r="N806" s="171">
        <f>sales[[#This Row],[Total Price]]*2.5%</f>
        <v>14.950000000000001</v>
      </c>
      <c r="O806" s="9">
        <f>sales[[#This Row],[Total Price]]*1.5%</f>
        <v>8.9699999999999989</v>
      </c>
      <c r="Q806" s="2">
        <v>3</v>
      </c>
      <c r="R806" s="5" t="str">
        <f>_xlfn.CONCAT(sales[[#This Row],[Shop]]," ",sales[[#This Row],[Location]])</f>
        <v>SW Wing On</v>
      </c>
    </row>
    <row r="807" spans="1:18" ht="15.6" customHeight="1">
      <c r="A807" s="7">
        <v>805</v>
      </c>
      <c r="B807" s="2" t="s">
        <v>1024</v>
      </c>
      <c r="C807" s="2" t="s">
        <v>1025</v>
      </c>
      <c r="D807" s="2" t="str">
        <f ca="1">OFFSET(Roster!$B$7, MATCH(B807&amp;" "&amp;C807&amp;"*",Roster!$B$8:$B$20,0),DAY(sales[[#This Row],[date]]),1, 1)</f>
        <v>Hazel</v>
      </c>
      <c r="E807" s="2">
        <f>MONTH(sales[[#This Row],[date]])</f>
        <v>6</v>
      </c>
      <c r="F807" s="234">
        <v>46193</v>
      </c>
      <c r="G807" s="3" t="str">
        <f>VLOOKUP("*"&amp;sales[[#This Row],[Input]]&amp;"*",'Ref-List'!$A:$C,1,0)</f>
        <v>Model-Input-Ref</v>
      </c>
      <c r="H807" s="2" t="str">
        <f>VLOOKUP("*"&amp;G807&amp;"*",'Ref-List'!$A:$C,3,0)</f>
        <v>Product Line</v>
      </c>
      <c r="J807" s="2">
        <v>1</v>
      </c>
      <c r="K807" s="2">
        <v>578</v>
      </c>
      <c r="L807" s="2">
        <f>sales[[#This Row],[quantity]]*sales[[#This Row],[price]]</f>
        <v>578</v>
      </c>
      <c r="M807" s="9">
        <f>sales[[#This Row],[Total Price]]*3%</f>
        <v>17.34</v>
      </c>
      <c r="N807" s="171">
        <f>sales[[#This Row],[Total Price]]*2.5%</f>
        <v>14.450000000000001</v>
      </c>
      <c r="O807" s="9">
        <f>sales[[#This Row],[Total Price]]*1.5%</f>
        <v>8.67</v>
      </c>
      <c r="Q807" s="2">
        <v>3</v>
      </c>
      <c r="R807" s="5" t="str">
        <f>_xlfn.CONCAT(sales[[#This Row],[Shop]]," ",sales[[#This Row],[Location]])</f>
        <v>SW Wing On</v>
      </c>
    </row>
    <row r="808" spans="1:18" ht="15.6" customHeight="1">
      <c r="A808" s="7">
        <v>806</v>
      </c>
      <c r="B808" s="2" t="s">
        <v>1024</v>
      </c>
      <c r="C808" s="2" t="s">
        <v>1025</v>
      </c>
      <c r="D808" s="2" t="str">
        <f ca="1">OFFSET(Roster!$B$7, MATCH(B808&amp;" "&amp;C808&amp;"*",Roster!$B$8:$B$20,0),DAY(sales[[#This Row],[date]]),1, 1)</f>
        <v>Hazel</v>
      </c>
      <c r="E808" s="2">
        <f>MONTH(sales[[#This Row],[date]])</f>
        <v>6</v>
      </c>
      <c r="F808" s="234">
        <v>46193</v>
      </c>
      <c r="G808" s="3" t="str">
        <f>VLOOKUP("*"&amp;sales[[#This Row],[Input]]&amp;"*",'Ref-List'!$A:$C,1,0)</f>
        <v>Model-Input-Ref</v>
      </c>
      <c r="H808" s="2" t="str">
        <f>VLOOKUP("*"&amp;G808&amp;"*",'Ref-List'!$A:$C,3,0)</f>
        <v>Product Line</v>
      </c>
      <c r="J808" s="2">
        <v>1</v>
      </c>
      <c r="K808" s="2">
        <v>150</v>
      </c>
      <c r="L808" s="2">
        <f>sales[[#This Row],[quantity]]*sales[[#This Row],[price]]</f>
        <v>150</v>
      </c>
      <c r="M808" s="9">
        <f>sales[[#This Row],[Total Price]]*3%</f>
        <v>4.5</v>
      </c>
      <c r="N808" s="171">
        <f>sales[[#This Row],[Total Price]]*2.5%</f>
        <v>3.75</v>
      </c>
      <c r="O808" s="9">
        <f>sales[[#This Row],[Total Price]]*1.5%</f>
        <v>2.25</v>
      </c>
      <c r="Q808" s="2">
        <v>3</v>
      </c>
      <c r="R808" s="5" t="str">
        <f>_xlfn.CONCAT(sales[[#This Row],[Shop]]," ",sales[[#This Row],[Location]])</f>
        <v>SW Wing On</v>
      </c>
    </row>
    <row r="809" spans="1:18" ht="15.6" customHeight="1">
      <c r="A809" s="7">
        <v>807</v>
      </c>
      <c r="B809" s="2" t="s">
        <v>1024</v>
      </c>
      <c r="C809" s="2" t="s">
        <v>1025</v>
      </c>
      <c r="D809" s="2" t="str">
        <f ca="1">OFFSET(Roster!$B$7, MATCH(B809&amp;" "&amp;C809&amp;"*",Roster!$B$8:$B$20,0),DAY(sales[[#This Row],[date]]),1, 1)</f>
        <v>Hazel</v>
      </c>
      <c r="E809" s="2">
        <f>MONTH(sales[[#This Row],[date]])</f>
        <v>6</v>
      </c>
      <c r="F809" s="234">
        <v>46193</v>
      </c>
      <c r="G809" s="3" t="str">
        <f>VLOOKUP("*"&amp;sales[[#This Row],[Input]]&amp;"*",'Ref-List'!$A:$C,1,0)</f>
        <v>Model-Input-Ref</v>
      </c>
      <c r="H809" s="2" t="str">
        <f>VLOOKUP("*"&amp;G809&amp;"*",'Ref-List'!$A:$C,3,0)</f>
        <v>Product Line</v>
      </c>
      <c r="J809" s="2">
        <v>1</v>
      </c>
      <c r="K809" s="2">
        <v>1914</v>
      </c>
      <c r="L809" s="2">
        <f>sales[[#This Row],[quantity]]*sales[[#This Row],[price]]</f>
        <v>1914</v>
      </c>
      <c r="M809" s="9">
        <f>sales[[#This Row],[Total Price]]*3%</f>
        <v>57.419999999999995</v>
      </c>
      <c r="N809" s="171">
        <f>sales[[#This Row],[Total Price]]*2.5%</f>
        <v>47.85</v>
      </c>
      <c r="O809" s="9">
        <f>sales[[#This Row],[Total Price]]*1.5%</f>
        <v>28.709999999999997</v>
      </c>
      <c r="Q809" s="2">
        <v>3</v>
      </c>
      <c r="R809" s="5" t="str">
        <f>_xlfn.CONCAT(sales[[#This Row],[Shop]]," ",sales[[#This Row],[Location]])</f>
        <v>SW Wing On</v>
      </c>
    </row>
    <row r="810" spans="1:18" ht="15.6" customHeight="1">
      <c r="A810" s="7">
        <v>808</v>
      </c>
      <c r="B810" s="2" t="s">
        <v>1024</v>
      </c>
      <c r="C810" s="2" t="s">
        <v>1025</v>
      </c>
      <c r="D810" s="2" t="str">
        <f ca="1">OFFSET(Roster!$B$7, MATCH(B810&amp;" "&amp;C810&amp;"*",Roster!$B$8:$B$20,0),DAY(sales[[#This Row],[date]]),1, 1)</f>
        <v>Hazel</v>
      </c>
      <c r="E810" s="2">
        <f>MONTH(sales[[#This Row],[date]])</f>
        <v>6</v>
      </c>
      <c r="F810" s="234">
        <v>46193</v>
      </c>
      <c r="G810" s="3" t="str">
        <f>VLOOKUP("*"&amp;sales[[#This Row],[Input]]&amp;"*",'Ref-List'!$A:$C,1,0)</f>
        <v>Model-Input-Ref</v>
      </c>
      <c r="H810" s="2" t="str">
        <f>VLOOKUP("*"&amp;G810&amp;"*",'Ref-List'!$A:$C,3,0)</f>
        <v>Product Line</v>
      </c>
      <c r="J810" s="2">
        <v>1</v>
      </c>
      <c r="K810" s="2">
        <v>464</v>
      </c>
      <c r="L810" s="2">
        <f>sales[[#This Row],[quantity]]*sales[[#This Row],[price]]</f>
        <v>464</v>
      </c>
      <c r="M810" s="9">
        <f>sales[[#This Row],[Total Price]]*3%</f>
        <v>13.92</v>
      </c>
      <c r="N810" s="171">
        <f>sales[[#This Row],[Total Price]]*2.5%</f>
        <v>11.600000000000001</v>
      </c>
      <c r="O810" s="9">
        <f>sales[[#This Row],[Total Price]]*1.5%</f>
        <v>6.96</v>
      </c>
      <c r="Q810" s="2">
        <v>3</v>
      </c>
      <c r="R810" s="5" t="str">
        <f>_xlfn.CONCAT(sales[[#This Row],[Shop]]," ",sales[[#This Row],[Location]])</f>
        <v>SW Wing On</v>
      </c>
    </row>
    <row r="811" spans="1:18" ht="15.6" customHeight="1">
      <c r="A811" s="7">
        <v>809</v>
      </c>
      <c r="B811" s="2" t="s">
        <v>1024</v>
      </c>
      <c r="C811" s="2" t="s">
        <v>1025</v>
      </c>
      <c r="D811" s="2" t="str">
        <f ca="1">OFFSET(Roster!$B$7, MATCH(B811&amp;" "&amp;C811&amp;"*",Roster!$B$8:$B$20,0),DAY(sales[[#This Row],[date]]),1, 1)</f>
        <v>Hazel</v>
      </c>
      <c r="E811" s="2">
        <f>MONTH(sales[[#This Row],[date]])</f>
        <v>6</v>
      </c>
      <c r="F811" s="234">
        <v>46193</v>
      </c>
      <c r="G811" s="3" t="str">
        <f>VLOOKUP("*"&amp;sales[[#This Row],[Input]]&amp;"*",'Ref-List'!$A:$C,1,0)</f>
        <v>Model-Input-Ref</v>
      </c>
      <c r="H811" s="2" t="str">
        <f>VLOOKUP("*"&amp;G811&amp;"*",'Ref-List'!$A:$C,3,0)</f>
        <v>Product Line</v>
      </c>
      <c r="J811" s="2">
        <v>1</v>
      </c>
      <c r="K811" s="2">
        <v>578</v>
      </c>
      <c r="L811" s="2">
        <f>sales[[#This Row],[quantity]]*sales[[#This Row],[price]]</f>
        <v>578</v>
      </c>
      <c r="M811" s="9">
        <f>sales[[#This Row],[Total Price]]*3%</f>
        <v>17.34</v>
      </c>
      <c r="N811" s="171">
        <f>sales[[#This Row],[Total Price]]*2.5%</f>
        <v>14.450000000000001</v>
      </c>
      <c r="O811" s="9">
        <f>sales[[#This Row],[Total Price]]*1.5%</f>
        <v>8.67</v>
      </c>
      <c r="Q811" s="2">
        <v>3</v>
      </c>
      <c r="R811" s="5" t="str">
        <f>_xlfn.CONCAT(sales[[#This Row],[Shop]]," ",sales[[#This Row],[Location]])</f>
        <v>SW Wing On</v>
      </c>
    </row>
    <row r="812" spans="1:18" ht="15.6" customHeight="1">
      <c r="A812" s="7">
        <v>810</v>
      </c>
      <c r="B812" s="2" t="s">
        <v>1024</v>
      </c>
      <c r="C812" s="2" t="s">
        <v>1025</v>
      </c>
      <c r="D812" s="2" t="str">
        <f ca="1">OFFSET(Roster!$B$7, MATCH(B812&amp;" "&amp;C812&amp;"*",Roster!$B$8:$B$20,0),DAY(sales[[#This Row],[date]]),1, 1)</f>
        <v>Hazel</v>
      </c>
      <c r="E812" s="2">
        <f>MONTH(sales[[#This Row],[date]])</f>
        <v>6</v>
      </c>
      <c r="F812" s="234">
        <v>46193</v>
      </c>
      <c r="G812" s="3" t="str">
        <f>VLOOKUP("*"&amp;sales[[#This Row],[Input]]&amp;"*",'Ref-List'!$A:$C,1,0)</f>
        <v>Model-Input-Ref</v>
      </c>
      <c r="H812" s="2" t="str">
        <f>VLOOKUP("*"&amp;G812&amp;"*",'Ref-List'!$A:$C,3,0)</f>
        <v>Product Line</v>
      </c>
      <c r="J812" s="2">
        <v>1</v>
      </c>
      <c r="K812" s="2">
        <v>568</v>
      </c>
      <c r="L812" s="2">
        <f>sales[[#This Row],[quantity]]*sales[[#This Row],[price]]</f>
        <v>568</v>
      </c>
      <c r="M812" s="9">
        <f>sales[[#This Row],[Total Price]]*3%</f>
        <v>17.04</v>
      </c>
      <c r="N812" s="171">
        <f>sales[[#This Row],[Total Price]]*2.5%</f>
        <v>14.200000000000001</v>
      </c>
      <c r="O812" s="9">
        <f>sales[[#This Row],[Total Price]]*1.5%</f>
        <v>8.52</v>
      </c>
      <c r="Q812" s="2">
        <v>3</v>
      </c>
      <c r="R812" s="5" t="str">
        <f>_xlfn.CONCAT(sales[[#This Row],[Shop]]," ",sales[[#This Row],[Location]])</f>
        <v>SW Wing On</v>
      </c>
    </row>
    <row r="813" spans="1:18" ht="15.6" customHeight="1">
      <c r="A813" s="7">
        <v>811</v>
      </c>
      <c r="B813" s="2" t="s">
        <v>1024</v>
      </c>
      <c r="C813" s="2" t="s">
        <v>1025</v>
      </c>
      <c r="D813" s="2" t="str">
        <f ca="1">OFFSET(Roster!$B$7, MATCH(B813&amp;" "&amp;C813&amp;"*",Roster!$B$8:$B$20,0),DAY(sales[[#This Row],[date]]),1, 1)</f>
        <v>Hazel</v>
      </c>
      <c r="E813" s="2">
        <f>MONTH(sales[[#This Row],[date]])</f>
        <v>6</v>
      </c>
      <c r="F813" s="234">
        <v>46193</v>
      </c>
      <c r="G813" s="3" t="str">
        <f>VLOOKUP("*"&amp;sales[[#This Row],[Input]]&amp;"*",'Ref-List'!$A:$C,1,0)</f>
        <v>Model-Input-Ref</v>
      </c>
      <c r="H813" s="2" t="str">
        <f>VLOOKUP("*"&amp;G813&amp;"*",'Ref-List'!$A:$C,3,0)</f>
        <v>Product Line</v>
      </c>
      <c r="J813" s="2">
        <v>1</v>
      </c>
      <c r="K813" s="2">
        <v>1276</v>
      </c>
      <c r="L813" s="2">
        <f>sales[[#This Row],[quantity]]*sales[[#This Row],[price]]</f>
        <v>1276</v>
      </c>
      <c r="M813" s="9">
        <f>sales[[#This Row],[Total Price]]*3%</f>
        <v>38.28</v>
      </c>
      <c r="N813" s="171">
        <f>sales[[#This Row],[Total Price]]*2.5%</f>
        <v>31.900000000000002</v>
      </c>
      <c r="O813" s="9">
        <f>sales[[#This Row],[Total Price]]*1.5%</f>
        <v>19.14</v>
      </c>
      <c r="Q813" s="2">
        <v>3</v>
      </c>
      <c r="R813" s="5" t="str">
        <f>_xlfn.CONCAT(sales[[#This Row],[Shop]]," ",sales[[#This Row],[Location]])</f>
        <v>SW Wing On</v>
      </c>
    </row>
    <row r="814" spans="1:18" ht="15.6" customHeight="1">
      <c r="A814" s="7">
        <v>812</v>
      </c>
      <c r="B814" s="2" t="s">
        <v>1024</v>
      </c>
      <c r="C814" s="2" t="s">
        <v>1025</v>
      </c>
      <c r="D814" s="2" t="str">
        <f ca="1">OFFSET(Roster!$B$7, MATCH(B814&amp;" "&amp;C814&amp;"*",Roster!$B$8:$B$20,0),DAY(sales[[#This Row],[date]]),1, 1)</f>
        <v>Hazel</v>
      </c>
      <c r="E814" s="2">
        <f>MONTH(sales[[#This Row],[date]])</f>
        <v>6</v>
      </c>
      <c r="F814" s="234">
        <v>46193</v>
      </c>
      <c r="G814" s="3" t="str">
        <f>VLOOKUP("*"&amp;sales[[#This Row],[Input]]&amp;"*",'Ref-List'!$A:$C,1,0)</f>
        <v>Model-Input-Ref</v>
      </c>
      <c r="H814" s="2" t="str">
        <f>VLOOKUP("*"&amp;G814&amp;"*",'Ref-List'!$A:$C,3,0)</f>
        <v>Product Line</v>
      </c>
      <c r="J814" s="2">
        <v>1</v>
      </c>
      <c r="K814" s="2">
        <v>638</v>
      </c>
      <c r="L814" s="2">
        <f>sales[[#This Row],[quantity]]*sales[[#This Row],[price]]</f>
        <v>638</v>
      </c>
      <c r="M814" s="9">
        <f>sales[[#This Row],[Total Price]]*3%</f>
        <v>19.14</v>
      </c>
      <c r="N814" s="171">
        <f>sales[[#This Row],[Total Price]]*2.5%</f>
        <v>15.950000000000001</v>
      </c>
      <c r="O814" s="9">
        <f>sales[[#This Row],[Total Price]]*1.5%</f>
        <v>9.57</v>
      </c>
      <c r="Q814" s="2">
        <v>3</v>
      </c>
      <c r="R814" s="5" t="str">
        <f>_xlfn.CONCAT(sales[[#This Row],[Shop]]," ",sales[[#This Row],[Location]])</f>
        <v>SW Wing On</v>
      </c>
    </row>
    <row r="815" spans="1:18" ht="15.6" customHeight="1">
      <c r="A815" s="7">
        <v>813</v>
      </c>
      <c r="B815" s="2" t="s">
        <v>1024</v>
      </c>
      <c r="C815" s="2" t="s">
        <v>1025</v>
      </c>
      <c r="D815" s="2" t="str">
        <f ca="1">OFFSET(Roster!$B$7, MATCH(B815&amp;" "&amp;C815&amp;"*",Roster!$B$8:$B$20,0),DAY(sales[[#This Row],[date]]),1, 1)</f>
        <v>Hazel</v>
      </c>
      <c r="E815" s="2">
        <f>MONTH(sales[[#This Row],[date]])</f>
        <v>6</v>
      </c>
      <c r="F815" s="234">
        <v>46193</v>
      </c>
      <c r="G815" s="3" t="str">
        <f>VLOOKUP("*"&amp;sales[[#This Row],[Input]]&amp;"*",'Ref-List'!$A:$C,1,0)</f>
        <v>Model-Input-Ref</v>
      </c>
      <c r="H815" s="2" t="str">
        <f>VLOOKUP("*"&amp;G815&amp;"*",'Ref-List'!$A:$C,3,0)</f>
        <v>Product Line</v>
      </c>
      <c r="J815" s="2">
        <v>1</v>
      </c>
      <c r="K815" s="2">
        <v>568</v>
      </c>
      <c r="L815" s="2">
        <f>sales[[#This Row],[quantity]]*sales[[#This Row],[price]]</f>
        <v>568</v>
      </c>
      <c r="M815" s="9">
        <f>sales[[#This Row],[Total Price]]*3%</f>
        <v>17.04</v>
      </c>
      <c r="N815" s="171">
        <f>sales[[#This Row],[Total Price]]*2.5%</f>
        <v>14.200000000000001</v>
      </c>
      <c r="O815" s="9">
        <f>sales[[#This Row],[Total Price]]*1.5%</f>
        <v>8.52</v>
      </c>
      <c r="Q815" s="2">
        <v>3</v>
      </c>
      <c r="R815" s="5" t="str">
        <f>_xlfn.CONCAT(sales[[#This Row],[Shop]]," ",sales[[#This Row],[Location]])</f>
        <v>SW Wing On</v>
      </c>
    </row>
    <row r="816" spans="1:18" ht="15.6" customHeight="1">
      <c r="A816" s="7">
        <v>814</v>
      </c>
      <c r="B816" s="2" t="s">
        <v>1024</v>
      </c>
      <c r="C816" s="2" t="s">
        <v>1025</v>
      </c>
      <c r="D816" s="2" t="str">
        <f ca="1">OFFSET(Roster!$B$7, MATCH(B816&amp;" "&amp;C816&amp;"*",Roster!$B$8:$B$20,0),DAY(sales[[#This Row],[date]]),1, 1)</f>
        <v>Hazel</v>
      </c>
      <c r="E816" s="2">
        <f>MONTH(sales[[#This Row],[date]])</f>
        <v>6</v>
      </c>
      <c r="F816" s="234">
        <v>46193</v>
      </c>
      <c r="G816" s="3" t="str">
        <f>VLOOKUP("*"&amp;sales[[#This Row],[Input]]&amp;"*",'Ref-List'!$A:$C,1,0)</f>
        <v>Model-Input-Ref</v>
      </c>
      <c r="H816" s="2" t="str">
        <f>VLOOKUP("*"&amp;G816&amp;"*",'Ref-List'!$A:$C,3,0)</f>
        <v>Product Line</v>
      </c>
      <c r="J816" s="2">
        <v>1</v>
      </c>
      <c r="K816" s="2">
        <v>3588</v>
      </c>
      <c r="L816" s="2">
        <f>sales[[#This Row],[quantity]]*sales[[#This Row],[price]]</f>
        <v>3588</v>
      </c>
      <c r="M816" s="9">
        <f>sales[[#This Row],[Total Price]]*3%</f>
        <v>107.64</v>
      </c>
      <c r="N816" s="171">
        <f>sales[[#This Row],[Total Price]]*2.5%</f>
        <v>89.7</v>
      </c>
      <c r="O816" s="9">
        <f>sales[[#This Row],[Total Price]]*1.5%</f>
        <v>53.82</v>
      </c>
      <c r="Q816" s="2">
        <v>3</v>
      </c>
      <c r="R816" s="5" t="str">
        <f>_xlfn.CONCAT(sales[[#This Row],[Shop]]," ",sales[[#This Row],[Location]])</f>
        <v>SW Wing On</v>
      </c>
    </row>
    <row r="817" spans="1:18" ht="15.6" customHeight="1">
      <c r="A817" s="7">
        <v>815</v>
      </c>
      <c r="B817" s="2" t="s">
        <v>1024</v>
      </c>
      <c r="C817" s="2" t="s">
        <v>1025</v>
      </c>
      <c r="D817" s="2" t="str">
        <f ca="1">OFFSET(Roster!$B$7, MATCH(B817&amp;" "&amp;C817&amp;"*",Roster!$B$8:$B$20,0),DAY(sales[[#This Row],[date]]),1, 1)</f>
        <v>Hazel</v>
      </c>
      <c r="E817" s="2">
        <f>MONTH(sales[[#This Row],[date]])</f>
        <v>6</v>
      </c>
      <c r="F817" s="234">
        <v>46193</v>
      </c>
      <c r="G817" s="3" t="str">
        <f>VLOOKUP("*"&amp;sales[[#This Row],[Input]]&amp;"*",'Ref-List'!$A:$C,1,0)</f>
        <v>Model-Input-Ref</v>
      </c>
      <c r="H817" s="2" t="str">
        <f>VLOOKUP("*"&amp;G817&amp;"*",'Ref-List'!$A:$C,3,0)</f>
        <v>Product Line</v>
      </c>
      <c r="J817" s="2">
        <v>1</v>
      </c>
      <c r="K817" s="2">
        <v>358</v>
      </c>
      <c r="L817" s="2">
        <f>sales[[#This Row],[quantity]]*sales[[#This Row],[price]]</f>
        <v>358</v>
      </c>
      <c r="M817" s="9">
        <f>sales[[#This Row],[Total Price]]*3%</f>
        <v>10.74</v>
      </c>
      <c r="N817" s="171">
        <f>sales[[#This Row],[Total Price]]*2.5%</f>
        <v>8.9500000000000011</v>
      </c>
      <c r="O817" s="9">
        <f>sales[[#This Row],[Total Price]]*1.5%</f>
        <v>5.37</v>
      </c>
      <c r="Q817" s="2">
        <v>3</v>
      </c>
      <c r="R817" s="5" t="str">
        <f>_xlfn.CONCAT(sales[[#This Row],[Shop]]," ",sales[[#This Row],[Location]])</f>
        <v>SW Wing On</v>
      </c>
    </row>
    <row r="818" spans="1:18" ht="15.6" customHeight="1">
      <c r="A818" s="7">
        <v>816</v>
      </c>
      <c r="B818" s="2" t="s">
        <v>1024</v>
      </c>
      <c r="C818" s="2" t="s">
        <v>1025</v>
      </c>
      <c r="D818" s="2" t="str">
        <f ca="1">OFFSET(Roster!$B$7, MATCH(B818&amp;" "&amp;C818&amp;"*",Roster!$B$8:$B$20,0),DAY(sales[[#This Row],[date]]),1, 1)</f>
        <v>Hazel</v>
      </c>
      <c r="E818" s="2">
        <f>MONTH(sales[[#This Row],[date]])</f>
        <v>6</v>
      </c>
      <c r="F818" s="234">
        <v>46193</v>
      </c>
      <c r="G818" s="3" t="str">
        <f>VLOOKUP("*"&amp;sales[[#This Row],[Input]]&amp;"*",'Ref-List'!$A:$C,1,0)</f>
        <v>Model-Input-Ref</v>
      </c>
      <c r="H818" s="2" t="str">
        <f>VLOOKUP("*"&amp;G818&amp;"*",'Ref-List'!$A:$C,3,0)</f>
        <v>Product Line</v>
      </c>
      <c r="J818" s="2">
        <v>1</v>
      </c>
      <c r="K818" s="2">
        <v>798</v>
      </c>
      <c r="L818" s="2">
        <f>sales[[#This Row],[quantity]]*sales[[#This Row],[price]]</f>
        <v>798</v>
      </c>
      <c r="M818" s="9">
        <f>sales[[#This Row],[Total Price]]*3%</f>
        <v>23.939999999999998</v>
      </c>
      <c r="N818" s="171">
        <f>sales[[#This Row],[Total Price]]*2.5%</f>
        <v>19.950000000000003</v>
      </c>
      <c r="O818" s="9">
        <f>sales[[#This Row],[Total Price]]*1.5%</f>
        <v>11.969999999999999</v>
      </c>
      <c r="Q818" s="2">
        <v>3</v>
      </c>
      <c r="R818" s="5" t="str">
        <f>_xlfn.CONCAT(sales[[#This Row],[Shop]]," ",sales[[#This Row],[Location]])</f>
        <v>SW Wing On</v>
      </c>
    </row>
    <row r="819" spans="1:18" ht="15.6" customHeight="1">
      <c r="A819" s="7">
        <v>817</v>
      </c>
      <c r="B819" s="2" t="s">
        <v>1024</v>
      </c>
      <c r="C819" s="2" t="s">
        <v>1025</v>
      </c>
      <c r="D819" s="2" t="str">
        <f ca="1">OFFSET(Roster!$B$7, MATCH(B819&amp;" "&amp;C819&amp;"*",Roster!$B$8:$B$20,0),DAY(sales[[#This Row],[date]]),1, 1)</f>
        <v>Hazel</v>
      </c>
      <c r="E819" s="2">
        <f>MONTH(sales[[#This Row],[date]])</f>
        <v>6</v>
      </c>
      <c r="F819" s="234">
        <v>46200</v>
      </c>
      <c r="G819" s="3" t="str">
        <f>VLOOKUP("*"&amp;sales[[#This Row],[Input]]&amp;"*",'Ref-List'!$A:$C,1,0)</f>
        <v>Model-Input-Ref</v>
      </c>
      <c r="H819" s="2" t="str">
        <f>VLOOKUP("*"&amp;G819&amp;"*",'Ref-List'!$A:$C,3,0)</f>
        <v>Product Line</v>
      </c>
      <c r="J819" s="2">
        <v>1</v>
      </c>
      <c r="K819" s="2">
        <v>150</v>
      </c>
      <c r="L819" s="2">
        <f>sales[[#This Row],[quantity]]*sales[[#This Row],[price]]</f>
        <v>150</v>
      </c>
      <c r="M819" s="9">
        <f>sales[[#This Row],[Total Price]]*3%</f>
        <v>4.5</v>
      </c>
      <c r="N819" s="171">
        <f>sales[[#This Row],[Total Price]]*2.5%</f>
        <v>3.75</v>
      </c>
      <c r="O819" s="9">
        <f>sales[[#This Row],[Total Price]]*1.5%</f>
        <v>2.25</v>
      </c>
      <c r="Q819" s="2">
        <v>4</v>
      </c>
      <c r="R819" s="5" t="str">
        <f>_xlfn.CONCAT(sales[[#This Row],[Shop]]," ",sales[[#This Row],[Location]])</f>
        <v>SW Wing On</v>
      </c>
    </row>
    <row r="820" spans="1:18" ht="15.6" customHeight="1">
      <c r="A820" s="7">
        <v>818</v>
      </c>
      <c r="B820" s="2" t="s">
        <v>1024</v>
      </c>
      <c r="C820" s="2" t="s">
        <v>1025</v>
      </c>
      <c r="D820" s="2" t="str">
        <f ca="1">OFFSET(Roster!$B$7, MATCH(B820&amp;" "&amp;C820&amp;"*",Roster!$B$8:$B$20,0),DAY(sales[[#This Row],[date]]),1, 1)</f>
        <v>Hazel</v>
      </c>
      <c r="E820" s="2">
        <f>MONTH(sales[[#This Row],[date]])</f>
        <v>6</v>
      </c>
      <c r="F820" s="234">
        <v>46200</v>
      </c>
      <c r="G820" s="3" t="str">
        <f>VLOOKUP("*"&amp;sales[[#This Row],[Input]]&amp;"*",'Ref-List'!$A:$C,1,0)</f>
        <v>Model-Input-Ref</v>
      </c>
      <c r="H820" s="2" t="str">
        <f>VLOOKUP("*"&amp;G820&amp;"*",'Ref-List'!$A:$C,3,0)</f>
        <v>Product Line</v>
      </c>
      <c r="J820" s="2">
        <v>1</v>
      </c>
      <c r="K820" s="2">
        <v>1868</v>
      </c>
      <c r="L820" s="2">
        <f>sales[[#This Row],[quantity]]*sales[[#This Row],[price]]</f>
        <v>1868</v>
      </c>
      <c r="M820" s="9">
        <f>sales[[#This Row],[Total Price]]*3%</f>
        <v>56.04</v>
      </c>
      <c r="N820" s="171">
        <f>sales[[#This Row],[Total Price]]*2.5%</f>
        <v>46.7</v>
      </c>
      <c r="O820" s="9">
        <f>sales[[#This Row],[Total Price]]*1.5%</f>
        <v>28.02</v>
      </c>
      <c r="Q820" s="2">
        <v>4</v>
      </c>
      <c r="R820" s="5" t="str">
        <f>_xlfn.CONCAT(sales[[#This Row],[Shop]]," ",sales[[#This Row],[Location]])</f>
        <v>SW Wing On</v>
      </c>
    </row>
    <row r="821" spans="1:18" ht="15.6" customHeight="1">
      <c r="A821" s="7">
        <v>819</v>
      </c>
      <c r="B821" s="2" t="s">
        <v>1024</v>
      </c>
      <c r="C821" s="2" t="s">
        <v>1025</v>
      </c>
      <c r="D821" s="2" t="str">
        <f ca="1">OFFSET(Roster!$B$7, MATCH(B821&amp;" "&amp;C821&amp;"*",Roster!$B$8:$B$20,0),DAY(sales[[#This Row],[date]]),1, 1)</f>
        <v>Hazel</v>
      </c>
      <c r="E821" s="2">
        <f>MONTH(sales[[#This Row],[date]])</f>
        <v>6</v>
      </c>
      <c r="F821" s="233">
        <v>46200</v>
      </c>
      <c r="G821" s="3" t="str">
        <f>VLOOKUP("*"&amp;sales[[#This Row],[Input]]&amp;"*",'Ref-List'!$A:$C,1,0)</f>
        <v>Model-Input-Ref</v>
      </c>
      <c r="H821" s="2" t="str">
        <f>VLOOKUP("*"&amp;G821&amp;"*",'Ref-List'!$A:$C,3,0)</f>
        <v>Product Line</v>
      </c>
      <c r="I821" s="8"/>
      <c r="J821" s="2">
        <v>1</v>
      </c>
      <c r="K821" s="2">
        <v>464</v>
      </c>
      <c r="L821" s="2">
        <f>sales[[#This Row],[quantity]]*sales[[#This Row],[price]]</f>
        <v>464</v>
      </c>
      <c r="M821" s="9">
        <f>sales[[#This Row],[Total Price]]*3%</f>
        <v>13.92</v>
      </c>
      <c r="N821" s="171">
        <f>sales[[#This Row],[Total Price]]*2.5%</f>
        <v>11.600000000000001</v>
      </c>
      <c r="O821" s="9">
        <f>sales[[#This Row],[Total Price]]*1.5%</f>
        <v>6.96</v>
      </c>
      <c r="Q821" s="2">
        <v>4</v>
      </c>
      <c r="R821" s="5" t="str">
        <f>_xlfn.CONCAT(sales[[#This Row],[Shop]]," ",sales[[#This Row],[Location]])</f>
        <v>SW Wing On</v>
      </c>
    </row>
    <row r="822" spans="1:18" ht="15.6" customHeight="1">
      <c r="A822" s="7">
        <v>820</v>
      </c>
      <c r="B822" s="2" t="s">
        <v>1024</v>
      </c>
      <c r="C822" s="2" t="s">
        <v>1025</v>
      </c>
      <c r="D822" s="2" t="str">
        <f ca="1">OFFSET(Roster!$B$7, MATCH(B822&amp;" "&amp;C822&amp;"*",Roster!$B$8:$B$20,0),DAY(sales[[#This Row],[date]]),1, 1)</f>
        <v>Hazel</v>
      </c>
      <c r="E822" s="2">
        <f>MONTH(sales[[#This Row],[date]])</f>
        <v>6</v>
      </c>
      <c r="F822" s="233">
        <v>46200</v>
      </c>
      <c r="G822" s="3" t="str">
        <f>VLOOKUP("*"&amp;sales[[#This Row],[Input]]&amp;"*",'Ref-List'!$A:$C,1,0)</f>
        <v>Model-Input-Ref</v>
      </c>
      <c r="H822" s="2" t="str">
        <f>VLOOKUP("*"&amp;G822&amp;"*",'Ref-List'!$A:$C,3,0)</f>
        <v>Product Line</v>
      </c>
      <c r="I822" s="8"/>
      <c r="J822" s="2">
        <v>1</v>
      </c>
      <c r="K822" s="2">
        <v>558</v>
      </c>
      <c r="L822" s="2">
        <f>sales[[#This Row],[quantity]]*sales[[#This Row],[price]]</f>
        <v>558</v>
      </c>
      <c r="M822" s="9">
        <f>sales[[#This Row],[Total Price]]*3%</f>
        <v>16.739999999999998</v>
      </c>
      <c r="N822" s="171">
        <f>sales[[#This Row],[Total Price]]*2.5%</f>
        <v>13.950000000000001</v>
      </c>
      <c r="O822" s="9">
        <f>sales[[#This Row],[Total Price]]*1.5%</f>
        <v>8.3699999999999992</v>
      </c>
      <c r="Q822" s="2">
        <v>4</v>
      </c>
      <c r="R822" s="5" t="str">
        <f>_xlfn.CONCAT(sales[[#This Row],[Shop]]," ",sales[[#This Row],[Location]])</f>
        <v>SW Wing On</v>
      </c>
    </row>
    <row r="823" spans="1:18" ht="15.6" customHeight="1">
      <c r="A823" s="7">
        <v>821</v>
      </c>
      <c r="B823" s="2" t="s">
        <v>1024</v>
      </c>
      <c r="C823" s="2" t="s">
        <v>1025</v>
      </c>
      <c r="D823" s="2" t="str">
        <f ca="1">OFFSET(Roster!$B$7, MATCH(B823&amp;" "&amp;C823&amp;"*",Roster!$B$8:$B$20,0),DAY(sales[[#This Row],[date]]),1, 1)</f>
        <v>Hazel</v>
      </c>
      <c r="E823" s="2">
        <f>MONTH(sales[[#This Row],[date]])</f>
        <v>6</v>
      </c>
      <c r="F823" s="233">
        <v>46201</v>
      </c>
      <c r="G823" s="3" t="str">
        <f>VLOOKUP("*"&amp;sales[[#This Row],[Input]]&amp;"*",'Ref-List'!$A:$C,1,0)</f>
        <v>Model-Input-Ref</v>
      </c>
      <c r="H823" s="2" t="str">
        <f>VLOOKUP("*"&amp;G823&amp;"*",'Ref-List'!$A:$C,3,0)</f>
        <v>Product Line</v>
      </c>
      <c r="I823" s="8"/>
      <c r="J823" s="2">
        <v>1</v>
      </c>
      <c r="K823" s="2">
        <v>1276</v>
      </c>
      <c r="L823" s="2">
        <f>sales[[#This Row],[quantity]]*sales[[#This Row],[price]]</f>
        <v>1276</v>
      </c>
      <c r="M823" s="9">
        <f>sales[[#This Row],[Total Price]]*3%</f>
        <v>38.28</v>
      </c>
      <c r="N823" s="171">
        <f>sales[[#This Row],[Total Price]]*2.5%</f>
        <v>31.900000000000002</v>
      </c>
      <c r="O823" s="9">
        <f>sales[[#This Row],[Total Price]]*1.5%</f>
        <v>19.14</v>
      </c>
      <c r="Q823" s="2">
        <v>4</v>
      </c>
      <c r="R823" s="5" t="str">
        <f>_xlfn.CONCAT(sales[[#This Row],[Shop]]," ",sales[[#This Row],[Location]])</f>
        <v>SW Wing On</v>
      </c>
    </row>
    <row r="824" spans="1:18" ht="15.6" customHeight="1">
      <c r="A824" s="7">
        <v>822</v>
      </c>
      <c r="B824" s="2" t="s">
        <v>1024</v>
      </c>
      <c r="C824" s="2" t="s">
        <v>1025</v>
      </c>
      <c r="D824" s="2" t="str">
        <f ca="1">OFFSET(Roster!$B$7, MATCH(B824&amp;" "&amp;C824&amp;"*",Roster!$B$8:$B$20,0),DAY(sales[[#This Row],[date]]),1, 1)</f>
        <v>Hazel</v>
      </c>
      <c r="E824" s="2">
        <f>MONTH(sales[[#This Row],[date]])</f>
        <v>6</v>
      </c>
      <c r="F824" s="233">
        <v>46201</v>
      </c>
      <c r="G824" s="3" t="str">
        <f>VLOOKUP("*"&amp;sales[[#This Row],[Input]]&amp;"*",'Ref-List'!$A:$C,1,0)</f>
        <v>Model-Input-Ref</v>
      </c>
      <c r="H824" s="2" t="str">
        <f>VLOOKUP("*"&amp;G824&amp;"*",'Ref-List'!$A:$C,3,0)</f>
        <v>Product Line</v>
      </c>
      <c r="I824" s="8"/>
      <c r="J824" s="2">
        <v>1</v>
      </c>
      <c r="K824" s="2">
        <v>1196</v>
      </c>
      <c r="L824" s="2">
        <f>sales[[#This Row],[quantity]]*sales[[#This Row],[price]]</f>
        <v>1196</v>
      </c>
      <c r="M824" s="9">
        <f>sales[[#This Row],[Total Price]]*3%</f>
        <v>35.879999999999995</v>
      </c>
      <c r="N824" s="171">
        <f>sales[[#This Row],[Total Price]]*2.5%</f>
        <v>29.900000000000002</v>
      </c>
      <c r="O824" s="9">
        <f>sales[[#This Row],[Total Price]]*1.5%</f>
        <v>17.939999999999998</v>
      </c>
      <c r="Q824" s="2">
        <v>4</v>
      </c>
      <c r="R824" s="5" t="str">
        <f>_xlfn.CONCAT(sales[[#This Row],[Shop]]," ",sales[[#This Row],[Location]])</f>
        <v>SW Wing On</v>
      </c>
    </row>
    <row r="825" spans="1:18" ht="15.6" customHeight="1">
      <c r="A825" s="7">
        <v>823</v>
      </c>
      <c r="B825" s="2" t="s">
        <v>1024</v>
      </c>
      <c r="C825" s="2" t="s">
        <v>1025</v>
      </c>
      <c r="D825" s="2" t="str">
        <f ca="1">OFFSET(Roster!$B$7, MATCH(B825&amp;" "&amp;C825&amp;"*",Roster!$B$8:$B$20,0),DAY(sales[[#This Row],[date]]),1, 1)</f>
        <v>Hazel</v>
      </c>
      <c r="E825" s="2">
        <f>MONTH(sales[[#This Row],[date]])</f>
        <v>6</v>
      </c>
      <c r="F825" s="233">
        <v>46201</v>
      </c>
      <c r="G825" s="3" t="str">
        <f>VLOOKUP("*"&amp;sales[[#This Row],[Input]]&amp;"*",'Ref-List'!$A:$C,1,0)</f>
        <v>Model-Input-Ref</v>
      </c>
      <c r="H825" s="2" t="str">
        <f>VLOOKUP("*"&amp;G825&amp;"*",'Ref-List'!$A:$C,3,0)</f>
        <v>Product Line</v>
      </c>
      <c r="I825" s="8"/>
      <c r="J825" s="2">
        <v>1</v>
      </c>
      <c r="K825" s="2">
        <v>1868</v>
      </c>
      <c r="L825" s="2">
        <f>sales[[#This Row],[quantity]]*sales[[#This Row],[price]]</f>
        <v>1868</v>
      </c>
      <c r="M825" s="9">
        <f>sales[[#This Row],[Total Price]]*3%</f>
        <v>56.04</v>
      </c>
      <c r="N825" s="171">
        <f>sales[[#This Row],[Total Price]]*2.5%</f>
        <v>46.7</v>
      </c>
      <c r="O825" s="9">
        <f>sales[[#This Row],[Total Price]]*1.5%</f>
        <v>28.02</v>
      </c>
      <c r="Q825" s="2">
        <v>4</v>
      </c>
      <c r="R825" s="5" t="str">
        <f>_xlfn.CONCAT(sales[[#This Row],[Shop]]," ",sales[[#This Row],[Location]])</f>
        <v>SW Wing On</v>
      </c>
    </row>
    <row r="826" spans="1:18" ht="15.6" customHeight="1">
      <c r="A826" s="7">
        <v>824</v>
      </c>
      <c r="B826" s="2" t="s">
        <v>1024</v>
      </c>
      <c r="C826" s="2" t="s">
        <v>1025</v>
      </c>
      <c r="D826" s="2" t="str">
        <f ca="1">OFFSET(Roster!$B$7, MATCH(B826&amp;" "&amp;C826&amp;"*",Roster!$B$8:$B$20,0),DAY(sales[[#This Row],[date]]),1, 1)</f>
        <v>Hazel</v>
      </c>
      <c r="E826" s="2">
        <f>MONTH(sales[[#This Row],[date]])</f>
        <v>6</v>
      </c>
      <c r="F826" s="233">
        <v>46201</v>
      </c>
      <c r="G826" s="3" t="str">
        <f>VLOOKUP("*"&amp;sales[[#This Row],[Input]]&amp;"*",'Ref-List'!$A:$C,1,0)</f>
        <v>Model-Input-Ref</v>
      </c>
      <c r="H826" s="2" t="str">
        <f>VLOOKUP("*"&amp;G826&amp;"*",'Ref-List'!$A:$C,3,0)</f>
        <v>Product Line</v>
      </c>
      <c r="I826" s="8"/>
      <c r="J826" s="2">
        <v>1</v>
      </c>
      <c r="K826" s="2">
        <v>3588</v>
      </c>
      <c r="L826" s="2">
        <f>sales[[#This Row],[quantity]]*sales[[#This Row],[price]]</f>
        <v>3588</v>
      </c>
      <c r="M826" s="9">
        <f>sales[[#This Row],[Total Price]]*3%</f>
        <v>107.64</v>
      </c>
      <c r="N826" s="171">
        <f>sales[[#This Row],[Total Price]]*2.5%</f>
        <v>89.7</v>
      </c>
      <c r="O826" s="9">
        <f>sales[[#This Row],[Total Price]]*1.5%</f>
        <v>53.82</v>
      </c>
      <c r="Q826" s="2">
        <v>4</v>
      </c>
      <c r="R826" s="5" t="str">
        <f>_xlfn.CONCAT(sales[[#This Row],[Shop]]," ",sales[[#This Row],[Location]])</f>
        <v>SW Wing On</v>
      </c>
    </row>
    <row r="827" spans="1:18" ht="15.6" customHeight="1">
      <c r="A827" s="7">
        <v>825</v>
      </c>
      <c r="B827" s="2" t="s">
        <v>1024</v>
      </c>
      <c r="C827" s="2" t="s">
        <v>1025</v>
      </c>
      <c r="D827" s="2" t="str">
        <f ca="1">OFFSET(Roster!$B$7, MATCH(B827&amp;" "&amp;C827&amp;"*",Roster!$B$8:$B$20,0),DAY(sales[[#This Row],[date]]),1, 1)</f>
        <v>Hazel</v>
      </c>
      <c r="E827" s="2">
        <f>MONTH(sales[[#This Row],[date]])</f>
        <v>6</v>
      </c>
      <c r="F827" s="233">
        <v>46202</v>
      </c>
      <c r="G827" s="3" t="str">
        <f>VLOOKUP("*"&amp;sales[[#This Row],[Input]]&amp;"*",'Ref-List'!$A:$C,1,0)</f>
        <v>Model-Input-Ref</v>
      </c>
      <c r="H827" s="2" t="str">
        <f>VLOOKUP("*"&amp;G827&amp;"*",'Ref-List'!$A:$C,3,0)</f>
        <v>Product Line</v>
      </c>
      <c r="I827" s="5"/>
      <c r="J827" s="2">
        <v>1</v>
      </c>
      <c r="K827" s="2">
        <v>2552</v>
      </c>
      <c r="L827" s="2">
        <f>sales[[#This Row],[quantity]]*sales[[#This Row],[price]]</f>
        <v>2552</v>
      </c>
      <c r="M827" s="9">
        <f>sales[[#This Row],[Total Price]]*3%</f>
        <v>76.56</v>
      </c>
      <c r="N827" s="171">
        <f>sales[[#This Row],[Total Price]]*2.5%</f>
        <v>63.800000000000004</v>
      </c>
      <c r="O827" s="9">
        <f>sales[[#This Row],[Total Price]]*1.5%</f>
        <v>38.28</v>
      </c>
      <c r="Q827" s="2">
        <v>4</v>
      </c>
      <c r="R827" s="5" t="str">
        <f>_xlfn.CONCAT(sales[[#This Row],[Shop]]," ",sales[[#This Row],[Location]])</f>
        <v>SW Wing On</v>
      </c>
    </row>
    <row r="828" spans="1:18" ht="15.6" customHeight="1">
      <c r="A828" s="7">
        <v>826</v>
      </c>
      <c r="B828" s="2" t="s">
        <v>1024</v>
      </c>
      <c r="C828" s="2" t="s">
        <v>1025</v>
      </c>
      <c r="D828" s="2" t="str">
        <f ca="1">OFFSET(Roster!$B$7, MATCH(B828&amp;" "&amp;C828&amp;"*",Roster!$B$8:$B$20,0),DAY(sales[[#This Row],[date]]),1, 1)</f>
        <v>Hazel</v>
      </c>
      <c r="E828" s="2">
        <f>MONTH(sales[[#This Row],[date]])</f>
        <v>6</v>
      </c>
      <c r="F828" s="233">
        <v>46202</v>
      </c>
      <c r="G828" s="3" t="str">
        <f>VLOOKUP("*"&amp;sales[[#This Row],[Input]]&amp;"*",'Ref-List'!$A:$C,1,0)</f>
        <v>Model-Input-Ref</v>
      </c>
      <c r="H828" s="2" t="str">
        <f>VLOOKUP("*"&amp;G828&amp;"*",'Ref-List'!$A:$C,3,0)</f>
        <v>Product Line</v>
      </c>
      <c r="I828" s="8"/>
      <c r="J828" s="2">
        <v>1</v>
      </c>
      <c r="K828" s="2">
        <v>798</v>
      </c>
      <c r="L828" s="2">
        <f>sales[[#This Row],[quantity]]*sales[[#This Row],[price]]</f>
        <v>798</v>
      </c>
      <c r="M828" s="9">
        <f>sales[[#This Row],[Total Price]]*3%</f>
        <v>23.939999999999998</v>
      </c>
      <c r="N828" s="171">
        <f>sales[[#This Row],[Total Price]]*2.5%</f>
        <v>19.950000000000003</v>
      </c>
      <c r="O828" s="9">
        <f>sales[[#This Row],[Total Price]]*1.5%</f>
        <v>11.969999999999999</v>
      </c>
      <c r="Q828" s="2">
        <v>4</v>
      </c>
      <c r="R828" s="5" t="str">
        <f>_xlfn.CONCAT(sales[[#This Row],[Shop]]," ",sales[[#This Row],[Location]])</f>
        <v>SW Wing On</v>
      </c>
    </row>
    <row r="829" spans="1:18" ht="15.6" customHeight="1">
      <c r="A829" s="7">
        <v>827</v>
      </c>
      <c r="B829" s="2" t="s">
        <v>1024</v>
      </c>
      <c r="C829" s="2" t="s">
        <v>1025</v>
      </c>
      <c r="D829" s="2" t="str">
        <f ca="1">OFFSET(Roster!$B$7, MATCH(B829&amp;" "&amp;C829&amp;"*",Roster!$B$8:$B$20,0),DAY(sales[[#This Row],[date]]),1, 1)</f>
        <v>Hazel</v>
      </c>
      <c r="E829" s="2">
        <f>MONTH(sales[[#This Row],[date]])</f>
        <v>6</v>
      </c>
      <c r="F829" s="233">
        <v>46202</v>
      </c>
      <c r="G829" s="3" t="str">
        <f>VLOOKUP("*"&amp;sales[[#This Row],[Input]]&amp;"*",'Ref-List'!$A:$C,1,0)</f>
        <v>Model-Input-Ref</v>
      </c>
      <c r="H829" s="2" t="str">
        <f>VLOOKUP("*"&amp;G829&amp;"*",'Ref-List'!$A:$C,3,0)</f>
        <v>Product Line</v>
      </c>
      <c r="I829" s="8"/>
      <c r="J829" s="2">
        <v>1</v>
      </c>
      <c r="K829" s="2">
        <v>996</v>
      </c>
      <c r="L829" s="2">
        <f>sales[[#This Row],[quantity]]*sales[[#This Row],[price]]</f>
        <v>996</v>
      </c>
      <c r="M829" s="9">
        <f>sales[[#This Row],[Total Price]]*3%</f>
        <v>29.88</v>
      </c>
      <c r="N829" s="171">
        <f>sales[[#This Row],[Total Price]]*2.5%</f>
        <v>24.900000000000002</v>
      </c>
      <c r="O829" s="9">
        <f>sales[[#This Row],[Total Price]]*1.5%</f>
        <v>14.94</v>
      </c>
      <c r="Q829" s="2">
        <v>4</v>
      </c>
      <c r="R829" s="5" t="str">
        <f>_xlfn.CONCAT(sales[[#This Row],[Shop]]," ",sales[[#This Row],[Location]])</f>
        <v>SW Wing On</v>
      </c>
    </row>
    <row r="830" spans="1:18" ht="15.6" customHeight="1">
      <c r="A830" s="7">
        <v>828</v>
      </c>
      <c r="B830" s="2" t="s">
        <v>1024</v>
      </c>
      <c r="C830" s="2" t="s">
        <v>1025</v>
      </c>
      <c r="D830" s="2" t="str">
        <f ca="1">OFFSET(Roster!$B$7, MATCH(B830&amp;" "&amp;C830&amp;"*",Roster!$B$8:$B$20,0),DAY(sales[[#This Row],[date]]),1, 1)</f>
        <v>Hazel</v>
      </c>
      <c r="E830" s="2">
        <f>MONTH(sales[[#This Row],[date]])</f>
        <v>6</v>
      </c>
      <c r="F830" s="233">
        <v>46202</v>
      </c>
      <c r="G830" s="3" t="str">
        <f>VLOOKUP("*"&amp;sales[[#This Row],[Input]]&amp;"*",'Ref-List'!$A:$C,1,0)</f>
        <v>Model-Input-Ref</v>
      </c>
      <c r="H830" s="2" t="str">
        <f>VLOOKUP("*"&amp;G830&amp;"*",'Ref-List'!$A:$C,3,0)</f>
        <v>Product Line</v>
      </c>
      <c r="I830" s="8"/>
      <c r="J830" s="2">
        <v>1</v>
      </c>
      <c r="K830" s="2">
        <v>598</v>
      </c>
      <c r="L830" s="2">
        <f>sales[[#This Row],[quantity]]*sales[[#This Row],[price]]</f>
        <v>598</v>
      </c>
      <c r="M830" s="9">
        <f>sales[[#This Row],[Total Price]]*3%</f>
        <v>17.939999999999998</v>
      </c>
      <c r="N830" s="171">
        <f>sales[[#This Row],[Total Price]]*2.5%</f>
        <v>14.950000000000001</v>
      </c>
      <c r="O830" s="9">
        <f>sales[[#This Row],[Total Price]]*1.5%</f>
        <v>8.9699999999999989</v>
      </c>
      <c r="Q830" s="2">
        <v>4</v>
      </c>
      <c r="R830" s="5" t="str">
        <f>_xlfn.CONCAT(sales[[#This Row],[Shop]]," ",sales[[#This Row],[Location]])</f>
        <v>SW Wing On</v>
      </c>
    </row>
    <row r="831" spans="1:18" ht="15.6" customHeight="1">
      <c r="A831" s="7">
        <v>829</v>
      </c>
      <c r="B831" s="2" t="s">
        <v>1024</v>
      </c>
      <c r="C831" s="2" t="s">
        <v>1025</v>
      </c>
      <c r="D831" s="2" t="str">
        <f ca="1">OFFSET(Roster!$B$7, MATCH(B831&amp;" "&amp;C831&amp;"*",Roster!$B$8:$B$20,0),DAY(sales[[#This Row],[date]]),1, 1)</f>
        <v>Hazel</v>
      </c>
      <c r="E831" s="2">
        <f>MONTH(sales[[#This Row],[date]])</f>
        <v>6</v>
      </c>
      <c r="F831" s="233">
        <v>46202</v>
      </c>
      <c r="G831" s="3" t="str">
        <f>VLOOKUP("*"&amp;sales[[#This Row],[Input]]&amp;"*",'Ref-List'!$A:$C,1,0)</f>
        <v>Model-Input-Ref</v>
      </c>
      <c r="H831" s="2" t="str">
        <f>VLOOKUP("*"&amp;G831&amp;"*",'Ref-List'!$A:$C,3,0)</f>
        <v>Product Line</v>
      </c>
      <c r="I831" s="8"/>
      <c r="J831" s="2">
        <v>1</v>
      </c>
      <c r="K831" s="2">
        <v>2688</v>
      </c>
      <c r="L831" s="2">
        <f>sales[[#This Row],[quantity]]*sales[[#This Row],[price]]</f>
        <v>2688</v>
      </c>
      <c r="M831" s="9">
        <f>sales[[#This Row],[Total Price]]*3%</f>
        <v>80.64</v>
      </c>
      <c r="N831" s="171">
        <f>sales[[#This Row],[Total Price]]*2.5%</f>
        <v>67.2</v>
      </c>
      <c r="O831" s="9">
        <f>sales[[#This Row],[Total Price]]*1.5%</f>
        <v>40.32</v>
      </c>
      <c r="Q831" s="2">
        <v>4</v>
      </c>
      <c r="R831" s="5" t="str">
        <f>_xlfn.CONCAT(sales[[#This Row],[Shop]]," ",sales[[#This Row],[Location]])</f>
        <v>SW Wing On</v>
      </c>
    </row>
    <row r="832" spans="1:18" ht="15.6" customHeight="1">
      <c r="A832" s="7">
        <v>830</v>
      </c>
      <c r="B832" s="2" t="s">
        <v>1024</v>
      </c>
      <c r="C832" s="2" t="s">
        <v>1025</v>
      </c>
      <c r="D832" s="2" t="str">
        <f ca="1">OFFSET(Roster!$B$7, MATCH(B832&amp;" "&amp;C832&amp;"*",Roster!$B$8:$B$20,0),DAY(sales[[#This Row],[date]]),1, 1)</f>
        <v>Hazel</v>
      </c>
      <c r="E832" s="2">
        <f>MONTH(sales[[#This Row],[date]])</f>
        <v>6</v>
      </c>
      <c r="F832" s="233">
        <v>46202</v>
      </c>
      <c r="G832" s="3" t="str">
        <f>VLOOKUP("*"&amp;sales[[#This Row],[Input]]&amp;"*",'Ref-List'!$A:$C,1,0)</f>
        <v>Model-Input-Ref</v>
      </c>
      <c r="H832" s="2" t="str">
        <f>VLOOKUP("*"&amp;G832&amp;"*",'Ref-List'!$A:$C,3,0)</f>
        <v>Product Line</v>
      </c>
      <c r="I832" s="8"/>
      <c r="J832" s="2">
        <v>1</v>
      </c>
      <c r="K832" s="2">
        <v>868</v>
      </c>
      <c r="L832" s="2">
        <f>sales[[#This Row],[quantity]]*sales[[#This Row],[price]]</f>
        <v>868</v>
      </c>
      <c r="M832" s="9">
        <f>sales[[#This Row],[Total Price]]*3%</f>
        <v>26.04</v>
      </c>
      <c r="N832" s="171">
        <f>sales[[#This Row],[Total Price]]*2.5%</f>
        <v>21.700000000000003</v>
      </c>
      <c r="O832" s="9">
        <f>sales[[#This Row],[Total Price]]*1.5%</f>
        <v>13.02</v>
      </c>
      <c r="Q832" s="2">
        <v>4</v>
      </c>
      <c r="R832" s="5" t="str">
        <f>_xlfn.CONCAT(sales[[#This Row],[Shop]]," ",sales[[#This Row],[Location]])</f>
        <v>SW Wing On</v>
      </c>
    </row>
    <row r="833" spans="1:18" ht="15.6" customHeight="1">
      <c r="A833" s="7">
        <v>831</v>
      </c>
      <c r="B833" s="2" t="s">
        <v>1024</v>
      </c>
      <c r="C833" s="2" t="s">
        <v>1025</v>
      </c>
      <c r="D833" s="2" t="str">
        <f ca="1">OFFSET(Roster!$B$7, MATCH(B833&amp;" "&amp;C833&amp;"*",Roster!$B$8:$B$20,0),DAY(sales[[#This Row],[date]]),1, 1)</f>
        <v>Carol</v>
      </c>
      <c r="E833" s="2">
        <f>MONTH(sales[[#This Row],[date]])</f>
        <v>6</v>
      </c>
      <c r="F833" s="233">
        <v>46176</v>
      </c>
      <c r="G833" s="3" t="str">
        <f>VLOOKUP("*"&amp;sales[[#This Row],[Input]]&amp;"*",'Ref-List'!$A:$C,1,0)</f>
        <v>Model-Input-Ref</v>
      </c>
      <c r="H833" s="2" t="str">
        <f>VLOOKUP("*"&amp;G833&amp;"*",'Ref-List'!$A:$C,3,0)</f>
        <v>Product Line</v>
      </c>
      <c r="I833" s="8"/>
      <c r="J833" s="2">
        <v>1</v>
      </c>
      <c r="K833" s="2">
        <v>2788</v>
      </c>
      <c r="L833" s="2">
        <f>sales[[#This Row],[quantity]]*sales[[#This Row],[price]]</f>
        <v>2788</v>
      </c>
      <c r="M833" s="9">
        <f>sales[[#This Row],[Total Price]]*3%</f>
        <v>83.64</v>
      </c>
      <c r="N833" s="171">
        <f>sales[[#This Row],[Total Price]]*2.5%</f>
        <v>69.7</v>
      </c>
      <c r="O833" s="9">
        <f>sales[[#This Row],[Total Price]]*1.5%</f>
        <v>41.82</v>
      </c>
      <c r="R833" s="5" t="str">
        <f>_xlfn.CONCAT(sales[[#This Row],[Shop]]," ",sales[[#This Row],[Location]])</f>
        <v>SW Wing On</v>
      </c>
    </row>
    <row r="834" spans="1:18" ht="15.6" customHeight="1">
      <c r="A834" s="7">
        <v>832</v>
      </c>
      <c r="B834" s="2" t="s">
        <v>1024</v>
      </c>
      <c r="C834" s="2" t="s">
        <v>1025</v>
      </c>
      <c r="D834" s="2" t="str">
        <f ca="1">OFFSET(Roster!$B$7, MATCH(B834&amp;" "&amp;C834&amp;"*",Roster!$B$8:$B$20,0),DAY(sales[[#This Row],[date]]),1, 1)</f>
        <v>Carol</v>
      </c>
      <c r="E834" s="2">
        <f>MONTH(sales[[#This Row],[date]])</f>
        <v>6</v>
      </c>
      <c r="F834" s="233">
        <v>46191</v>
      </c>
      <c r="G834" s="3" t="str">
        <f>VLOOKUP("*"&amp;sales[[#This Row],[Input]]&amp;"*",'Ref-List'!$A:$C,1,0)</f>
        <v>Model-Input-Ref</v>
      </c>
      <c r="H834" s="2" t="str">
        <f>VLOOKUP("*"&amp;G834&amp;"*",'Ref-List'!$A:$C,3,0)</f>
        <v>Product Line</v>
      </c>
      <c r="I834" s="8"/>
      <c r="J834" s="2">
        <v>1</v>
      </c>
      <c r="K834" s="2">
        <v>798</v>
      </c>
      <c r="L834" s="2">
        <f>sales[[#This Row],[quantity]]*sales[[#This Row],[price]]</f>
        <v>798</v>
      </c>
      <c r="M834" s="9">
        <f>sales[[#This Row],[Total Price]]*3%</f>
        <v>23.939999999999998</v>
      </c>
      <c r="N834" s="171">
        <f>sales[[#This Row],[Total Price]]*2.5%</f>
        <v>19.950000000000003</v>
      </c>
      <c r="O834" s="9">
        <f>sales[[#This Row],[Total Price]]*1.5%</f>
        <v>11.969999999999999</v>
      </c>
      <c r="R834" s="5" t="str">
        <f>_xlfn.CONCAT(sales[[#This Row],[Shop]]," ",sales[[#This Row],[Location]])</f>
        <v>SW Wing On</v>
      </c>
    </row>
    <row r="835" spans="1:18" ht="15.6" customHeight="1">
      <c r="A835" s="7">
        <v>833</v>
      </c>
      <c r="B835" s="2" t="s">
        <v>1024</v>
      </c>
      <c r="C835" s="2" t="s">
        <v>1025</v>
      </c>
      <c r="D835" s="2" t="str">
        <f ca="1">OFFSET(Roster!$B$7, MATCH(B835&amp;" "&amp;C835&amp;"*",Roster!$B$8:$B$20,0),DAY(sales[[#This Row],[date]]),1, 1)</f>
        <v>Carol</v>
      </c>
      <c r="E835" s="2">
        <f>MONTH(sales[[#This Row],[date]])</f>
        <v>6</v>
      </c>
      <c r="F835" s="233">
        <v>46192</v>
      </c>
      <c r="G835" s="3" t="str">
        <f>VLOOKUP("*"&amp;sales[[#This Row],[Input]]&amp;"*",'Ref-List'!$A:$C,1,0)</f>
        <v>Model-Input-Ref</v>
      </c>
      <c r="H835" s="2" t="str">
        <f>VLOOKUP("*"&amp;G835&amp;"*",'Ref-List'!$A:$C,3,0)</f>
        <v>Product Line</v>
      </c>
      <c r="I835" s="8"/>
      <c r="J835" s="2">
        <v>1</v>
      </c>
      <c r="K835" s="2">
        <v>150</v>
      </c>
      <c r="L835" s="2">
        <f>sales[[#This Row],[quantity]]*sales[[#This Row],[price]]</f>
        <v>150</v>
      </c>
      <c r="M835" s="9">
        <f>sales[[#This Row],[Total Price]]*3%</f>
        <v>4.5</v>
      </c>
      <c r="N835" s="171">
        <f>sales[[#This Row],[Total Price]]*2.5%</f>
        <v>3.75</v>
      </c>
      <c r="O835" s="9">
        <f>sales[[#This Row],[Total Price]]*1.5%</f>
        <v>2.25</v>
      </c>
      <c r="R835" s="5" t="str">
        <f>_xlfn.CONCAT(sales[[#This Row],[Shop]]," ",sales[[#This Row],[Location]])</f>
        <v>SW Wing On</v>
      </c>
    </row>
    <row r="836" spans="1:18" ht="15.75" customHeight="1">
      <c r="A836" s="7">
        <v>834</v>
      </c>
      <c r="B836" s="2" t="s">
        <v>1024</v>
      </c>
      <c r="C836" s="2" t="s">
        <v>1025</v>
      </c>
      <c r="D836" s="2" t="str">
        <f ca="1">OFFSET(Roster!$B$7, MATCH(B836&amp;" "&amp;C836&amp;"*",Roster!$B$8:$B$20,0),DAY(sales[[#This Row],[date]]),1, 1)</f>
        <v>Carol</v>
      </c>
      <c r="E836" s="2">
        <f>MONTH(sales[[#This Row],[date]])</f>
        <v>6</v>
      </c>
      <c r="F836" s="233">
        <v>46198</v>
      </c>
      <c r="G836" s="3" t="str">
        <f>VLOOKUP("*"&amp;sales[[#This Row],[Input]]&amp;"*",'Ref-List'!$A:$C,1,0)</f>
        <v>Model-Input-Ref</v>
      </c>
      <c r="H836" s="2" t="str">
        <f>VLOOKUP("*"&amp;G836&amp;"*",'Ref-List'!$A:$C,3,0)</f>
        <v>Product Line</v>
      </c>
      <c r="I836" s="8"/>
      <c r="J836" s="2">
        <v>1</v>
      </c>
      <c r="K836" s="2">
        <v>638</v>
      </c>
      <c r="L836" s="2">
        <f>sales[[#This Row],[quantity]]*sales[[#This Row],[price]]</f>
        <v>638</v>
      </c>
      <c r="M836" s="9">
        <f>sales[[#This Row],[Total Price]]*3%</f>
        <v>19.14</v>
      </c>
      <c r="N836" s="171">
        <f>sales[[#This Row],[Total Price]]*2.5%</f>
        <v>15.950000000000001</v>
      </c>
      <c r="O836" s="9">
        <f>sales[[#This Row],[Total Price]]*1.5%</f>
        <v>9.57</v>
      </c>
      <c r="R836" s="5" t="str">
        <f>_xlfn.CONCAT(sales[[#This Row],[Shop]]," ",sales[[#This Row],[Location]])</f>
        <v>SW Wing On</v>
      </c>
    </row>
    <row r="837" spans="1:18" ht="15.75" customHeight="1">
      <c r="A837" s="7">
        <v>835</v>
      </c>
      <c r="B837" s="2" t="s">
        <v>1024</v>
      </c>
      <c r="C837" s="2" t="s">
        <v>1025</v>
      </c>
      <c r="D837" s="2" t="str">
        <f ca="1">OFFSET(Roster!$B$7, MATCH(B837&amp;" "&amp;C837&amp;"*",Roster!$B$8:$B$20,0),DAY(sales[[#This Row],[date]]),1, 1)</f>
        <v>Carol</v>
      </c>
      <c r="E837" s="2">
        <f>MONTH(sales[[#This Row],[date]])</f>
        <v>6</v>
      </c>
      <c r="F837" s="233">
        <v>46198</v>
      </c>
      <c r="G837" s="3" t="str">
        <f>VLOOKUP("*"&amp;sales[[#This Row],[Input]]&amp;"*",'Ref-List'!$A:$C,1,0)</f>
        <v>Model-Input-Ref</v>
      </c>
      <c r="H837" s="2" t="str">
        <f>VLOOKUP("*"&amp;G837&amp;"*",'Ref-List'!$A:$C,3,0)</f>
        <v>Product Line</v>
      </c>
      <c r="I837" s="8"/>
      <c r="J837" s="2">
        <v>1</v>
      </c>
      <c r="K837" s="2">
        <v>638</v>
      </c>
      <c r="L837" s="2">
        <f>sales[[#This Row],[quantity]]*sales[[#This Row],[price]]</f>
        <v>638</v>
      </c>
      <c r="M837" s="9">
        <f>sales[[#This Row],[Total Price]]*3%</f>
        <v>19.14</v>
      </c>
      <c r="N837" s="171">
        <f>sales[[#This Row],[Total Price]]*2.5%</f>
        <v>15.950000000000001</v>
      </c>
      <c r="O837" s="9">
        <f>sales[[#This Row],[Total Price]]*1.5%</f>
        <v>9.57</v>
      </c>
      <c r="R837" s="5" t="str">
        <f>_xlfn.CONCAT(sales[[#This Row],[Shop]]," ",sales[[#This Row],[Location]])</f>
        <v>SW Wing On</v>
      </c>
    </row>
    <row r="838" spans="1:18" ht="15.75" customHeight="1">
      <c r="A838" s="7">
        <v>836</v>
      </c>
      <c r="B838" s="2" t="s">
        <v>1024</v>
      </c>
      <c r="C838" s="2" t="s">
        <v>1025</v>
      </c>
      <c r="D838" s="2" t="str">
        <f ca="1">OFFSET(Roster!$B$7, MATCH(B838&amp;" "&amp;C838&amp;"*",Roster!$B$8:$B$20,0),DAY(sales[[#This Row],[date]]),1, 1)</f>
        <v>Carol</v>
      </c>
      <c r="E838" s="2">
        <f>MONTH(sales[[#This Row],[date]])</f>
        <v>6</v>
      </c>
      <c r="F838" s="233">
        <v>46198</v>
      </c>
      <c r="G838" s="3" t="str">
        <f>VLOOKUP("*"&amp;sales[[#This Row],[Input]]&amp;"*",'Ref-List'!$A:$C,1,0)</f>
        <v>Model-Input-Ref</v>
      </c>
      <c r="H838" s="2" t="str">
        <f>VLOOKUP("*"&amp;G838&amp;"*",'Ref-List'!$A:$C,3,0)</f>
        <v>Product Line</v>
      </c>
      <c r="I838" s="5"/>
      <c r="J838" s="2">
        <v>1</v>
      </c>
      <c r="K838" s="2">
        <v>798</v>
      </c>
      <c r="L838" s="2">
        <f>sales[[#This Row],[quantity]]*sales[[#This Row],[price]]</f>
        <v>798</v>
      </c>
      <c r="M838" s="9">
        <f>sales[[#This Row],[Total Price]]*3%</f>
        <v>23.939999999999998</v>
      </c>
      <c r="N838" s="171">
        <f>sales[[#This Row],[Total Price]]*2.5%</f>
        <v>19.950000000000003</v>
      </c>
      <c r="O838" s="9">
        <f>sales[[#This Row],[Total Price]]*1.5%</f>
        <v>11.969999999999999</v>
      </c>
      <c r="R838" s="5" t="str">
        <f>_xlfn.CONCAT(sales[[#This Row],[Shop]]," ",sales[[#This Row],[Location]])</f>
        <v>SW Wing On</v>
      </c>
    </row>
    <row r="839" spans="1:18" ht="15.75" customHeight="1">
      <c r="A839" s="7">
        <v>837</v>
      </c>
      <c r="B839" s="2" t="s">
        <v>1024</v>
      </c>
      <c r="C839" s="2" t="s">
        <v>1025</v>
      </c>
      <c r="D839" s="2" t="str">
        <f ca="1">OFFSET(Roster!$B$7, MATCH(B839&amp;" "&amp;C839&amp;"*",Roster!$B$8:$B$20,0),DAY(sales[[#This Row],[date]]),1, 1)</f>
        <v>Carol</v>
      </c>
      <c r="E839" s="2">
        <f>MONTH(sales[[#This Row],[date]])</f>
        <v>6</v>
      </c>
      <c r="F839" s="233">
        <v>46198</v>
      </c>
      <c r="G839" s="3" t="str">
        <f>VLOOKUP("*"&amp;sales[[#This Row],[Input]]&amp;"*",'Ref-List'!$A:$C,1,0)</f>
        <v>Model-Input-Ref</v>
      </c>
      <c r="H839" s="2" t="str">
        <f>VLOOKUP("*"&amp;G839&amp;"*",'Ref-List'!$A:$C,3,0)</f>
        <v>Product Line</v>
      </c>
      <c r="I839" s="5"/>
      <c r="J839" s="2">
        <v>1</v>
      </c>
      <c r="K839" s="2">
        <v>568</v>
      </c>
      <c r="L839" s="2">
        <f>sales[[#This Row],[quantity]]*sales[[#This Row],[price]]</f>
        <v>568</v>
      </c>
      <c r="M839" s="9">
        <f>sales[[#This Row],[Total Price]]*3%</f>
        <v>17.04</v>
      </c>
      <c r="N839" s="171">
        <f>sales[[#This Row],[Total Price]]*2.5%</f>
        <v>14.200000000000001</v>
      </c>
      <c r="O839" s="9">
        <f>sales[[#This Row],[Total Price]]*1.5%</f>
        <v>8.52</v>
      </c>
      <c r="R839" s="5" t="str">
        <f>_xlfn.CONCAT(sales[[#This Row],[Shop]]," ",sales[[#This Row],[Location]])</f>
        <v>SW Wing On</v>
      </c>
    </row>
    <row r="840" spans="1:18" ht="15.6" customHeight="1">
      <c r="A840" s="7">
        <v>838</v>
      </c>
      <c r="B840" s="2" t="s">
        <v>1024</v>
      </c>
      <c r="C840" s="2" t="s">
        <v>1025</v>
      </c>
      <c r="D840" s="2" t="str">
        <f ca="1">OFFSET(Roster!$B$7, MATCH(B840&amp;" "&amp;C840&amp;"*",Roster!$B$8:$B$20,0),DAY(sales[[#This Row],[date]]),1, 1)</f>
        <v>Carol</v>
      </c>
      <c r="E840" s="2">
        <f>MONTH(sales[[#This Row],[date]])</f>
        <v>6</v>
      </c>
      <c r="F840" s="233">
        <v>46198</v>
      </c>
      <c r="G840" s="3" t="str">
        <f>VLOOKUP("*"&amp;sales[[#This Row],[Input]]&amp;"*",'Ref-List'!$A:$C,1,0)</f>
        <v>Model-Input-Ref</v>
      </c>
      <c r="H840" s="2" t="str">
        <f>VLOOKUP("*"&amp;G840&amp;"*",'Ref-List'!$A:$C,3,0)</f>
        <v>Product Line</v>
      </c>
      <c r="J840" s="2">
        <v>1</v>
      </c>
      <c r="K840" s="2">
        <v>798</v>
      </c>
      <c r="L840" s="2">
        <f>sales[[#This Row],[quantity]]*sales[[#This Row],[price]]</f>
        <v>798</v>
      </c>
      <c r="M840" s="9">
        <f>sales[[#This Row],[Total Price]]*3%</f>
        <v>23.939999999999998</v>
      </c>
      <c r="N840" s="171">
        <f>sales[[#This Row],[Total Price]]*2.5%</f>
        <v>19.950000000000003</v>
      </c>
      <c r="O840" s="9">
        <f>sales[[#This Row],[Total Price]]*1.5%</f>
        <v>11.969999999999999</v>
      </c>
      <c r="R840" s="5" t="str">
        <f>_xlfn.CONCAT(sales[[#This Row],[Shop]]," ",sales[[#This Row],[Location]])</f>
        <v>SW Wing On</v>
      </c>
    </row>
    <row r="841" spans="1:18" ht="15.6" customHeight="1">
      <c r="A841" s="7">
        <v>839</v>
      </c>
      <c r="B841" s="2" t="s">
        <v>1024</v>
      </c>
      <c r="C841" s="2" t="s">
        <v>1025</v>
      </c>
      <c r="D841" s="2" t="str">
        <f ca="1">OFFSET(Roster!$B$7, MATCH(B841&amp;" "&amp;C841&amp;"*",Roster!$B$8:$B$20,0),DAY(sales[[#This Row],[date]]),1, 1)</f>
        <v>Carol</v>
      </c>
      <c r="E841" s="2">
        <f>MONTH(sales[[#This Row],[date]])</f>
        <v>6</v>
      </c>
      <c r="F841" s="233">
        <v>46198</v>
      </c>
      <c r="G841" s="3" t="str">
        <f>VLOOKUP("*"&amp;sales[[#This Row],[Input]]&amp;"*",'Ref-List'!$A:$C,1,0)</f>
        <v>Model-Input-Ref</v>
      </c>
      <c r="H841" s="2" t="str">
        <f>VLOOKUP("*"&amp;G841&amp;"*",'Ref-List'!$A:$C,3,0)</f>
        <v>Product Line</v>
      </c>
      <c r="J841" s="2">
        <v>1</v>
      </c>
      <c r="K841" s="2">
        <v>502.2</v>
      </c>
      <c r="L841" s="2">
        <f>sales[[#This Row],[quantity]]*sales[[#This Row],[price]]</f>
        <v>502.2</v>
      </c>
      <c r="M841" s="9">
        <f>sales[[#This Row],[Total Price]]*3%</f>
        <v>15.065999999999999</v>
      </c>
      <c r="N841" s="171">
        <f>sales[[#This Row],[Total Price]]*2.5%</f>
        <v>12.555</v>
      </c>
      <c r="O841" s="9">
        <f>sales[[#This Row],[Total Price]]*1.5%</f>
        <v>7.5329999999999995</v>
      </c>
      <c r="R841" s="5" t="str">
        <f>_xlfn.CONCAT(sales[[#This Row],[Shop]]," ",sales[[#This Row],[Location]])</f>
        <v>SW Wing On</v>
      </c>
    </row>
    <row r="842" spans="1:18" ht="15.6" customHeight="1">
      <c r="A842" s="7">
        <v>840</v>
      </c>
      <c r="B842" s="2" t="s">
        <v>1024</v>
      </c>
      <c r="C842" s="2" t="s">
        <v>1025</v>
      </c>
      <c r="D842" s="2" t="str">
        <f ca="1">OFFSET(Roster!$B$7, MATCH(B842&amp;" "&amp;C842&amp;"*",Roster!$B$8:$B$20,0),DAY(sales[[#This Row],[date]]),1, 1)</f>
        <v>Carol</v>
      </c>
      <c r="E842" s="2">
        <f>MONTH(sales[[#This Row],[date]])</f>
        <v>6</v>
      </c>
      <c r="F842" s="233">
        <v>46198</v>
      </c>
      <c r="G842" s="3" t="str">
        <f>VLOOKUP("*"&amp;sales[[#This Row],[Input]]&amp;"*",'Ref-List'!$A:$C,1,0)</f>
        <v>Model-Input-Ref</v>
      </c>
      <c r="H842" s="2" t="str">
        <f>VLOOKUP("*"&amp;G842&amp;"*",'Ref-List'!$A:$C,3,0)</f>
        <v>Product Line</v>
      </c>
      <c r="J842" s="2">
        <v>1</v>
      </c>
      <c r="K842" s="2">
        <v>2988</v>
      </c>
      <c r="L842" s="2">
        <f>sales[[#This Row],[quantity]]*sales[[#This Row],[price]]</f>
        <v>2988</v>
      </c>
      <c r="M842" s="9">
        <f>sales[[#This Row],[Total Price]]*3%</f>
        <v>89.64</v>
      </c>
      <c r="N842" s="171">
        <f>sales[[#This Row],[Total Price]]*2.5%</f>
        <v>74.7</v>
      </c>
      <c r="O842" s="9">
        <f>sales[[#This Row],[Total Price]]*1.5%</f>
        <v>44.82</v>
      </c>
      <c r="R842" s="5" t="str">
        <f>_xlfn.CONCAT(sales[[#This Row],[Shop]]," ",sales[[#This Row],[Location]])</f>
        <v>SW Wing On</v>
      </c>
    </row>
    <row r="843" spans="1:18" ht="15.6" customHeight="1">
      <c r="A843" s="7">
        <v>841</v>
      </c>
      <c r="B843" s="2" t="s">
        <v>1024</v>
      </c>
      <c r="C843" s="2" t="s">
        <v>1025</v>
      </c>
      <c r="D843" s="2" t="str">
        <f ca="1">OFFSET(Roster!$B$7, MATCH(B843&amp;" "&amp;C843&amp;"*",Roster!$B$8:$B$20,0),DAY(sales[[#This Row],[date]]),1, 1)</f>
        <v>Carol</v>
      </c>
      <c r="E843" s="2">
        <f>MONTH(sales[[#This Row],[date]])</f>
        <v>6</v>
      </c>
      <c r="F843" s="233">
        <v>46198</v>
      </c>
      <c r="G843" s="3" t="str">
        <f>VLOOKUP("*"&amp;sales[[#This Row],[Input]]&amp;"*",'Ref-List'!$A:$C,1,0)</f>
        <v>Model-Input-Ref</v>
      </c>
      <c r="H843" s="2" t="str">
        <f>VLOOKUP("*"&amp;G843&amp;"*",'Ref-List'!$A:$C,3,0)</f>
        <v>Product Line</v>
      </c>
      <c r="J843" s="2">
        <v>1</v>
      </c>
      <c r="K843" s="2">
        <v>502.2</v>
      </c>
      <c r="L843" s="2">
        <f>sales[[#This Row],[quantity]]*sales[[#This Row],[price]]</f>
        <v>502.2</v>
      </c>
      <c r="M843" s="9">
        <f>sales[[#This Row],[Total Price]]*3%</f>
        <v>15.065999999999999</v>
      </c>
      <c r="N843" s="171">
        <f>sales[[#This Row],[Total Price]]*2.5%</f>
        <v>12.555</v>
      </c>
      <c r="O843" s="9">
        <f>sales[[#This Row],[Total Price]]*1.5%</f>
        <v>7.5329999999999995</v>
      </c>
      <c r="R843" s="5" t="str">
        <f>_xlfn.CONCAT(sales[[#This Row],[Shop]]," ",sales[[#This Row],[Location]])</f>
        <v>SW Wing On</v>
      </c>
    </row>
    <row r="844" spans="1:18" ht="15.6" customHeight="1">
      <c r="A844" s="7">
        <v>842</v>
      </c>
      <c r="B844" s="2" t="s">
        <v>1024</v>
      </c>
      <c r="C844" s="2" t="s">
        <v>1025</v>
      </c>
      <c r="D844" s="2" t="str">
        <f ca="1">OFFSET(Roster!$B$7, MATCH(B844&amp;" "&amp;C844&amp;"*",Roster!$B$8:$B$20,0),DAY(sales[[#This Row],[date]]),1, 1)</f>
        <v>Carol</v>
      </c>
      <c r="E844" s="2">
        <f>MONTH(sales[[#This Row],[date]])</f>
        <v>6</v>
      </c>
      <c r="F844" s="233">
        <v>46198</v>
      </c>
      <c r="G844" s="3" t="str">
        <f>VLOOKUP("*"&amp;sales[[#This Row],[Input]]&amp;"*",'Ref-List'!$A:$C,1,0)</f>
        <v>Model-Input-Ref</v>
      </c>
      <c r="H844" s="2" t="str">
        <f>VLOOKUP("*"&amp;G844&amp;"*",'Ref-List'!$A:$C,3,0)</f>
        <v>Product Line</v>
      </c>
      <c r="J844" s="2">
        <v>1</v>
      </c>
      <c r="K844" s="2">
        <v>502.2</v>
      </c>
      <c r="L844" s="2">
        <f>sales[[#This Row],[quantity]]*sales[[#This Row],[price]]</f>
        <v>502.2</v>
      </c>
      <c r="M844" s="9">
        <f>sales[[#This Row],[Total Price]]*3%</f>
        <v>15.065999999999999</v>
      </c>
      <c r="N844" s="171">
        <f>sales[[#This Row],[Total Price]]*2.5%</f>
        <v>12.555</v>
      </c>
      <c r="O844" s="9">
        <f>sales[[#This Row],[Total Price]]*1.5%</f>
        <v>7.5329999999999995</v>
      </c>
      <c r="R844" s="5" t="str">
        <f>_xlfn.CONCAT(sales[[#This Row],[Shop]]," ",sales[[#This Row],[Location]])</f>
        <v>SW Wing On</v>
      </c>
    </row>
    <row r="845" spans="1:18" ht="15.6" customHeight="1">
      <c r="A845" s="7">
        <v>843</v>
      </c>
      <c r="B845" s="2" t="s">
        <v>1024</v>
      </c>
      <c r="C845" s="2" t="s">
        <v>1025</v>
      </c>
      <c r="D845" s="2" t="str">
        <f ca="1">OFFSET(Roster!$B$7, MATCH(B845&amp;" "&amp;C845&amp;"*",Roster!$B$8:$B$20,0),DAY(sales[[#This Row],[date]]),1, 1)</f>
        <v>Carol</v>
      </c>
      <c r="E845" s="2">
        <f>MONTH(sales[[#This Row],[date]])</f>
        <v>6</v>
      </c>
      <c r="F845" s="233">
        <v>46198</v>
      </c>
      <c r="G845" s="3" t="str">
        <f>VLOOKUP("*"&amp;sales[[#This Row],[Input]]&amp;"*",'Ref-List'!$A:$C,1,0)</f>
        <v>Model-Input-Ref</v>
      </c>
      <c r="H845" s="2" t="str">
        <f>VLOOKUP("*"&amp;G845&amp;"*",'Ref-List'!$A:$C,3,0)</f>
        <v>Product Line</v>
      </c>
      <c r="J845" s="2">
        <v>1</v>
      </c>
      <c r="K845" s="2">
        <v>798</v>
      </c>
      <c r="L845" s="2">
        <f>sales[[#This Row],[quantity]]*sales[[#This Row],[price]]</f>
        <v>798</v>
      </c>
      <c r="M845" s="9">
        <f>sales[[#This Row],[Total Price]]*3%</f>
        <v>23.939999999999998</v>
      </c>
      <c r="N845" s="171">
        <f>sales[[#This Row],[Total Price]]*2.5%</f>
        <v>19.950000000000003</v>
      </c>
      <c r="O845" s="9">
        <f>sales[[#This Row],[Total Price]]*1.5%</f>
        <v>11.969999999999999</v>
      </c>
      <c r="R845" s="5" t="str">
        <f>_xlfn.CONCAT(sales[[#This Row],[Shop]]," ",sales[[#This Row],[Location]])</f>
        <v>SW Wing On</v>
      </c>
    </row>
    <row r="846" spans="1:18" ht="15.6" customHeight="1">
      <c r="A846" s="7">
        <v>844</v>
      </c>
      <c r="B846" s="2" t="s">
        <v>1024</v>
      </c>
      <c r="C846" s="2" t="s">
        <v>1025</v>
      </c>
      <c r="D846" s="2" t="str">
        <f ca="1">OFFSET(Roster!$B$7, MATCH(B846&amp;" "&amp;C846&amp;"*",Roster!$B$8:$B$20,0),DAY(sales[[#This Row],[date]]),1, 1)</f>
        <v>Carol</v>
      </c>
      <c r="E846" s="2">
        <f>MONTH(sales[[#This Row],[date]])</f>
        <v>6</v>
      </c>
      <c r="F846" s="233">
        <v>46198</v>
      </c>
      <c r="G846" s="3" t="str">
        <f>VLOOKUP("*"&amp;sales[[#This Row],[Input]]&amp;"*",'Ref-List'!$A:$C,1,0)</f>
        <v>Model-Input-Ref</v>
      </c>
      <c r="H846" s="2" t="str">
        <f>VLOOKUP("*"&amp;G846&amp;"*",'Ref-List'!$A:$C,3,0)</f>
        <v>Product Line</v>
      </c>
      <c r="J846" s="2">
        <v>1</v>
      </c>
      <c r="K846" s="2">
        <v>598</v>
      </c>
      <c r="L846" s="2">
        <f>sales[[#This Row],[quantity]]*sales[[#This Row],[price]]</f>
        <v>598</v>
      </c>
      <c r="M846" s="9">
        <f>sales[[#This Row],[Total Price]]*3%</f>
        <v>17.939999999999998</v>
      </c>
      <c r="N846" s="171">
        <f>sales[[#This Row],[Total Price]]*2.5%</f>
        <v>14.950000000000001</v>
      </c>
      <c r="O846" s="9">
        <f>sales[[#This Row],[Total Price]]*1.5%</f>
        <v>8.9699999999999989</v>
      </c>
      <c r="R846" s="5" t="str">
        <f>_xlfn.CONCAT(sales[[#This Row],[Shop]]," ",sales[[#This Row],[Location]])</f>
        <v>SW Wing On</v>
      </c>
    </row>
    <row r="847" spans="1:18" ht="15.6" customHeight="1">
      <c r="A847" s="7">
        <v>845</v>
      </c>
      <c r="B847" s="2" t="s">
        <v>1024</v>
      </c>
      <c r="C847" s="2" t="s">
        <v>1025</v>
      </c>
      <c r="D847" s="2" t="str">
        <f ca="1">OFFSET(Roster!$B$7, MATCH(B847&amp;" "&amp;C847&amp;"*",Roster!$B$8:$B$20,0),DAY(sales[[#This Row],[date]]),1, 1)</f>
        <v>Carol</v>
      </c>
      <c r="E847" s="2">
        <f>MONTH(sales[[#This Row],[date]])</f>
        <v>6</v>
      </c>
      <c r="F847" s="233">
        <v>46198</v>
      </c>
      <c r="G847" s="3" t="str">
        <f>VLOOKUP("*"&amp;sales[[#This Row],[Input]]&amp;"*",'Ref-List'!$A:$C,1,0)</f>
        <v>Model-Input-Ref</v>
      </c>
      <c r="H847" s="2" t="str">
        <f>VLOOKUP("*"&amp;G847&amp;"*",'Ref-List'!$A:$C,3,0)</f>
        <v>Product Line</v>
      </c>
      <c r="I847" s="5"/>
      <c r="J847" s="2">
        <v>1</v>
      </c>
      <c r="K847" s="2">
        <v>598</v>
      </c>
      <c r="L847" s="2">
        <f>sales[[#This Row],[quantity]]*sales[[#This Row],[price]]</f>
        <v>598</v>
      </c>
      <c r="M847" s="9">
        <f>sales[[#This Row],[Total Price]]*3%</f>
        <v>17.939999999999998</v>
      </c>
      <c r="N847" s="171">
        <f>sales[[#This Row],[Total Price]]*2.5%</f>
        <v>14.950000000000001</v>
      </c>
      <c r="O847" s="9">
        <f>sales[[#This Row],[Total Price]]*1.5%</f>
        <v>8.9699999999999989</v>
      </c>
      <c r="R847" s="5" t="str">
        <f>_xlfn.CONCAT(sales[[#This Row],[Shop]]," ",sales[[#This Row],[Location]])</f>
        <v>SW Wing On</v>
      </c>
    </row>
    <row r="848" spans="1:18" ht="15.6" customHeight="1">
      <c r="A848" s="7">
        <v>846</v>
      </c>
      <c r="B848" s="2" t="s">
        <v>1024</v>
      </c>
      <c r="C848" s="2" t="s">
        <v>1025</v>
      </c>
      <c r="D848" s="2" t="str">
        <f ca="1">OFFSET(Roster!$B$7, MATCH(B848&amp;" "&amp;C848&amp;"*",Roster!$B$8:$B$20,0),DAY(sales[[#This Row],[date]]),1, 1)</f>
        <v>Carol</v>
      </c>
      <c r="E848" s="2">
        <f>MONTH(sales[[#This Row],[date]])</f>
        <v>6</v>
      </c>
      <c r="F848" s="233">
        <v>46198</v>
      </c>
      <c r="G848" s="3" t="str">
        <f>VLOOKUP("*"&amp;sales[[#This Row],[Input]]&amp;"*",'Ref-List'!$A:$C,1,0)</f>
        <v>Model-Input-Ref</v>
      </c>
      <c r="H848" s="2" t="str">
        <f>VLOOKUP("*"&amp;G848&amp;"*",'Ref-List'!$A:$C,3,0)</f>
        <v>Product Line</v>
      </c>
      <c r="J848" s="2">
        <v>1</v>
      </c>
      <c r="K848" s="2">
        <v>2388</v>
      </c>
      <c r="L848" s="2">
        <f>sales[[#This Row],[quantity]]*sales[[#This Row],[price]]</f>
        <v>2388</v>
      </c>
      <c r="M848" s="9">
        <f>sales[[#This Row],[Total Price]]*3%</f>
        <v>71.64</v>
      </c>
      <c r="N848" s="171">
        <f>sales[[#This Row],[Total Price]]*2.5%</f>
        <v>59.7</v>
      </c>
      <c r="O848" s="9">
        <f>sales[[#This Row],[Total Price]]*1.5%</f>
        <v>35.82</v>
      </c>
      <c r="R848" s="5" t="str">
        <f>_xlfn.CONCAT(sales[[#This Row],[Shop]]," ",sales[[#This Row],[Location]])</f>
        <v>SW Wing On</v>
      </c>
    </row>
    <row r="849" spans="1:18" ht="15.6" customHeight="1">
      <c r="A849" s="7">
        <v>847</v>
      </c>
      <c r="B849" s="2" t="s">
        <v>1024</v>
      </c>
      <c r="C849" s="2" t="s">
        <v>1025</v>
      </c>
      <c r="D849" s="2" t="str">
        <f ca="1">OFFSET(Roster!$B$7, MATCH(B849&amp;" "&amp;C849&amp;"*",Roster!$B$8:$B$20,0),DAY(sales[[#This Row],[date]]),1, 1)</f>
        <v>Carol</v>
      </c>
      <c r="E849" s="2">
        <f>MONTH(sales[[#This Row],[date]])</f>
        <v>6</v>
      </c>
      <c r="F849" s="233">
        <v>46198</v>
      </c>
      <c r="G849" s="3" t="str">
        <f>VLOOKUP("*"&amp;sales[[#This Row],[Input]]&amp;"*",'Ref-List'!$A:$C,1,0)</f>
        <v>Model-Input-Ref</v>
      </c>
      <c r="H849" s="2" t="str">
        <f>VLOOKUP("*"&amp;G849&amp;"*",'Ref-List'!$A:$C,3,0)</f>
        <v>Product Line</v>
      </c>
      <c r="J849" s="2">
        <v>1</v>
      </c>
      <c r="K849" s="2">
        <v>638</v>
      </c>
      <c r="L849" s="2">
        <f>sales[[#This Row],[quantity]]*sales[[#This Row],[price]]</f>
        <v>638</v>
      </c>
      <c r="M849" s="9">
        <f>sales[[#This Row],[Total Price]]*3%</f>
        <v>19.14</v>
      </c>
      <c r="N849" s="171">
        <f>sales[[#This Row],[Total Price]]*2.5%</f>
        <v>15.950000000000001</v>
      </c>
      <c r="O849" s="9">
        <f>sales[[#This Row],[Total Price]]*1.5%</f>
        <v>9.57</v>
      </c>
      <c r="R849" s="5" t="str">
        <f>_xlfn.CONCAT(sales[[#This Row],[Shop]]," ",sales[[#This Row],[Location]])</f>
        <v>SW Wing On</v>
      </c>
    </row>
    <row r="850" spans="1:18" ht="15.6" customHeight="1">
      <c r="A850" s="7">
        <v>848</v>
      </c>
      <c r="B850" s="2" t="s">
        <v>1024</v>
      </c>
      <c r="C850" s="2" t="s">
        <v>1025</v>
      </c>
      <c r="D850" s="2" t="str">
        <f ca="1">OFFSET(Roster!$B$7, MATCH(B850&amp;" "&amp;C850&amp;"*",Roster!$B$8:$B$20,0),DAY(sales[[#This Row],[date]]),1, 1)</f>
        <v>Carol</v>
      </c>
      <c r="E850" s="2">
        <f>MONTH(sales[[#This Row],[date]])</f>
        <v>6</v>
      </c>
      <c r="F850" s="233">
        <v>46198</v>
      </c>
      <c r="G850" s="3" t="str">
        <f>VLOOKUP("*"&amp;sales[[#This Row],[Input]]&amp;"*",'Ref-List'!$A:$C,1,0)</f>
        <v>Model-Input-Ref</v>
      </c>
      <c r="H850" s="2" t="str">
        <f>VLOOKUP("*"&amp;G850&amp;"*",'Ref-List'!$A:$C,3,0)</f>
        <v>Product Line</v>
      </c>
      <c r="J850" s="2">
        <v>1</v>
      </c>
      <c r="K850" s="2">
        <v>498</v>
      </c>
      <c r="L850" s="2">
        <f>sales[[#This Row],[quantity]]*sales[[#This Row],[price]]</f>
        <v>498</v>
      </c>
      <c r="M850" s="9">
        <f>sales[[#This Row],[Total Price]]*3%</f>
        <v>14.94</v>
      </c>
      <c r="N850" s="171">
        <f>sales[[#This Row],[Total Price]]*2.5%</f>
        <v>12.450000000000001</v>
      </c>
      <c r="O850" s="9">
        <f>sales[[#This Row],[Total Price]]*1.5%</f>
        <v>7.47</v>
      </c>
      <c r="R850" s="5" t="str">
        <f>_xlfn.CONCAT(sales[[#This Row],[Shop]]," ",sales[[#This Row],[Location]])</f>
        <v>SW Wing On</v>
      </c>
    </row>
    <row r="851" spans="1:18" ht="15.6" customHeight="1">
      <c r="A851" s="7">
        <v>849</v>
      </c>
      <c r="B851" s="2" t="s">
        <v>1024</v>
      </c>
      <c r="C851" s="2" t="s">
        <v>1025</v>
      </c>
      <c r="D851" s="2" t="str">
        <f ca="1">OFFSET(Roster!$B$7, MATCH(B851&amp;" "&amp;C851&amp;"*",Roster!$B$8:$B$20,0),DAY(sales[[#This Row],[date]]),1, 1)</f>
        <v>Carol</v>
      </c>
      <c r="E851" s="2">
        <f>MONTH(sales[[#This Row],[date]])</f>
        <v>6</v>
      </c>
      <c r="F851" s="233">
        <v>46198</v>
      </c>
      <c r="G851" s="3" t="str">
        <f>VLOOKUP("*"&amp;sales[[#This Row],[Input]]&amp;"*",'Ref-List'!$A:$C,1,0)</f>
        <v>Model-Input-Ref</v>
      </c>
      <c r="H851" s="2" t="str">
        <f>VLOOKUP("*"&amp;G851&amp;"*",'Ref-List'!$A:$C,3,0)</f>
        <v>Product Line</v>
      </c>
      <c r="J851" s="2">
        <v>1</v>
      </c>
      <c r="K851" s="2">
        <v>638</v>
      </c>
      <c r="L851" s="2">
        <f>sales[[#This Row],[quantity]]*sales[[#This Row],[price]]</f>
        <v>638</v>
      </c>
      <c r="M851" s="9">
        <f>sales[[#This Row],[Total Price]]*3%</f>
        <v>19.14</v>
      </c>
      <c r="N851" s="171">
        <f>sales[[#This Row],[Total Price]]*2.5%</f>
        <v>15.950000000000001</v>
      </c>
      <c r="O851" s="9">
        <f>sales[[#This Row],[Total Price]]*1.5%</f>
        <v>9.57</v>
      </c>
      <c r="R851" s="5" t="str">
        <f>_xlfn.CONCAT(sales[[#This Row],[Shop]]," ",sales[[#This Row],[Location]])</f>
        <v>SW Wing On</v>
      </c>
    </row>
    <row r="852" spans="1:18" ht="15.6" customHeight="1">
      <c r="A852" s="7">
        <v>850</v>
      </c>
      <c r="B852" s="2" t="s">
        <v>1024</v>
      </c>
      <c r="C852" s="2" t="s">
        <v>1025</v>
      </c>
      <c r="D852" s="2" t="str">
        <f ca="1">OFFSET(Roster!$B$7, MATCH(B852&amp;" "&amp;C852&amp;"*",Roster!$B$8:$B$20,0),DAY(sales[[#This Row],[date]]),1, 1)</f>
        <v>Carol</v>
      </c>
      <c r="E852" s="2">
        <f>MONTH(sales[[#This Row],[date]])</f>
        <v>6</v>
      </c>
      <c r="F852" s="233">
        <v>46198</v>
      </c>
      <c r="G852" s="3" t="str">
        <f>VLOOKUP("*"&amp;sales[[#This Row],[Input]]&amp;"*",'Ref-List'!$A:$C,1,0)</f>
        <v>Model-Input-Ref</v>
      </c>
      <c r="H852" s="2" t="str">
        <f>VLOOKUP("*"&amp;G852&amp;"*",'Ref-List'!$A:$C,3,0)</f>
        <v>Product Line</v>
      </c>
      <c r="J852" s="2">
        <v>1</v>
      </c>
      <c r="K852" s="2">
        <v>2388</v>
      </c>
      <c r="L852" s="2">
        <f>sales[[#This Row],[quantity]]*sales[[#This Row],[price]]</f>
        <v>2388</v>
      </c>
      <c r="M852" s="9">
        <f>sales[[#This Row],[Total Price]]*3%</f>
        <v>71.64</v>
      </c>
      <c r="N852" s="171">
        <f>sales[[#This Row],[Total Price]]*2.5%</f>
        <v>59.7</v>
      </c>
      <c r="O852" s="9">
        <f>sales[[#This Row],[Total Price]]*1.5%</f>
        <v>35.82</v>
      </c>
      <c r="R852" s="5" t="str">
        <f>_xlfn.CONCAT(sales[[#This Row],[Shop]]," ",sales[[#This Row],[Location]])</f>
        <v>SW Wing On</v>
      </c>
    </row>
    <row r="853" spans="1:18" ht="15.6" customHeight="1">
      <c r="A853" s="7">
        <v>851</v>
      </c>
      <c r="B853" s="2" t="s">
        <v>1026</v>
      </c>
      <c r="C853" s="2" t="s">
        <v>1027</v>
      </c>
      <c r="D853" s="2" t="str">
        <f ca="1">OFFSET(Roster!$B$7, MATCH(B853&amp;" "&amp;C853&amp;"*",Roster!$B$8:$B$20,0),DAY(sales[[#This Row],[date]]),1, 1)</f>
        <v>Fan</v>
      </c>
      <c r="E853" s="2">
        <f>MONTH(sales[[#This Row],[date]])</f>
        <v>6</v>
      </c>
      <c r="F853" s="233">
        <v>46186</v>
      </c>
      <c r="G853" s="3" t="str">
        <f>VLOOKUP("*"&amp;sales[[#This Row],[Input]]&amp;"*",'Ref-List'!$A:$C,1,0)</f>
        <v>Model-Input-Ref</v>
      </c>
      <c r="H853" s="2" t="str">
        <f>VLOOKUP("*"&amp;G853&amp;"*",'Ref-List'!$A:$C,3,0)</f>
        <v>Product Line</v>
      </c>
      <c r="J853" s="2">
        <v>1</v>
      </c>
      <c r="K853" s="2">
        <v>458</v>
      </c>
      <c r="L853" s="2">
        <f>sales[[#This Row],[quantity]]*sales[[#This Row],[price]]</f>
        <v>458</v>
      </c>
      <c r="M853" s="9">
        <f>sales[[#This Row],[Total Price]]*3%</f>
        <v>13.74</v>
      </c>
      <c r="N853" s="171">
        <f>sales[[#This Row],[Total Price]]*2.5%</f>
        <v>11.450000000000001</v>
      </c>
      <c r="O853" s="9">
        <f>sales[[#This Row],[Total Price]]*1.5%</f>
        <v>6.87</v>
      </c>
      <c r="R853" s="5" t="str">
        <f>_xlfn.CONCAT(sales[[#This Row],[Shop]]," ",sales[[#This Row],[Location]])</f>
        <v>TW Aeon</v>
      </c>
    </row>
    <row r="854" spans="1:18" ht="15.6" customHeight="1">
      <c r="A854" s="7">
        <v>852</v>
      </c>
      <c r="B854" s="2" t="s">
        <v>1026</v>
      </c>
      <c r="C854" s="2" t="s">
        <v>1027</v>
      </c>
      <c r="D854" s="2" t="str">
        <f ca="1">OFFSET(Roster!$B$7, MATCH(B854&amp;" "&amp;C854&amp;"*",Roster!$B$8:$B$20,0),DAY(sales[[#This Row],[date]]),1, 1)</f>
        <v>Fan</v>
      </c>
      <c r="E854" s="2">
        <f>MONTH(sales[[#This Row],[date]])</f>
        <v>6</v>
      </c>
      <c r="F854" s="233">
        <v>46187</v>
      </c>
      <c r="G854" s="3" t="str">
        <f>VLOOKUP("*"&amp;sales[[#This Row],[Input]]&amp;"*",'Ref-List'!$A:$C,1,0)</f>
        <v>Model-Input-Ref</v>
      </c>
      <c r="H854" s="2" t="str">
        <f>VLOOKUP("*"&amp;G854&amp;"*",'Ref-List'!$A:$C,3,0)</f>
        <v>Product Line</v>
      </c>
      <c r="J854" s="2">
        <v>1</v>
      </c>
      <c r="K854" s="2">
        <v>530</v>
      </c>
      <c r="L854" s="2">
        <f>sales[[#This Row],[quantity]]*sales[[#This Row],[price]]</f>
        <v>530</v>
      </c>
      <c r="M854" s="9">
        <f>sales[[#This Row],[Total Price]]*3%</f>
        <v>15.899999999999999</v>
      </c>
      <c r="N854" s="171">
        <f>sales[[#This Row],[Total Price]]*2.5%</f>
        <v>13.25</v>
      </c>
      <c r="O854" s="9">
        <f>sales[[#This Row],[Total Price]]*1.5%</f>
        <v>7.9499999999999993</v>
      </c>
      <c r="R854" s="5" t="str">
        <f>_xlfn.CONCAT(sales[[#This Row],[Shop]]," ",sales[[#This Row],[Location]])</f>
        <v>TW Aeon</v>
      </c>
    </row>
    <row r="855" spans="1:18" ht="15.6" customHeight="1">
      <c r="A855" s="7">
        <v>853</v>
      </c>
      <c r="B855" s="2" t="s">
        <v>1026</v>
      </c>
      <c r="C855" s="2" t="s">
        <v>1027</v>
      </c>
      <c r="D855" s="2" t="str">
        <f ca="1">OFFSET(Roster!$B$7, MATCH(B855&amp;" "&amp;C855&amp;"*",Roster!$B$8:$B$20,0),DAY(sales[[#This Row],[date]]),1, 1)</f>
        <v>Fan</v>
      </c>
      <c r="E855" s="2">
        <f>MONTH(sales[[#This Row],[date]])</f>
        <v>6</v>
      </c>
      <c r="F855" s="233">
        <v>46187</v>
      </c>
      <c r="G855" s="3" t="str">
        <f>VLOOKUP("*"&amp;sales[[#This Row],[Input]]&amp;"*",'Ref-List'!$A:$C,1,0)</f>
        <v>Model-Input-Ref</v>
      </c>
      <c r="H855" s="2" t="str">
        <f>VLOOKUP("*"&amp;G855&amp;"*",'Ref-List'!$A:$C,3,0)</f>
        <v>Product Line</v>
      </c>
      <c r="I855" s="5"/>
      <c r="J855" s="2">
        <v>1</v>
      </c>
      <c r="K855" s="2">
        <v>298</v>
      </c>
      <c r="L855" s="2">
        <f>sales[[#This Row],[quantity]]*sales[[#This Row],[price]]</f>
        <v>298</v>
      </c>
      <c r="M855" s="9">
        <f>sales[[#This Row],[Total Price]]*3%</f>
        <v>8.94</v>
      </c>
      <c r="N855" s="171">
        <f>sales[[#This Row],[Total Price]]*2.5%</f>
        <v>7.45</v>
      </c>
      <c r="O855" s="9">
        <f>sales[[#This Row],[Total Price]]*1.5%</f>
        <v>4.47</v>
      </c>
      <c r="R855" s="5" t="str">
        <f>_xlfn.CONCAT(sales[[#This Row],[Shop]]," ",sales[[#This Row],[Location]])</f>
        <v>TW Aeon</v>
      </c>
    </row>
    <row r="856" spans="1:18" ht="15.6" customHeight="1">
      <c r="A856" s="7">
        <v>854</v>
      </c>
      <c r="B856" s="2" t="s">
        <v>1026</v>
      </c>
      <c r="C856" s="2" t="s">
        <v>1027</v>
      </c>
      <c r="D856" s="2" t="str">
        <f ca="1">OFFSET(Roster!$B$7, MATCH(B856&amp;" "&amp;C856&amp;"*",Roster!$B$8:$B$20,0),DAY(sales[[#This Row],[date]]),1, 1)</f>
        <v>Fan</v>
      </c>
      <c r="E856" s="2">
        <f>MONTH(sales[[#This Row],[date]])</f>
        <v>6</v>
      </c>
      <c r="F856" s="233">
        <v>46187</v>
      </c>
      <c r="G856" s="3" t="str">
        <f>VLOOKUP("*"&amp;sales[[#This Row],[Input]]&amp;"*",'Ref-List'!$A:$C,1,0)</f>
        <v>Model-Input-Ref</v>
      </c>
      <c r="H856" s="2" t="str">
        <f>VLOOKUP("*"&amp;G856&amp;"*",'Ref-List'!$A:$C,3,0)</f>
        <v>Product Line</v>
      </c>
      <c r="J856" s="2">
        <v>1</v>
      </c>
      <c r="K856" s="2">
        <v>398</v>
      </c>
      <c r="L856" s="2">
        <f>sales[[#This Row],[quantity]]*sales[[#This Row],[price]]</f>
        <v>398</v>
      </c>
      <c r="M856" s="9">
        <f>sales[[#This Row],[Total Price]]*3%</f>
        <v>11.94</v>
      </c>
      <c r="N856" s="171">
        <f>sales[[#This Row],[Total Price]]*2.5%</f>
        <v>9.9500000000000011</v>
      </c>
      <c r="O856" s="9">
        <f>sales[[#This Row],[Total Price]]*1.5%</f>
        <v>5.97</v>
      </c>
      <c r="R856" s="5" t="str">
        <f>_xlfn.CONCAT(sales[[#This Row],[Shop]]," ",sales[[#This Row],[Location]])</f>
        <v>TW Aeon</v>
      </c>
    </row>
    <row r="857" spans="1:18" ht="15.6" customHeight="1">
      <c r="A857" s="7">
        <v>855</v>
      </c>
      <c r="B857" s="2" t="s">
        <v>1026</v>
      </c>
      <c r="C857" s="2" t="s">
        <v>1027</v>
      </c>
      <c r="D857" s="2" t="str">
        <f ca="1">OFFSET(Roster!$B$7, MATCH(B857&amp;" "&amp;C857&amp;"*",Roster!$B$8:$B$20,0),DAY(sales[[#This Row],[date]]),1, 1)</f>
        <v>Fan</v>
      </c>
      <c r="E857" s="2">
        <f>MONTH(sales[[#This Row],[date]])</f>
        <v>6</v>
      </c>
      <c r="F857" s="233">
        <v>46187</v>
      </c>
      <c r="G857" s="3" t="str">
        <f>VLOOKUP("*"&amp;sales[[#This Row],[Input]]&amp;"*",'Ref-List'!$A:$C,1,0)</f>
        <v>Model-Input-Ref</v>
      </c>
      <c r="H857" s="2" t="str">
        <f>VLOOKUP("*"&amp;G857&amp;"*",'Ref-List'!$A:$C,3,0)</f>
        <v>Product Line</v>
      </c>
      <c r="J857" s="2">
        <v>1</v>
      </c>
      <c r="K857" s="2">
        <v>598</v>
      </c>
      <c r="L857" s="2">
        <f>sales[[#This Row],[quantity]]*sales[[#This Row],[price]]</f>
        <v>598</v>
      </c>
      <c r="M857" s="9">
        <f>sales[[#This Row],[Total Price]]*3%</f>
        <v>17.939999999999998</v>
      </c>
      <c r="N857" s="171">
        <f>sales[[#This Row],[Total Price]]*2.5%</f>
        <v>14.950000000000001</v>
      </c>
      <c r="O857" s="9">
        <f>sales[[#This Row],[Total Price]]*1.5%</f>
        <v>8.9699999999999989</v>
      </c>
      <c r="R857" s="5" t="str">
        <f>_xlfn.CONCAT(sales[[#This Row],[Shop]]," ",sales[[#This Row],[Location]])</f>
        <v>TW Aeon</v>
      </c>
    </row>
    <row r="858" spans="1:18" ht="15.6" customHeight="1">
      <c r="A858" s="7">
        <v>856</v>
      </c>
      <c r="B858" s="2" t="s">
        <v>1026</v>
      </c>
      <c r="C858" s="2" t="s">
        <v>1027</v>
      </c>
      <c r="D858" s="2" t="str">
        <f ca="1">OFFSET(Roster!$B$7, MATCH(B858&amp;" "&amp;C858&amp;"*",Roster!$B$8:$B$20,0),DAY(sales[[#This Row],[date]]),1, 1)</f>
        <v>Fan</v>
      </c>
      <c r="E858" s="2">
        <f>MONTH(sales[[#This Row],[date]])</f>
        <v>6</v>
      </c>
      <c r="F858" s="233">
        <v>46200</v>
      </c>
      <c r="G858" s="3" t="str">
        <f>VLOOKUP("*"&amp;sales[[#This Row],[Input]]&amp;"*",'Ref-List'!$A:$C,1,0)</f>
        <v>Model-Input-Ref</v>
      </c>
      <c r="H858" s="2" t="str">
        <f>VLOOKUP("*"&amp;G858&amp;"*",'Ref-List'!$A:$C,3,0)</f>
        <v>Product Line</v>
      </c>
      <c r="J858" s="2">
        <v>1</v>
      </c>
      <c r="K858" s="2">
        <v>698</v>
      </c>
      <c r="L858" s="2">
        <f>sales[[#This Row],[quantity]]*sales[[#This Row],[price]]</f>
        <v>698</v>
      </c>
      <c r="M858" s="9">
        <f>sales[[#This Row],[Total Price]]*3%</f>
        <v>20.939999999999998</v>
      </c>
      <c r="N858" s="171">
        <f>sales[[#This Row],[Total Price]]*2.5%</f>
        <v>17.45</v>
      </c>
      <c r="O858" s="9">
        <f>sales[[#This Row],[Total Price]]*1.5%</f>
        <v>10.469999999999999</v>
      </c>
      <c r="R858" s="5" t="str">
        <f>_xlfn.CONCAT(sales[[#This Row],[Shop]]," ",sales[[#This Row],[Location]])</f>
        <v>TW Aeon</v>
      </c>
    </row>
    <row r="859" spans="1:18" ht="15.6" customHeight="1">
      <c r="A859" s="7">
        <v>857</v>
      </c>
      <c r="B859" s="2" t="s">
        <v>1026</v>
      </c>
      <c r="C859" s="2" t="s">
        <v>1027</v>
      </c>
      <c r="D859" s="2" t="str">
        <f ca="1">OFFSET(Roster!$B$7, MATCH(B859&amp;" "&amp;C859&amp;"*",Roster!$B$8:$B$20,0),DAY(sales[[#This Row],[date]]),1, 1)</f>
        <v>Fan</v>
      </c>
      <c r="E859" s="2">
        <f>MONTH(sales[[#This Row],[date]])</f>
        <v>6</v>
      </c>
      <c r="F859" s="233">
        <v>46201</v>
      </c>
      <c r="G859" s="3" t="str">
        <f>VLOOKUP("*"&amp;sales[[#This Row],[Input]]&amp;"*",'Ref-List'!$A:$C,1,0)</f>
        <v>Model-Input-Ref</v>
      </c>
      <c r="H859" s="2" t="str">
        <f>VLOOKUP("*"&amp;G859&amp;"*",'Ref-List'!$A:$C,3,0)</f>
        <v>Product Line</v>
      </c>
      <c r="J859" s="2">
        <v>1</v>
      </c>
      <c r="K859" s="2">
        <v>598</v>
      </c>
      <c r="L859" s="2">
        <f>sales[[#This Row],[quantity]]*sales[[#This Row],[price]]</f>
        <v>598</v>
      </c>
      <c r="M859" s="9">
        <f>sales[[#This Row],[Total Price]]*3%</f>
        <v>17.939999999999998</v>
      </c>
      <c r="N859" s="171">
        <f>sales[[#This Row],[Total Price]]*2.5%</f>
        <v>14.950000000000001</v>
      </c>
      <c r="O859" s="9">
        <f>sales[[#This Row],[Total Price]]*1.5%</f>
        <v>8.9699999999999989</v>
      </c>
      <c r="R859" s="5" t="str">
        <f>_xlfn.CONCAT(sales[[#This Row],[Shop]]," ",sales[[#This Row],[Location]])</f>
        <v>TW Aeon</v>
      </c>
    </row>
    <row r="860" spans="1:18" ht="15.6" customHeight="1">
      <c r="A860" s="7">
        <v>858</v>
      </c>
      <c r="D860" s="2" t="e">
        <f ca="1">OFFSET(Roster!$B$7, MATCH(B860&amp;" "&amp;C860&amp;"*",Roster!$B$8:$B$20,0),DAY(sales[[#This Row],[date]]),1, 1)</f>
        <v>#N/A</v>
      </c>
      <c r="E860" s="2">
        <f>MONTH(sales[[#This Row],[date]])</f>
        <v>1</v>
      </c>
      <c r="G860" s="3" t="str">
        <f>VLOOKUP("*"&amp;sales[[#This Row],[Input]]&amp;"*",'Ref-List'!$A:$C,1,0)</f>
        <v>Model-Input-Ref</v>
      </c>
      <c r="H860" s="2" t="str">
        <f>VLOOKUP("*"&amp;G860&amp;"*",'Ref-List'!$A:$C,3,0)</f>
        <v>Product Line</v>
      </c>
      <c r="J860" s="2"/>
      <c r="K860" s="2"/>
      <c r="L860" s="2">
        <f>sales[[#This Row],[quantity]]*sales[[#This Row],[price]]</f>
        <v>0</v>
      </c>
      <c r="M860" s="9">
        <f>sales[[#This Row],[Total Price]]*3%</f>
        <v>0</v>
      </c>
      <c r="N860" s="171">
        <f>sales[[#This Row],[Total Price]]*2.5%</f>
        <v>0</v>
      </c>
      <c r="O860" s="9">
        <f>sales[[#This Row],[Total Price]]*1.5%</f>
        <v>0</v>
      </c>
      <c r="R860" s="5" t="str">
        <f>_xlfn.CONCAT(sales[[#This Row],[Shop]]," ",sales[[#This Row],[Location]])</f>
        <v xml:space="preserve"> </v>
      </c>
    </row>
    <row r="861" spans="1:18" ht="15.6" customHeight="1">
      <c r="A861" s="7">
        <v>859</v>
      </c>
      <c r="D861" s="2" t="e">
        <f ca="1">OFFSET(Roster!$B$7, MATCH(B861&amp;" "&amp;C861&amp;"*",Roster!$B$8:$B$20,0),DAY(sales[[#This Row],[date]]),1, 1)</f>
        <v>#N/A</v>
      </c>
      <c r="E861" s="2">
        <f>MONTH(sales[[#This Row],[date]])</f>
        <v>1</v>
      </c>
      <c r="G861" s="3" t="str">
        <f>VLOOKUP("*"&amp;sales[[#This Row],[Input]]&amp;"*",'Ref-List'!$A:$C,1,0)</f>
        <v>Model-Input-Ref</v>
      </c>
      <c r="H861" s="2" t="str">
        <f>VLOOKUP("*"&amp;G861&amp;"*",'Ref-List'!$A:$C,3,0)</f>
        <v>Product Line</v>
      </c>
      <c r="J861" s="2"/>
      <c r="K861" s="2"/>
      <c r="L861" s="2">
        <f>sales[[#This Row],[quantity]]*sales[[#This Row],[price]]</f>
        <v>0</v>
      </c>
      <c r="M861" s="9">
        <f>sales[[#This Row],[Total Price]]*3%</f>
        <v>0</v>
      </c>
      <c r="N861" s="171">
        <f>sales[[#This Row],[Total Price]]*2.5%</f>
        <v>0</v>
      </c>
      <c r="O861" s="9">
        <f>sales[[#This Row],[Total Price]]*1.5%</f>
        <v>0</v>
      </c>
      <c r="R861" s="5" t="str">
        <f>_xlfn.CONCAT(sales[[#This Row],[Shop]]," ",sales[[#This Row],[Location]])</f>
        <v xml:space="preserve"> </v>
      </c>
    </row>
    <row r="862" spans="1:18" ht="15.6" customHeight="1">
      <c r="A862" s="7">
        <v>860</v>
      </c>
      <c r="D862" s="2" t="e">
        <f ca="1">OFFSET(Roster!$B$7, MATCH(B862&amp;" "&amp;C862&amp;"*",Roster!$B$8:$B$20,0),DAY(sales[[#This Row],[date]]),1, 1)</f>
        <v>#N/A</v>
      </c>
      <c r="E862" s="2">
        <f>MONTH(sales[[#This Row],[date]])</f>
        <v>1</v>
      </c>
      <c r="G862" s="3" t="str">
        <f>VLOOKUP("*"&amp;sales[[#This Row],[Input]]&amp;"*",'Ref-List'!$A:$C,1,0)</f>
        <v>Model-Input-Ref</v>
      </c>
      <c r="H862" s="2" t="str">
        <f>VLOOKUP("*"&amp;G862&amp;"*",'Ref-List'!$A:$C,3,0)</f>
        <v>Product Line</v>
      </c>
      <c r="J862" s="2"/>
      <c r="K862" s="2"/>
      <c r="L862" s="2">
        <f>sales[[#This Row],[quantity]]*sales[[#This Row],[price]]</f>
        <v>0</v>
      </c>
      <c r="M862" s="9">
        <f>sales[[#This Row],[Total Price]]*3%</f>
        <v>0</v>
      </c>
      <c r="N862" s="171">
        <f>sales[[#This Row],[Total Price]]*2.5%</f>
        <v>0</v>
      </c>
      <c r="O862" s="9">
        <f>sales[[#This Row],[Total Price]]*1.5%</f>
        <v>0</v>
      </c>
      <c r="R862" s="5" t="str">
        <f>_xlfn.CONCAT(sales[[#This Row],[Shop]]," ",sales[[#This Row],[Location]])</f>
        <v xml:space="preserve"> </v>
      </c>
    </row>
    <row r="863" spans="1:18" ht="15.6" customHeight="1">
      <c r="A863" s="7">
        <v>861</v>
      </c>
      <c r="D863" s="2" t="e">
        <f ca="1">OFFSET(Roster!$B$7, MATCH(B863&amp;" "&amp;C863&amp;"*",Roster!$B$8:$B$20,0),DAY(sales[[#This Row],[date]]),1, 1)</f>
        <v>#N/A</v>
      </c>
      <c r="E863" s="2">
        <f>MONTH(sales[[#This Row],[date]])</f>
        <v>1</v>
      </c>
      <c r="G863" s="3" t="str">
        <f>VLOOKUP("*"&amp;sales[[#This Row],[Input]]&amp;"*",'Ref-List'!$A:$C,1,0)</f>
        <v>Model-Input-Ref</v>
      </c>
      <c r="H863" s="2" t="str">
        <f>VLOOKUP("*"&amp;G863&amp;"*",'Ref-List'!$A:$C,3,0)</f>
        <v>Product Line</v>
      </c>
      <c r="J863" s="2"/>
      <c r="K863" s="2"/>
      <c r="L863" s="2">
        <f>sales[[#This Row],[quantity]]*sales[[#This Row],[price]]</f>
        <v>0</v>
      </c>
      <c r="M863" s="9">
        <f>sales[[#This Row],[Total Price]]*3%</f>
        <v>0</v>
      </c>
      <c r="N863" s="171">
        <f>sales[[#This Row],[Total Price]]*2.5%</f>
        <v>0</v>
      </c>
      <c r="O863" s="9">
        <f>sales[[#This Row],[Total Price]]*1.5%</f>
        <v>0</v>
      </c>
      <c r="R863" s="5" t="str">
        <f>_xlfn.CONCAT(sales[[#This Row],[Shop]]," ",sales[[#This Row],[Location]])</f>
        <v xml:space="preserve"> </v>
      </c>
    </row>
    <row r="864" spans="1:18" ht="15.6" customHeight="1">
      <c r="A864" s="7">
        <v>862</v>
      </c>
      <c r="D864" s="2" t="e">
        <f ca="1">OFFSET(Roster!$B$7, MATCH(B864&amp;" "&amp;C864&amp;"*",Roster!$B$8:$B$20,0),DAY(sales[[#This Row],[date]]),1, 1)</f>
        <v>#N/A</v>
      </c>
      <c r="E864" s="2">
        <f>MONTH(sales[[#This Row],[date]])</f>
        <v>1</v>
      </c>
      <c r="G864" s="3" t="str">
        <f>VLOOKUP("*"&amp;sales[[#This Row],[Input]]&amp;"*",'Ref-List'!$A:$C,1,0)</f>
        <v>Model-Input-Ref</v>
      </c>
      <c r="H864" s="2" t="str">
        <f>VLOOKUP("*"&amp;G864&amp;"*",'Ref-List'!$A:$C,3,0)</f>
        <v>Product Line</v>
      </c>
      <c r="J864" s="2"/>
      <c r="K864" s="2"/>
      <c r="L864" s="2">
        <f>sales[[#This Row],[quantity]]*sales[[#This Row],[price]]</f>
        <v>0</v>
      </c>
      <c r="M864" s="9">
        <f>sales[[#This Row],[Total Price]]*3%</f>
        <v>0</v>
      </c>
      <c r="N864" s="171">
        <f>sales[[#This Row],[Total Price]]*2.5%</f>
        <v>0</v>
      </c>
      <c r="O864" s="9">
        <f>sales[[#This Row],[Total Price]]*1.5%</f>
        <v>0</v>
      </c>
      <c r="R864" s="5" t="str">
        <f>_xlfn.CONCAT(sales[[#This Row],[Shop]]," ",sales[[#This Row],[Location]])</f>
        <v xml:space="preserve"> </v>
      </c>
    </row>
    <row r="865" spans="1:18" ht="15.6" customHeight="1">
      <c r="A865" s="7">
        <v>863</v>
      </c>
      <c r="D865" s="2" t="e">
        <f ca="1">OFFSET(Roster!$B$7, MATCH(B865&amp;" "&amp;C865&amp;"*",Roster!$B$8:$B$20,0),DAY(sales[[#This Row],[date]]),1, 1)</f>
        <v>#N/A</v>
      </c>
      <c r="E865" s="2">
        <f>MONTH(sales[[#This Row],[date]])</f>
        <v>1</v>
      </c>
      <c r="G865" s="3" t="str">
        <f>VLOOKUP("*"&amp;sales[[#This Row],[Input]]&amp;"*",'Ref-List'!$A:$C,1,0)</f>
        <v>Model-Input-Ref</v>
      </c>
      <c r="H865" s="2" t="str">
        <f>VLOOKUP("*"&amp;G865&amp;"*",'Ref-List'!$A:$C,3,0)</f>
        <v>Product Line</v>
      </c>
      <c r="J865" s="2"/>
      <c r="K865" s="2"/>
      <c r="L865" s="2">
        <f>sales[[#This Row],[quantity]]*sales[[#This Row],[price]]</f>
        <v>0</v>
      </c>
      <c r="M865" s="9">
        <f>sales[[#This Row],[Total Price]]*3%</f>
        <v>0</v>
      </c>
      <c r="N865" s="171">
        <f>sales[[#This Row],[Total Price]]*2.5%</f>
        <v>0</v>
      </c>
      <c r="O865" s="9">
        <f>sales[[#This Row],[Total Price]]*1.5%</f>
        <v>0</v>
      </c>
      <c r="R865" s="5" t="str">
        <f>_xlfn.CONCAT(sales[[#This Row],[Shop]]," ",sales[[#This Row],[Location]])</f>
        <v xml:space="preserve"> </v>
      </c>
    </row>
    <row r="866" spans="1:18" ht="15.6" customHeight="1">
      <c r="A866" s="7">
        <v>864</v>
      </c>
      <c r="D866" s="2" t="e">
        <f ca="1">OFFSET(Roster!$B$7, MATCH(B866&amp;" "&amp;C866&amp;"*",Roster!$B$8:$B$20,0),DAY(sales[[#This Row],[date]]),1, 1)</f>
        <v>#N/A</v>
      </c>
      <c r="E866" s="2">
        <f>MONTH(sales[[#This Row],[date]])</f>
        <v>1</v>
      </c>
      <c r="G866" s="3" t="str">
        <f>VLOOKUP("*"&amp;sales[[#This Row],[Input]]&amp;"*",'Ref-List'!$A:$C,1,0)</f>
        <v>Model-Input-Ref</v>
      </c>
      <c r="H866" s="2" t="str">
        <f>VLOOKUP("*"&amp;G866&amp;"*",'Ref-List'!$A:$C,3,0)</f>
        <v>Product Line</v>
      </c>
      <c r="J866" s="2"/>
      <c r="K866" s="2"/>
      <c r="L866" s="2">
        <f>sales[[#This Row],[quantity]]*sales[[#This Row],[price]]</f>
        <v>0</v>
      </c>
      <c r="M866" s="9">
        <f>sales[[#This Row],[Total Price]]*3%</f>
        <v>0</v>
      </c>
      <c r="N866" s="171">
        <f>sales[[#This Row],[Total Price]]*2.5%</f>
        <v>0</v>
      </c>
      <c r="O866" s="9">
        <f>sales[[#This Row],[Total Price]]*1.5%</f>
        <v>0</v>
      </c>
      <c r="R866" s="5" t="str">
        <f>_xlfn.CONCAT(sales[[#This Row],[Shop]]," ",sales[[#This Row],[Location]])</f>
        <v xml:space="preserve"> </v>
      </c>
    </row>
    <row r="867" spans="1:18" ht="15.6" customHeight="1">
      <c r="A867" s="7">
        <v>865</v>
      </c>
      <c r="D867" s="2" t="e">
        <f ca="1">OFFSET(Roster!$B$7, MATCH(B867&amp;" "&amp;C867&amp;"*",Roster!$B$8:$B$20,0),DAY(sales[[#This Row],[date]]),1, 1)</f>
        <v>#N/A</v>
      </c>
      <c r="E867" s="2">
        <f>MONTH(sales[[#This Row],[date]])</f>
        <v>1</v>
      </c>
      <c r="G867" s="3" t="str">
        <f>VLOOKUP("*"&amp;sales[[#This Row],[Input]]&amp;"*",'Ref-List'!$A:$C,1,0)</f>
        <v>Model-Input-Ref</v>
      </c>
      <c r="H867" s="2" t="str">
        <f>VLOOKUP("*"&amp;G867&amp;"*",'Ref-List'!$A:$C,3,0)</f>
        <v>Product Line</v>
      </c>
      <c r="J867" s="2"/>
      <c r="K867" s="2"/>
      <c r="L867" s="2">
        <f>sales[[#This Row],[quantity]]*sales[[#This Row],[price]]</f>
        <v>0</v>
      </c>
      <c r="M867" s="9">
        <f>sales[[#This Row],[Total Price]]*3%</f>
        <v>0</v>
      </c>
      <c r="N867" s="171">
        <f>sales[[#This Row],[Total Price]]*2.5%</f>
        <v>0</v>
      </c>
      <c r="O867" s="9">
        <f>sales[[#This Row],[Total Price]]*1.5%</f>
        <v>0</v>
      </c>
      <c r="R867" s="5" t="str">
        <f>_xlfn.CONCAT(sales[[#This Row],[Shop]]," ",sales[[#This Row],[Location]])</f>
        <v xml:space="preserve"> </v>
      </c>
    </row>
    <row r="868" spans="1:18" ht="15.6" customHeight="1">
      <c r="A868" s="7">
        <v>866</v>
      </c>
      <c r="D868" s="2" t="e">
        <f ca="1">OFFSET(Roster!$B$7, MATCH(B868&amp;" "&amp;C868&amp;"*",Roster!$B$8:$B$20,0),DAY(sales[[#This Row],[date]]),1, 1)</f>
        <v>#N/A</v>
      </c>
      <c r="E868" s="2">
        <f>MONTH(sales[[#This Row],[date]])</f>
        <v>1</v>
      </c>
      <c r="G868" s="3" t="str">
        <f>VLOOKUP("*"&amp;sales[[#This Row],[Input]]&amp;"*",'Ref-List'!$A:$C,1,0)</f>
        <v>Model-Input-Ref</v>
      </c>
      <c r="H868" s="2" t="str">
        <f>VLOOKUP("*"&amp;G868&amp;"*",'Ref-List'!$A:$C,3,0)</f>
        <v>Product Line</v>
      </c>
      <c r="J868" s="2"/>
      <c r="K868" s="2"/>
      <c r="L868" s="2">
        <f>sales[[#This Row],[quantity]]*sales[[#This Row],[price]]</f>
        <v>0</v>
      </c>
      <c r="M868" s="9">
        <f>sales[[#This Row],[Total Price]]*3%</f>
        <v>0</v>
      </c>
      <c r="N868" s="171">
        <f>sales[[#This Row],[Total Price]]*2.5%</f>
        <v>0</v>
      </c>
      <c r="O868" s="9">
        <f>sales[[#This Row],[Total Price]]*1.5%</f>
        <v>0</v>
      </c>
      <c r="R868" s="5" t="str">
        <f>_xlfn.CONCAT(sales[[#This Row],[Shop]]," ",sales[[#This Row],[Location]])</f>
        <v xml:space="preserve"> </v>
      </c>
    </row>
    <row r="869" spans="1:18" ht="15.6" customHeight="1">
      <c r="A869" s="7">
        <v>867</v>
      </c>
      <c r="D869" s="2" t="e">
        <f ca="1">OFFSET(Roster!$B$7, MATCH(B869&amp;" "&amp;C869&amp;"*",Roster!$B$8:$B$20,0),DAY(sales[[#This Row],[date]]),1, 1)</f>
        <v>#N/A</v>
      </c>
      <c r="E869" s="2">
        <f>MONTH(sales[[#This Row],[date]])</f>
        <v>1</v>
      </c>
      <c r="G869" s="3" t="str">
        <f>VLOOKUP("*"&amp;sales[[#This Row],[Input]]&amp;"*",'Ref-List'!$A:$C,1,0)</f>
        <v>Model-Input-Ref</v>
      </c>
      <c r="H869" s="2" t="str">
        <f>VLOOKUP("*"&amp;G869&amp;"*",'Ref-List'!$A:$C,3,0)</f>
        <v>Product Line</v>
      </c>
      <c r="J869" s="2"/>
      <c r="K869" s="2"/>
      <c r="L869" s="2">
        <f>sales[[#This Row],[quantity]]*sales[[#This Row],[price]]</f>
        <v>0</v>
      </c>
      <c r="M869" s="9">
        <f>sales[[#This Row],[Total Price]]*3%</f>
        <v>0</v>
      </c>
      <c r="N869" s="171">
        <f>sales[[#This Row],[Total Price]]*2.5%</f>
        <v>0</v>
      </c>
      <c r="O869" s="9">
        <f>sales[[#This Row],[Total Price]]*1.5%</f>
        <v>0</v>
      </c>
      <c r="R869" s="5" t="str">
        <f>_xlfn.CONCAT(sales[[#This Row],[Shop]]," ",sales[[#This Row],[Location]])</f>
        <v xml:space="preserve"> </v>
      </c>
    </row>
    <row r="870" spans="1:18" ht="15.6" customHeight="1">
      <c r="A870" s="7">
        <v>868</v>
      </c>
      <c r="D870" s="2" t="e">
        <f ca="1">OFFSET(Roster!$B$7, MATCH(B870&amp;" "&amp;C870&amp;"*",Roster!$B$8:$B$20,0),DAY(sales[[#This Row],[date]]),1, 1)</f>
        <v>#N/A</v>
      </c>
      <c r="E870" s="2">
        <f>MONTH(sales[[#This Row],[date]])</f>
        <v>1</v>
      </c>
      <c r="G870" s="3" t="str">
        <f>VLOOKUP("*"&amp;sales[[#This Row],[Input]]&amp;"*",'Ref-List'!$A:$C,1,0)</f>
        <v>Model-Input-Ref</v>
      </c>
      <c r="H870" s="2" t="str">
        <f>VLOOKUP("*"&amp;G870&amp;"*",'Ref-List'!$A:$C,3,0)</f>
        <v>Product Line</v>
      </c>
      <c r="J870" s="2"/>
      <c r="K870" s="2"/>
      <c r="L870" s="2">
        <f>sales[[#This Row],[quantity]]*sales[[#This Row],[price]]</f>
        <v>0</v>
      </c>
      <c r="M870" s="9">
        <f>sales[[#This Row],[Total Price]]*3%</f>
        <v>0</v>
      </c>
      <c r="N870" s="171">
        <f>sales[[#This Row],[Total Price]]*2.5%</f>
        <v>0</v>
      </c>
      <c r="O870" s="9">
        <f>sales[[#This Row],[Total Price]]*1.5%</f>
        <v>0</v>
      </c>
      <c r="R870" s="5" t="str">
        <f>_xlfn.CONCAT(sales[[#This Row],[Shop]]," ",sales[[#This Row],[Location]])</f>
        <v xml:space="preserve"> </v>
      </c>
    </row>
    <row r="871" spans="1:18" ht="15.6" customHeight="1">
      <c r="A871" s="7">
        <v>869</v>
      </c>
      <c r="D871" s="2" t="e">
        <f ca="1">OFFSET(Roster!$B$7, MATCH(B871&amp;" "&amp;C871&amp;"*",Roster!$B$8:$B$20,0),DAY(sales[[#This Row],[date]]),1, 1)</f>
        <v>#N/A</v>
      </c>
      <c r="E871" s="2">
        <f>MONTH(sales[[#This Row],[date]])</f>
        <v>1</v>
      </c>
      <c r="G871" s="3" t="str">
        <f>VLOOKUP("*"&amp;sales[[#This Row],[Input]]&amp;"*",'Ref-List'!$A:$C,1,0)</f>
        <v>Model-Input-Ref</v>
      </c>
      <c r="H871" s="2" t="str">
        <f>VLOOKUP("*"&amp;G871&amp;"*",'Ref-List'!$A:$C,3,0)</f>
        <v>Product Line</v>
      </c>
      <c r="J871" s="2"/>
      <c r="K871" s="2"/>
      <c r="L871" s="2">
        <f>sales[[#This Row],[quantity]]*sales[[#This Row],[price]]</f>
        <v>0</v>
      </c>
      <c r="M871" s="9">
        <f>sales[[#This Row],[Total Price]]*3%</f>
        <v>0</v>
      </c>
      <c r="N871" s="171">
        <f>sales[[#This Row],[Total Price]]*2.5%</f>
        <v>0</v>
      </c>
      <c r="O871" s="9">
        <f>sales[[#This Row],[Total Price]]*1.5%</f>
        <v>0</v>
      </c>
      <c r="R871" s="5" t="str">
        <f>_xlfn.CONCAT(sales[[#This Row],[Shop]]," ",sales[[#This Row],[Location]])</f>
        <v xml:space="preserve"> </v>
      </c>
    </row>
    <row r="872" spans="1:18" ht="15.6" customHeight="1">
      <c r="A872" s="7">
        <v>870</v>
      </c>
      <c r="D872" s="2" t="e">
        <f ca="1">OFFSET(Roster!$B$7, MATCH(B872&amp;" "&amp;C872&amp;"*",Roster!$B$8:$B$20,0),DAY(sales[[#This Row],[date]]),1, 1)</f>
        <v>#N/A</v>
      </c>
      <c r="E872" s="2">
        <f>MONTH(sales[[#This Row],[date]])</f>
        <v>1</v>
      </c>
      <c r="F872" s="235"/>
      <c r="G872" s="3" t="str">
        <f>VLOOKUP("*"&amp;sales[[#This Row],[Input]]&amp;"*",'Ref-List'!$A:$C,1,0)</f>
        <v>Model-Input-Ref</v>
      </c>
      <c r="H872" s="2" t="str">
        <f>VLOOKUP("*"&amp;G872&amp;"*",'Ref-List'!$A:$C,3,0)</f>
        <v>Product Line</v>
      </c>
      <c r="I872" s="5"/>
      <c r="J872" s="2"/>
      <c r="K872" s="2"/>
      <c r="L872" s="2">
        <f>sales[[#This Row],[quantity]]*sales[[#This Row],[price]]</f>
        <v>0</v>
      </c>
      <c r="M872" s="9">
        <f>sales[[#This Row],[Total Price]]*3%</f>
        <v>0</v>
      </c>
      <c r="N872" s="171">
        <f>sales[[#This Row],[Total Price]]*2.5%</f>
        <v>0</v>
      </c>
      <c r="O872" s="9">
        <f>sales[[#This Row],[Total Price]]*1.5%</f>
        <v>0</v>
      </c>
      <c r="R872" s="5" t="str">
        <f>_xlfn.CONCAT(sales[[#This Row],[Shop]]," ",sales[[#This Row],[Location]])</f>
        <v xml:space="preserve"> </v>
      </c>
    </row>
    <row r="873" spans="1:18" ht="15.6" customHeight="1">
      <c r="A873" s="7">
        <v>871</v>
      </c>
      <c r="D873" s="2" t="e">
        <f ca="1">OFFSET(Roster!$B$7, MATCH(B873&amp;" "&amp;C873&amp;"*",Roster!$B$8:$B$20,0),DAY(sales[[#This Row],[date]]),1, 1)</f>
        <v>#N/A</v>
      </c>
      <c r="E873" s="2">
        <f>MONTH(sales[[#This Row],[date]])</f>
        <v>1</v>
      </c>
      <c r="F873" s="235"/>
      <c r="G873" s="3" t="str">
        <f>VLOOKUP("*"&amp;sales[[#This Row],[Input]]&amp;"*",'Ref-List'!$A:$C,1,0)</f>
        <v>Model-Input-Ref</v>
      </c>
      <c r="H873" s="2" t="str">
        <f>VLOOKUP("*"&amp;G873&amp;"*",'Ref-List'!$A:$C,3,0)</f>
        <v>Product Line</v>
      </c>
      <c r="I873" s="8"/>
      <c r="J873" s="2"/>
      <c r="K873" s="2"/>
      <c r="L873" s="2">
        <f>sales[[#This Row],[quantity]]*sales[[#This Row],[price]]</f>
        <v>0</v>
      </c>
      <c r="M873" s="9">
        <f>sales[[#This Row],[Total Price]]*3%</f>
        <v>0</v>
      </c>
      <c r="N873" s="171">
        <f>sales[[#This Row],[Total Price]]*2.5%</f>
        <v>0</v>
      </c>
      <c r="O873" s="9">
        <f>sales[[#This Row],[Total Price]]*1.5%</f>
        <v>0</v>
      </c>
      <c r="R873" s="5" t="str">
        <f>_xlfn.CONCAT(sales[[#This Row],[Shop]]," ",sales[[#This Row],[Location]])</f>
        <v xml:space="preserve"> </v>
      </c>
    </row>
    <row r="874" spans="1:18" ht="15.6" customHeight="1">
      <c r="A874" s="7">
        <v>872</v>
      </c>
      <c r="D874" s="2" t="e">
        <f ca="1">OFFSET(Roster!$B$7, MATCH(B874&amp;" "&amp;C874&amp;"*",Roster!$B$8:$B$20,0),DAY(sales[[#This Row],[date]]),1, 1)</f>
        <v>#N/A</v>
      </c>
      <c r="E874" s="2">
        <f>MONTH(sales[[#This Row],[date]])</f>
        <v>1</v>
      </c>
      <c r="F874" s="235"/>
      <c r="G874" s="3" t="str">
        <f>VLOOKUP("*"&amp;sales[[#This Row],[Input]]&amp;"*",'Ref-List'!$A:$C,1,0)</f>
        <v>Model-Input-Ref</v>
      </c>
      <c r="H874" s="2" t="str">
        <f>VLOOKUP("*"&amp;G874&amp;"*",'Ref-List'!$A:$C,3,0)</f>
        <v>Product Line</v>
      </c>
      <c r="I874" s="8"/>
      <c r="J874" s="2"/>
      <c r="K874" s="2"/>
      <c r="L874" s="2">
        <f>sales[[#This Row],[quantity]]*sales[[#This Row],[price]]</f>
        <v>0</v>
      </c>
      <c r="M874" s="9">
        <f>sales[[#This Row],[Total Price]]*3%</f>
        <v>0</v>
      </c>
      <c r="N874" s="171">
        <f>sales[[#This Row],[Total Price]]*2.5%</f>
        <v>0</v>
      </c>
      <c r="O874" s="9">
        <f>sales[[#This Row],[Total Price]]*1.5%</f>
        <v>0</v>
      </c>
      <c r="R874" s="5" t="str">
        <f>_xlfn.CONCAT(sales[[#This Row],[Shop]]," ",sales[[#This Row],[Location]])</f>
        <v xml:space="preserve"> </v>
      </c>
    </row>
    <row r="875" spans="1:18" ht="15.6" customHeight="1">
      <c r="A875" s="7">
        <v>873</v>
      </c>
      <c r="D875" s="2" t="e">
        <f ca="1">OFFSET(Roster!$B$7, MATCH(B875&amp;" "&amp;C875&amp;"*",Roster!$B$8:$B$20,0),DAY(sales[[#This Row],[date]]),1, 1)</f>
        <v>#N/A</v>
      </c>
      <c r="E875" s="2">
        <f>MONTH(sales[[#This Row],[date]])</f>
        <v>1</v>
      </c>
      <c r="F875" s="235"/>
      <c r="G875" s="3" t="str">
        <f>VLOOKUP("*"&amp;sales[[#This Row],[Input]]&amp;"*",'Ref-List'!$A:$C,1,0)</f>
        <v>Model-Input-Ref</v>
      </c>
      <c r="H875" s="2" t="str">
        <f>VLOOKUP("*"&amp;G875&amp;"*",'Ref-List'!$A:$C,3,0)</f>
        <v>Product Line</v>
      </c>
      <c r="I875" s="8"/>
      <c r="J875" s="2"/>
      <c r="K875" s="2"/>
      <c r="L875" s="2">
        <f>sales[[#This Row],[quantity]]*sales[[#This Row],[price]]</f>
        <v>0</v>
      </c>
      <c r="M875" s="9">
        <f>sales[[#This Row],[Total Price]]*3%</f>
        <v>0</v>
      </c>
      <c r="N875" s="171">
        <f>sales[[#This Row],[Total Price]]*2.5%</f>
        <v>0</v>
      </c>
      <c r="O875" s="9">
        <f>sales[[#This Row],[Total Price]]*1.5%</f>
        <v>0</v>
      </c>
      <c r="R875" s="5" t="str">
        <f>_xlfn.CONCAT(sales[[#This Row],[Shop]]," ",sales[[#This Row],[Location]])</f>
        <v xml:space="preserve"> </v>
      </c>
    </row>
    <row r="876" spans="1:18" ht="15.6" customHeight="1">
      <c r="A876" s="7">
        <v>874</v>
      </c>
      <c r="D876" s="2" t="e">
        <f ca="1">OFFSET(Roster!$B$7, MATCH(B876&amp;" "&amp;C876&amp;"*",Roster!$B$8:$B$20,0),DAY(sales[[#This Row],[date]]),1, 1)</f>
        <v>#N/A</v>
      </c>
      <c r="E876" s="2">
        <f>MONTH(sales[[#This Row],[date]])</f>
        <v>1</v>
      </c>
      <c r="F876" s="235"/>
      <c r="G876" s="3" t="str">
        <f>VLOOKUP("*"&amp;sales[[#This Row],[Input]]&amp;"*",'Ref-List'!$A:$C,1,0)</f>
        <v>Model-Input-Ref</v>
      </c>
      <c r="H876" s="2" t="str">
        <f>VLOOKUP("*"&amp;G876&amp;"*",'Ref-List'!$A:$C,3,0)</f>
        <v>Product Line</v>
      </c>
      <c r="I876" s="8"/>
      <c r="J876" s="2"/>
      <c r="K876" s="2"/>
      <c r="L876" s="2">
        <f>sales[[#This Row],[quantity]]*sales[[#This Row],[price]]</f>
        <v>0</v>
      </c>
      <c r="M876" s="9">
        <f>sales[[#This Row],[Total Price]]*3%</f>
        <v>0</v>
      </c>
      <c r="N876" s="171">
        <f>sales[[#This Row],[Total Price]]*2.5%</f>
        <v>0</v>
      </c>
      <c r="O876" s="9">
        <f>sales[[#This Row],[Total Price]]*1.5%</f>
        <v>0</v>
      </c>
      <c r="R876" s="5" t="str">
        <f>_xlfn.CONCAT(sales[[#This Row],[Shop]]," ",sales[[#This Row],[Location]])</f>
        <v xml:space="preserve"> </v>
      </c>
    </row>
    <row r="877" spans="1:18" ht="15.6" customHeight="1">
      <c r="A877" s="7">
        <v>875</v>
      </c>
      <c r="D877" s="2" t="e">
        <f ca="1">OFFSET(Roster!$B$7, MATCH(B877&amp;" "&amp;C877&amp;"*",Roster!$B$8:$B$20,0),DAY(sales[[#This Row],[date]]),1, 1)</f>
        <v>#N/A</v>
      </c>
      <c r="E877" s="2">
        <f>MONTH(sales[[#This Row],[date]])</f>
        <v>1</v>
      </c>
      <c r="F877" s="235"/>
      <c r="G877" s="3" t="str">
        <f>VLOOKUP("*"&amp;sales[[#This Row],[Input]]&amp;"*",'Ref-List'!$A:$C,1,0)</f>
        <v>Model-Input-Ref</v>
      </c>
      <c r="H877" s="2" t="str">
        <f>VLOOKUP("*"&amp;G877&amp;"*",'Ref-List'!$A:$C,3,0)</f>
        <v>Product Line</v>
      </c>
      <c r="I877" s="8"/>
      <c r="J877" s="2"/>
      <c r="K877" s="2"/>
      <c r="L877" s="2">
        <f>sales[[#This Row],[quantity]]*sales[[#This Row],[price]]</f>
        <v>0</v>
      </c>
      <c r="M877" s="9">
        <f>sales[[#This Row],[Total Price]]*3%</f>
        <v>0</v>
      </c>
      <c r="N877" s="171">
        <f>sales[[#This Row],[Total Price]]*2.5%</f>
        <v>0</v>
      </c>
      <c r="O877" s="9">
        <f>sales[[#This Row],[Total Price]]*1.5%</f>
        <v>0</v>
      </c>
      <c r="R877" s="5" t="str">
        <f>_xlfn.CONCAT(sales[[#This Row],[Shop]]," ",sales[[#This Row],[Location]])</f>
        <v xml:space="preserve"> </v>
      </c>
    </row>
    <row r="878" spans="1:18" ht="15.6" customHeight="1">
      <c r="A878" s="7">
        <v>876</v>
      </c>
      <c r="D878" s="2" t="e">
        <f ca="1">OFFSET(Roster!$B$7, MATCH(B878&amp;" "&amp;C878&amp;"*",Roster!$B$8:$B$20,0),DAY(sales[[#This Row],[date]]),1, 1)</f>
        <v>#N/A</v>
      </c>
      <c r="E878" s="2">
        <f>MONTH(sales[[#This Row],[date]])</f>
        <v>1</v>
      </c>
      <c r="F878" s="235"/>
      <c r="G878" s="3" t="str">
        <f>VLOOKUP("*"&amp;sales[[#This Row],[Input]]&amp;"*",'Ref-List'!$A:$C,1,0)</f>
        <v>Model-Input-Ref</v>
      </c>
      <c r="H878" s="2" t="str">
        <f>VLOOKUP("*"&amp;G878&amp;"*",'Ref-List'!$A:$C,3,0)</f>
        <v>Product Line</v>
      </c>
      <c r="I878" s="8"/>
      <c r="J878" s="2"/>
      <c r="K878" s="2"/>
      <c r="L878" s="2">
        <f>sales[[#This Row],[quantity]]*sales[[#This Row],[price]]</f>
        <v>0</v>
      </c>
      <c r="M878" s="9">
        <f>sales[[#This Row],[Total Price]]*3%</f>
        <v>0</v>
      </c>
      <c r="N878" s="171">
        <f>sales[[#This Row],[Total Price]]*2.5%</f>
        <v>0</v>
      </c>
      <c r="O878" s="9">
        <f>sales[[#This Row],[Total Price]]*1.5%</f>
        <v>0</v>
      </c>
      <c r="R878" s="5" t="str">
        <f>_xlfn.CONCAT(sales[[#This Row],[Shop]]," ",sales[[#This Row],[Location]])</f>
        <v xml:space="preserve"> </v>
      </c>
    </row>
    <row r="879" spans="1:18" ht="15.6" customHeight="1">
      <c r="A879" s="7">
        <v>877</v>
      </c>
      <c r="D879" s="2" t="e">
        <f ca="1">OFFSET(Roster!$B$7, MATCH(B879&amp;" "&amp;C879&amp;"*",Roster!$B$8:$B$20,0),DAY(sales[[#This Row],[date]]),1, 1)</f>
        <v>#N/A</v>
      </c>
      <c r="E879" s="2">
        <f>MONTH(sales[[#This Row],[date]])</f>
        <v>1</v>
      </c>
      <c r="F879" s="235"/>
      <c r="G879" s="3" t="str">
        <f>VLOOKUP("*"&amp;sales[[#This Row],[Input]]&amp;"*",'Ref-List'!$A:$C,1,0)</f>
        <v>Model-Input-Ref</v>
      </c>
      <c r="H879" s="2" t="str">
        <f>VLOOKUP("*"&amp;G879&amp;"*",'Ref-List'!$A:$C,3,0)</f>
        <v>Product Line</v>
      </c>
      <c r="I879" s="8"/>
      <c r="J879" s="2"/>
      <c r="K879" s="2"/>
      <c r="L879" s="2">
        <f>sales[[#This Row],[quantity]]*sales[[#This Row],[price]]</f>
        <v>0</v>
      </c>
      <c r="M879" s="9">
        <f>sales[[#This Row],[Total Price]]*3%</f>
        <v>0</v>
      </c>
      <c r="N879" s="171">
        <f>sales[[#This Row],[Total Price]]*2.5%</f>
        <v>0</v>
      </c>
      <c r="O879" s="9">
        <f>sales[[#This Row],[Total Price]]*1.5%</f>
        <v>0</v>
      </c>
      <c r="R879" s="5" t="str">
        <f>_xlfn.CONCAT(sales[[#This Row],[Shop]]," ",sales[[#This Row],[Location]])</f>
        <v xml:space="preserve"> </v>
      </c>
    </row>
    <row r="880" spans="1:18" ht="15.6" customHeight="1">
      <c r="A880" s="7">
        <v>878</v>
      </c>
      <c r="D880" s="2" t="e">
        <f ca="1">OFFSET(Roster!$B$7, MATCH(B880&amp;" "&amp;C880&amp;"*",Roster!$B$8:$B$20,0),DAY(sales[[#This Row],[date]]),1, 1)</f>
        <v>#N/A</v>
      </c>
      <c r="E880" s="2">
        <f>MONTH(sales[[#This Row],[date]])</f>
        <v>1</v>
      </c>
      <c r="F880" s="235"/>
      <c r="G880" s="3" t="str">
        <f>VLOOKUP("*"&amp;sales[[#This Row],[Input]]&amp;"*",'Ref-List'!$A:$C,1,0)</f>
        <v>Model-Input-Ref</v>
      </c>
      <c r="H880" s="2" t="str">
        <f>VLOOKUP("*"&amp;G880&amp;"*",'Ref-List'!$A:$C,3,0)</f>
        <v>Product Line</v>
      </c>
      <c r="I880" s="8"/>
      <c r="J880" s="2"/>
      <c r="K880" s="2"/>
      <c r="L880" s="2">
        <f>sales[[#This Row],[quantity]]*sales[[#This Row],[price]]</f>
        <v>0</v>
      </c>
      <c r="M880" s="9">
        <f>sales[[#This Row],[Total Price]]*3%</f>
        <v>0</v>
      </c>
      <c r="N880" s="171">
        <f>sales[[#This Row],[Total Price]]*2.5%</f>
        <v>0</v>
      </c>
      <c r="O880" s="9">
        <f>sales[[#This Row],[Total Price]]*1.5%</f>
        <v>0</v>
      </c>
      <c r="R880" s="5" t="str">
        <f>_xlfn.CONCAT(sales[[#This Row],[Shop]]," ",sales[[#This Row],[Location]])</f>
        <v xml:space="preserve"> </v>
      </c>
    </row>
    <row r="881" spans="1:18" ht="15.6" customHeight="1">
      <c r="A881" s="7">
        <v>879</v>
      </c>
      <c r="D881" s="2" t="e">
        <f ca="1">OFFSET(Roster!$B$7, MATCH(B881&amp;" "&amp;C881&amp;"*",Roster!$B$8:$B$20,0),DAY(sales[[#This Row],[date]]),1, 1)</f>
        <v>#N/A</v>
      </c>
      <c r="E881" s="2">
        <f>MONTH(sales[[#This Row],[date]])</f>
        <v>1</v>
      </c>
      <c r="F881" s="235"/>
      <c r="G881" s="3" t="str">
        <f>VLOOKUP("*"&amp;sales[[#This Row],[Input]]&amp;"*",'Ref-List'!$A:$C,1,0)</f>
        <v>Model-Input-Ref</v>
      </c>
      <c r="H881" s="2" t="str">
        <f>VLOOKUP("*"&amp;G881&amp;"*",'Ref-List'!$A:$C,3,0)</f>
        <v>Product Line</v>
      </c>
      <c r="I881" s="8"/>
      <c r="J881" s="2"/>
      <c r="K881" s="2"/>
      <c r="L881" s="2">
        <f>sales[[#This Row],[quantity]]*sales[[#This Row],[price]]</f>
        <v>0</v>
      </c>
      <c r="M881" s="9">
        <f>sales[[#This Row],[Total Price]]*3%</f>
        <v>0</v>
      </c>
      <c r="N881" s="171">
        <f>sales[[#This Row],[Total Price]]*2.5%</f>
        <v>0</v>
      </c>
      <c r="O881" s="9">
        <f>sales[[#This Row],[Total Price]]*1.5%</f>
        <v>0</v>
      </c>
      <c r="R881" s="5" t="str">
        <f>_xlfn.CONCAT(sales[[#This Row],[Shop]]," ",sales[[#This Row],[Location]])</f>
        <v xml:space="preserve"> </v>
      </c>
    </row>
    <row r="882" spans="1:18" ht="15.6" customHeight="1">
      <c r="A882" s="7">
        <v>880</v>
      </c>
      <c r="D882" s="2" t="e">
        <f ca="1">OFFSET(Roster!$B$7, MATCH(B882&amp;" "&amp;C882&amp;"*",Roster!$B$8:$B$20,0),DAY(sales[[#This Row],[date]]),1, 1)</f>
        <v>#N/A</v>
      </c>
      <c r="E882" s="2">
        <f>MONTH(sales[[#This Row],[date]])</f>
        <v>1</v>
      </c>
      <c r="F882" s="235"/>
      <c r="G882" s="3" t="str">
        <f>VLOOKUP("*"&amp;sales[[#This Row],[Input]]&amp;"*",'Ref-List'!$A:$C,1,0)</f>
        <v>Model-Input-Ref</v>
      </c>
      <c r="H882" s="2" t="str">
        <f>VLOOKUP("*"&amp;G882&amp;"*",'Ref-List'!$A:$C,3,0)</f>
        <v>Product Line</v>
      </c>
      <c r="I882" s="8"/>
      <c r="J882" s="2"/>
      <c r="K882" s="2"/>
      <c r="L882" s="2">
        <f>sales[[#This Row],[quantity]]*sales[[#This Row],[price]]</f>
        <v>0</v>
      </c>
      <c r="M882" s="9">
        <f>sales[[#This Row],[Total Price]]*3%</f>
        <v>0</v>
      </c>
      <c r="N882" s="171">
        <f>sales[[#This Row],[Total Price]]*2.5%</f>
        <v>0</v>
      </c>
      <c r="O882" s="9">
        <f>sales[[#This Row],[Total Price]]*1.5%</f>
        <v>0</v>
      </c>
      <c r="R882" s="5" t="str">
        <f>_xlfn.CONCAT(sales[[#This Row],[Shop]]," ",sales[[#This Row],[Location]])</f>
        <v xml:space="preserve"> </v>
      </c>
    </row>
    <row r="883" spans="1:18" ht="15.6" customHeight="1">
      <c r="A883" s="7">
        <v>881</v>
      </c>
      <c r="D883" s="2" t="e">
        <f ca="1">OFFSET(Roster!$B$7, MATCH(B883&amp;" "&amp;C883&amp;"*",Roster!$B$8:$B$20,0),DAY(sales[[#This Row],[date]]),1, 1)</f>
        <v>#N/A</v>
      </c>
      <c r="E883" s="2">
        <f>MONTH(sales[[#This Row],[date]])</f>
        <v>1</v>
      </c>
      <c r="F883" s="235"/>
      <c r="G883" s="3" t="str">
        <f>VLOOKUP("*"&amp;sales[[#This Row],[Input]]&amp;"*",'Ref-List'!$A:$C,1,0)</f>
        <v>Model-Input-Ref</v>
      </c>
      <c r="H883" s="2" t="str">
        <f>VLOOKUP("*"&amp;G883&amp;"*",'Ref-List'!$A:$C,3,0)</f>
        <v>Product Line</v>
      </c>
      <c r="I883" s="8"/>
      <c r="J883" s="2"/>
      <c r="K883" s="2"/>
      <c r="L883" s="2">
        <f>sales[[#This Row],[quantity]]*sales[[#This Row],[price]]</f>
        <v>0</v>
      </c>
      <c r="M883" s="9">
        <f>sales[[#This Row],[Total Price]]*3%</f>
        <v>0</v>
      </c>
      <c r="N883" s="171">
        <f>sales[[#This Row],[Total Price]]*2.5%</f>
        <v>0</v>
      </c>
      <c r="O883" s="9">
        <f>sales[[#This Row],[Total Price]]*1.5%</f>
        <v>0</v>
      </c>
      <c r="R883" s="5" t="str">
        <f>_xlfn.CONCAT(sales[[#This Row],[Shop]]," ",sales[[#This Row],[Location]])</f>
        <v xml:space="preserve"> </v>
      </c>
    </row>
    <row r="884" spans="1:18" ht="15.6" customHeight="1">
      <c r="A884" s="7">
        <v>882</v>
      </c>
      <c r="D884" s="2" t="e">
        <f ca="1">OFFSET(Roster!$B$7, MATCH(B884&amp;" "&amp;C884&amp;"*",Roster!$B$8:$B$20,0),DAY(sales[[#This Row],[date]]),1, 1)</f>
        <v>#N/A</v>
      </c>
      <c r="E884" s="2">
        <f>MONTH(sales[[#This Row],[date]])</f>
        <v>1</v>
      </c>
      <c r="F884" s="235"/>
      <c r="G884" s="3" t="str">
        <f>VLOOKUP("*"&amp;sales[[#This Row],[Input]]&amp;"*",'Ref-List'!$A:$C,1,0)</f>
        <v>Model-Input-Ref</v>
      </c>
      <c r="H884" s="2" t="str">
        <f>VLOOKUP("*"&amp;G884&amp;"*",'Ref-List'!$A:$C,3,0)</f>
        <v>Product Line</v>
      </c>
      <c r="J884" s="2"/>
      <c r="K884" s="2"/>
      <c r="L884" s="2">
        <f>sales[[#This Row],[quantity]]*sales[[#This Row],[price]]</f>
        <v>0</v>
      </c>
      <c r="M884" s="9">
        <f>sales[[#This Row],[Total Price]]*3%</f>
        <v>0</v>
      </c>
      <c r="N884" s="171">
        <f>sales[[#This Row],[Total Price]]*2.5%</f>
        <v>0</v>
      </c>
      <c r="O884" s="9">
        <f>sales[[#This Row],[Total Price]]*1.5%</f>
        <v>0</v>
      </c>
      <c r="R884" s="5" t="str">
        <f>_xlfn.CONCAT(sales[[#This Row],[Shop]]," ",sales[[#This Row],[Location]])</f>
        <v xml:space="preserve"> </v>
      </c>
    </row>
    <row r="885" spans="1:18" ht="15.6" customHeight="1">
      <c r="A885" s="7">
        <v>883</v>
      </c>
      <c r="D885" s="2" t="e">
        <f ca="1">OFFSET(Roster!$B$7, MATCH(B885&amp;" "&amp;C885&amp;"*",Roster!$B$8:$B$20,0),DAY(sales[[#This Row],[date]]),1, 1)</f>
        <v>#N/A</v>
      </c>
      <c r="E885" s="2">
        <f>MONTH(sales[[#This Row],[date]])</f>
        <v>1</v>
      </c>
      <c r="F885" s="235"/>
      <c r="G885" s="3" t="str">
        <f>VLOOKUP("*"&amp;sales[[#This Row],[Input]]&amp;"*",'Ref-List'!$A:$C,1,0)</f>
        <v>Model-Input-Ref</v>
      </c>
      <c r="H885" s="2" t="str">
        <f>VLOOKUP("*"&amp;G885&amp;"*",'Ref-List'!$A:$C,3,0)</f>
        <v>Product Line</v>
      </c>
      <c r="I885" s="8"/>
      <c r="J885" s="2"/>
      <c r="K885" s="2"/>
      <c r="L885" s="2">
        <f>sales[[#This Row],[quantity]]*sales[[#This Row],[price]]</f>
        <v>0</v>
      </c>
      <c r="M885" s="9">
        <f>sales[[#This Row],[Total Price]]*3%</f>
        <v>0</v>
      </c>
      <c r="N885" s="171">
        <f>sales[[#This Row],[Total Price]]*2.5%</f>
        <v>0</v>
      </c>
      <c r="O885" s="9">
        <f>sales[[#This Row],[Total Price]]*1.5%</f>
        <v>0</v>
      </c>
      <c r="R885" s="5" t="str">
        <f>_xlfn.CONCAT(sales[[#This Row],[Shop]]," ",sales[[#This Row],[Location]])</f>
        <v xml:space="preserve"> </v>
      </c>
    </row>
    <row r="886" spans="1:18" ht="15.6" customHeight="1">
      <c r="A886" s="7">
        <v>884</v>
      </c>
      <c r="D886" s="2" t="e">
        <f ca="1">OFFSET(Roster!$B$7, MATCH(B886&amp;" "&amp;C886&amp;"*",Roster!$B$8:$B$20,0),DAY(sales[[#This Row],[date]]),1, 1)</f>
        <v>#N/A</v>
      </c>
      <c r="E886" s="2">
        <f>MONTH(sales[[#This Row],[date]])</f>
        <v>1</v>
      </c>
      <c r="F886" s="235"/>
      <c r="G886" s="3" t="str">
        <f>VLOOKUP("*"&amp;sales[[#This Row],[Input]]&amp;"*",'Ref-List'!$A:$C,1,0)</f>
        <v>Model-Input-Ref</v>
      </c>
      <c r="H886" s="2" t="str">
        <f>VLOOKUP("*"&amp;G886&amp;"*",'Ref-List'!$A:$C,3,0)</f>
        <v>Product Line</v>
      </c>
      <c r="I886" s="8"/>
      <c r="J886" s="2"/>
      <c r="K886" s="2"/>
      <c r="L886" s="2">
        <f>sales[[#This Row],[quantity]]*sales[[#This Row],[price]]</f>
        <v>0</v>
      </c>
      <c r="M886" s="9">
        <f>sales[[#This Row],[Total Price]]*3%</f>
        <v>0</v>
      </c>
      <c r="N886" s="171">
        <f>sales[[#This Row],[Total Price]]*2.5%</f>
        <v>0</v>
      </c>
      <c r="O886" s="9">
        <f>sales[[#This Row],[Total Price]]*1.5%</f>
        <v>0</v>
      </c>
      <c r="R886" s="5" t="str">
        <f>_xlfn.CONCAT(sales[[#This Row],[Shop]]," ",sales[[#This Row],[Location]])</f>
        <v xml:space="preserve"> </v>
      </c>
    </row>
    <row r="887" spans="1:18" ht="15.6" customHeight="1">
      <c r="A887" s="7">
        <v>885</v>
      </c>
      <c r="D887" s="2" t="e">
        <f ca="1">OFFSET(Roster!$B$7, MATCH(B887&amp;" "&amp;C887&amp;"*",Roster!$B$8:$B$20,0),DAY(sales[[#This Row],[date]]),1, 1)</f>
        <v>#N/A</v>
      </c>
      <c r="E887" s="2">
        <f>MONTH(sales[[#This Row],[date]])</f>
        <v>1</v>
      </c>
      <c r="F887" s="235"/>
      <c r="G887" s="3" t="str">
        <f>VLOOKUP("*"&amp;sales[[#This Row],[Input]]&amp;"*",'Ref-List'!$A:$C,1,0)</f>
        <v>Model-Input-Ref</v>
      </c>
      <c r="H887" s="2" t="str">
        <f>VLOOKUP("*"&amp;G887&amp;"*",'Ref-List'!$A:$C,3,0)</f>
        <v>Product Line</v>
      </c>
      <c r="I887" s="8"/>
      <c r="J887" s="2"/>
      <c r="K887" s="2"/>
      <c r="L887" s="2">
        <f>sales[[#This Row],[quantity]]*sales[[#This Row],[price]]</f>
        <v>0</v>
      </c>
      <c r="M887" s="9">
        <f>sales[[#This Row],[Total Price]]*3%</f>
        <v>0</v>
      </c>
      <c r="N887" s="171">
        <f>sales[[#This Row],[Total Price]]*2.5%</f>
        <v>0</v>
      </c>
      <c r="O887" s="9">
        <f>sales[[#This Row],[Total Price]]*1.5%</f>
        <v>0</v>
      </c>
      <c r="R887" s="5" t="str">
        <f>_xlfn.CONCAT(sales[[#This Row],[Shop]]," ",sales[[#This Row],[Location]])</f>
        <v xml:space="preserve"> </v>
      </c>
    </row>
    <row r="888" spans="1:18" ht="15.6" customHeight="1">
      <c r="A888" s="7">
        <v>886</v>
      </c>
      <c r="D888" s="2" t="e">
        <f ca="1">OFFSET(Roster!$B$7, MATCH(B888&amp;" "&amp;C888&amp;"*",Roster!$B$8:$B$20,0),DAY(sales[[#This Row],[date]]),1, 1)</f>
        <v>#N/A</v>
      </c>
      <c r="E888" s="2">
        <f>MONTH(sales[[#This Row],[date]])</f>
        <v>1</v>
      </c>
      <c r="F888" s="235"/>
      <c r="G888" s="3" t="str">
        <f>VLOOKUP("*"&amp;sales[[#This Row],[Input]]&amp;"*",'Ref-List'!$A:$C,1,0)</f>
        <v>Model-Input-Ref</v>
      </c>
      <c r="H888" s="2" t="str">
        <f>VLOOKUP("*"&amp;G888&amp;"*",'Ref-List'!$A:$C,3,0)</f>
        <v>Product Line</v>
      </c>
      <c r="I888" s="8"/>
      <c r="J888" s="2"/>
      <c r="K888" s="2"/>
      <c r="L888" s="2">
        <f>sales[[#This Row],[quantity]]*sales[[#This Row],[price]]</f>
        <v>0</v>
      </c>
      <c r="M888" s="9">
        <f>sales[[#This Row],[Total Price]]*3%</f>
        <v>0</v>
      </c>
      <c r="N888" s="171">
        <f>sales[[#This Row],[Total Price]]*2.5%</f>
        <v>0</v>
      </c>
      <c r="O888" s="9">
        <f>sales[[#This Row],[Total Price]]*1.5%</f>
        <v>0</v>
      </c>
      <c r="R888" s="5" t="str">
        <f>_xlfn.CONCAT(sales[[#This Row],[Shop]]," ",sales[[#This Row],[Location]])</f>
        <v xml:space="preserve"> </v>
      </c>
    </row>
    <row r="889" spans="1:18" ht="15.6" customHeight="1">
      <c r="A889" s="7">
        <v>887</v>
      </c>
      <c r="D889" s="2" t="e">
        <f ca="1">OFFSET(Roster!$B$7, MATCH(B889&amp;" "&amp;C889&amp;"*",Roster!$B$8:$B$20,0),DAY(sales[[#This Row],[date]]),1, 1)</f>
        <v>#N/A</v>
      </c>
      <c r="E889" s="2">
        <f>MONTH(sales[[#This Row],[date]])</f>
        <v>1</v>
      </c>
      <c r="F889" s="235"/>
      <c r="G889" s="3" t="str">
        <f>VLOOKUP("*"&amp;sales[[#This Row],[Input]]&amp;"*",'Ref-List'!$A:$C,1,0)</f>
        <v>Model-Input-Ref</v>
      </c>
      <c r="H889" s="2" t="str">
        <f>VLOOKUP("*"&amp;G889&amp;"*",'Ref-List'!$A:$C,3,0)</f>
        <v>Product Line</v>
      </c>
      <c r="I889" s="8"/>
      <c r="J889" s="2"/>
      <c r="K889" s="2"/>
      <c r="L889" s="2">
        <f>sales[[#This Row],[quantity]]*sales[[#This Row],[price]]</f>
        <v>0</v>
      </c>
      <c r="M889" s="9">
        <f>sales[[#This Row],[Total Price]]*3%</f>
        <v>0</v>
      </c>
      <c r="N889" s="171">
        <f>sales[[#This Row],[Total Price]]*2.5%</f>
        <v>0</v>
      </c>
      <c r="O889" s="9">
        <f>sales[[#This Row],[Total Price]]*1.5%</f>
        <v>0</v>
      </c>
      <c r="R889" s="5" t="str">
        <f>_xlfn.CONCAT(sales[[#This Row],[Shop]]," ",sales[[#This Row],[Location]])</f>
        <v xml:space="preserve"> </v>
      </c>
    </row>
    <row r="890" spans="1:18" ht="15.6" customHeight="1">
      <c r="A890" s="7">
        <v>888</v>
      </c>
      <c r="D890" s="2" t="e">
        <f ca="1">OFFSET(Roster!$B$7, MATCH(B890&amp;" "&amp;C890&amp;"*",Roster!$B$8:$B$20,0),DAY(sales[[#This Row],[date]]),1, 1)</f>
        <v>#N/A</v>
      </c>
      <c r="E890" s="2">
        <f>MONTH(sales[[#This Row],[date]])</f>
        <v>1</v>
      </c>
      <c r="F890" s="235"/>
      <c r="G890" s="3" t="str">
        <f>VLOOKUP("*"&amp;sales[[#This Row],[Input]]&amp;"*",'Ref-List'!$A:$C,1,0)</f>
        <v>Model-Input-Ref</v>
      </c>
      <c r="H890" s="2" t="str">
        <f>VLOOKUP("*"&amp;G890&amp;"*",'Ref-List'!$A:$C,3,0)</f>
        <v>Product Line</v>
      </c>
      <c r="I890" s="8"/>
      <c r="J890" s="2"/>
      <c r="K890" s="2"/>
      <c r="L890" s="2">
        <f>sales[[#This Row],[quantity]]*sales[[#This Row],[price]]</f>
        <v>0</v>
      </c>
      <c r="M890" s="9">
        <f>sales[[#This Row],[Total Price]]*3%</f>
        <v>0</v>
      </c>
      <c r="N890" s="171">
        <f>sales[[#This Row],[Total Price]]*2.5%</f>
        <v>0</v>
      </c>
      <c r="O890" s="9">
        <f>sales[[#This Row],[Total Price]]*1.5%</f>
        <v>0</v>
      </c>
      <c r="R890" s="5" t="str">
        <f>_xlfn.CONCAT(sales[[#This Row],[Shop]]," ",sales[[#This Row],[Location]])</f>
        <v xml:space="preserve"> </v>
      </c>
    </row>
    <row r="891" spans="1:18" ht="15.6" customHeight="1">
      <c r="A891" s="7">
        <v>889</v>
      </c>
      <c r="D891" s="2" t="e">
        <f ca="1">OFFSET(Roster!$B$7, MATCH(B891&amp;" "&amp;C891&amp;"*",Roster!$B$8:$B$20,0),DAY(sales[[#This Row],[date]]),1, 1)</f>
        <v>#N/A</v>
      </c>
      <c r="E891" s="2">
        <f>MONTH(sales[[#This Row],[date]])</f>
        <v>1</v>
      </c>
      <c r="F891" s="235"/>
      <c r="G891" s="3" t="str">
        <f>VLOOKUP("*"&amp;sales[[#This Row],[Input]]&amp;"*",'Ref-List'!$A:$C,1,0)</f>
        <v>Model-Input-Ref</v>
      </c>
      <c r="H891" s="2" t="str">
        <f>VLOOKUP("*"&amp;G891&amp;"*",'Ref-List'!$A:$C,3,0)</f>
        <v>Product Line</v>
      </c>
      <c r="I891" s="8"/>
      <c r="J891" s="2"/>
      <c r="K891" s="2"/>
      <c r="L891" s="2">
        <f>sales[[#This Row],[quantity]]*sales[[#This Row],[price]]</f>
        <v>0</v>
      </c>
      <c r="M891" s="9">
        <f>sales[[#This Row],[Total Price]]*3%</f>
        <v>0</v>
      </c>
      <c r="N891" s="171">
        <f>sales[[#This Row],[Total Price]]*2.5%</f>
        <v>0</v>
      </c>
      <c r="O891" s="9">
        <f>sales[[#This Row],[Total Price]]*1.5%</f>
        <v>0</v>
      </c>
      <c r="R891" s="5" t="str">
        <f>_xlfn.CONCAT(sales[[#This Row],[Shop]]," ",sales[[#This Row],[Location]])</f>
        <v xml:space="preserve"> </v>
      </c>
    </row>
    <row r="892" spans="1:18" ht="15.6" customHeight="1">
      <c r="A892" s="7">
        <v>890</v>
      </c>
      <c r="D892" s="2" t="e">
        <f ca="1">OFFSET(Roster!$B$7, MATCH(B892&amp;" "&amp;C892&amp;"*",Roster!$B$8:$B$20,0),DAY(sales[[#This Row],[date]]),1, 1)</f>
        <v>#N/A</v>
      </c>
      <c r="E892" s="2">
        <f>MONTH(sales[[#This Row],[date]])</f>
        <v>1</v>
      </c>
      <c r="F892" s="235"/>
      <c r="G892" s="3" t="str">
        <f>VLOOKUP("*"&amp;sales[[#This Row],[Input]]&amp;"*",'Ref-List'!$A:$C,1,0)</f>
        <v>Model-Input-Ref</v>
      </c>
      <c r="H892" s="2" t="str">
        <f>VLOOKUP("*"&amp;G892&amp;"*",'Ref-List'!$A:$C,3,0)</f>
        <v>Product Line</v>
      </c>
      <c r="I892" s="8"/>
      <c r="J892" s="2"/>
      <c r="K892" s="2"/>
      <c r="L892" s="2">
        <f>sales[[#This Row],[quantity]]*sales[[#This Row],[price]]</f>
        <v>0</v>
      </c>
      <c r="M892" s="9">
        <f>sales[[#This Row],[Total Price]]*3%</f>
        <v>0</v>
      </c>
      <c r="N892" s="171">
        <f>sales[[#This Row],[Total Price]]*2.5%</f>
        <v>0</v>
      </c>
      <c r="O892" s="9">
        <f>sales[[#This Row],[Total Price]]*1.5%</f>
        <v>0</v>
      </c>
      <c r="R892" s="5" t="str">
        <f>_xlfn.CONCAT(sales[[#This Row],[Shop]]," ",sales[[#This Row],[Location]])</f>
        <v xml:space="preserve"> </v>
      </c>
    </row>
    <row r="893" spans="1:18" ht="15.6" customHeight="1">
      <c r="A893" s="7">
        <v>891</v>
      </c>
      <c r="D893" s="2" t="e">
        <f ca="1">OFFSET(Roster!$B$7, MATCH(B893&amp;" "&amp;C893&amp;"*",Roster!$B$8:$B$20,0),DAY(sales[[#This Row],[date]]),1, 1)</f>
        <v>#N/A</v>
      </c>
      <c r="E893" s="2">
        <f>MONTH(sales[[#This Row],[date]])</f>
        <v>1</v>
      </c>
      <c r="F893" s="235"/>
      <c r="G893" s="3" t="str">
        <f>VLOOKUP("*"&amp;sales[[#This Row],[Input]]&amp;"*",'Ref-List'!$A:$C,1,0)</f>
        <v>Model-Input-Ref</v>
      </c>
      <c r="H893" s="2" t="str">
        <f>VLOOKUP("*"&amp;G893&amp;"*",'Ref-List'!$A:$C,3,0)</f>
        <v>Product Line</v>
      </c>
      <c r="I893" s="8"/>
      <c r="J893" s="2"/>
      <c r="K893" s="2"/>
      <c r="L893" s="2">
        <f>sales[[#This Row],[quantity]]*sales[[#This Row],[price]]</f>
        <v>0</v>
      </c>
      <c r="M893" s="9">
        <f>sales[[#This Row],[Total Price]]*3%</f>
        <v>0</v>
      </c>
      <c r="N893" s="171">
        <f>sales[[#This Row],[Total Price]]*2.5%</f>
        <v>0</v>
      </c>
      <c r="O893" s="9">
        <f>sales[[#This Row],[Total Price]]*1.5%</f>
        <v>0</v>
      </c>
      <c r="R893" s="5" t="str">
        <f>_xlfn.CONCAT(sales[[#This Row],[Shop]]," ",sales[[#This Row],[Location]])</f>
        <v xml:space="preserve"> </v>
      </c>
    </row>
    <row r="894" spans="1:18" ht="15.6" customHeight="1">
      <c r="A894" s="7">
        <v>892</v>
      </c>
      <c r="D894" s="2" t="e">
        <f ca="1">OFFSET(Roster!$B$7, MATCH(B894&amp;" "&amp;C894&amp;"*",Roster!$B$8:$B$20,0),DAY(sales[[#This Row],[date]]),1, 1)</f>
        <v>#N/A</v>
      </c>
      <c r="E894" s="2">
        <f>MONTH(sales[[#This Row],[date]])</f>
        <v>1</v>
      </c>
      <c r="F894" s="235"/>
      <c r="G894" s="3" t="str">
        <f>VLOOKUP("*"&amp;sales[[#This Row],[Input]]&amp;"*",'Ref-List'!$A:$C,1,0)</f>
        <v>Model-Input-Ref</v>
      </c>
      <c r="H894" s="2" t="str">
        <f>VLOOKUP("*"&amp;G894&amp;"*",'Ref-List'!$A:$C,3,0)</f>
        <v>Product Line</v>
      </c>
      <c r="I894" s="8"/>
      <c r="J894" s="2"/>
      <c r="K894" s="2"/>
      <c r="L894" s="2">
        <f>sales[[#This Row],[quantity]]*sales[[#This Row],[price]]</f>
        <v>0</v>
      </c>
      <c r="M894" s="9">
        <f>sales[[#This Row],[Total Price]]*3%</f>
        <v>0</v>
      </c>
      <c r="N894" s="171">
        <f>sales[[#This Row],[Total Price]]*2.5%</f>
        <v>0</v>
      </c>
      <c r="O894" s="9">
        <f>sales[[#This Row],[Total Price]]*1.5%</f>
        <v>0</v>
      </c>
      <c r="R894" s="5" t="str">
        <f>_xlfn.CONCAT(sales[[#This Row],[Shop]]," ",sales[[#This Row],[Location]])</f>
        <v xml:space="preserve"> </v>
      </c>
    </row>
    <row r="895" spans="1:18" ht="15.6" customHeight="1">
      <c r="A895" s="7">
        <v>893</v>
      </c>
      <c r="D895" s="2" t="e">
        <f ca="1">OFFSET(Roster!$B$7, MATCH(B895&amp;" "&amp;C895&amp;"*",Roster!$B$8:$B$20,0),DAY(sales[[#This Row],[date]]),1, 1)</f>
        <v>#N/A</v>
      </c>
      <c r="E895" s="2">
        <f>MONTH(sales[[#This Row],[date]])</f>
        <v>1</v>
      </c>
      <c r="F895" s="235"/>
      <c r="G895" s="3" t="str">
        <f>VLOOKUP("*"&amp;sales[[#This Row],[Input]]&amp;"*",'Ref-List'!$A:$C,1,0)</f>
        <v>Model-Input-Ref</v>
      </c>
      <c r="H895" s="2" t="str">
        <f>VLOOKUP("*"&amp;G895&amp;"*",'Ref-List'!$A:$C,3,0)</f>
        <v>Product Line</v>
      </c>
      <c r="I895" s="8"/>
      <c r="J895" s="2"/>
      <c r="K895" s="2"/>
      <c r="L895" s="2">
        <f>sales[[#This Row],[quantity]]*sales[[#This Row],[price]]</f>
        <v>0</v>
      </c>
      <c r="M895" s="9">
        <f>sales[[#This Row],[Total Price]]*3%</f>
        <v>0</v>
      </c>
      <c r="N895" s="171">
        <f>sales[[#This Row],[Total Price]]*2.5%</f>
        <v>0</v>
      </c>
      <c r="O895" s="9">
        <f>sales[[#This Row],[Total Price]]*1.5%</f>
        <v>0</v>
      </c>
      <c r="R895" s="5" t="str">
        <f>_xlfn.CONCAT(sales[[#This Row],[Shop]]," ",sales[[#This Row],[Location]])</f>
        <v xml:space="preserve"> </v>
      </c>
    </row>
    <row r="896" spans="1:18" ht="15.6" customHeight="1">
      <c r="A896" s="7">
        <v>894</v>
      </c>
      <c r="D896" s="2" t="e">
        <f ca="1">OFFSET(Roster!$B$7, MATCH(B896&amp;" "&amp;C896&amp;"*",Roster!$B$8:$B$20,0),DAY(sales[[#This Row],[date]]),1, 1)</f>
        <v>#N/A</v>
      </c>
      <c r="E896" s="2">
        <f>MONTH(sales[[#This Row],[date]])</f>
        <v>1</v>
      </c>
      <c r="F896" s="235"/>
      <c r="G896" s="3" t="str">
        <f>VLOOKUP("*"&amp;sales[[#This Row],[Input]]&amp;"*",'Ref-List'!$A:$C,1,0)</f>
        <v>Model-Input-Ref</v>
      </c>
      <c r="H896" s="2" t="str">
        <f>VLOOKUP("*"&amp;G896&amp;"*",'Ref-List'!$A:$C,3,0)</f>
        <v>Product Line</v>
      </c>
      <c r="I896" s="5"/>
      <c r="J896" s="2"/>
      <c r="K896" s="2"/>
      <c r="L896" s="2">
        <f>sales[[#This Row],[quantity]]*sales[[#This Row],[price]]</f>
        <v>0</v>
      </c>
      <c r="M896" s="9">
        <f>sales[[#This Row],[Total Price]]*3%</f>
        <v>0</v>
      </c>
      <c r="N896" s="171">
        <f>sales[[#This Row],[Total Price]]*2.5%</f>
        <v>0</v>
      </c>
      <c r="O896" s="9">
        <f>sales[[#This Row],[Total Price]]*1.5%</f>
        <v>0</v>
      </c>
      <c r="R896" s="5" t="str">
        <f>_xlfn.CONCAT(sales[[#This Row],[Shop]]," ",sales[[#This Row],[Location]])</f>
        <v xml:space="preserve"> </v>
      </c>
    </row>
    <row r="897" spans="1:18" ht="15.6" customHeight="1">
      <c r="A897" s="7">
        <v>895</v>
      </c>
      <c r="D897" s="2" t="e">
        <f ca="1">OFFSET(Roster!$B$7, MATCH(B897&amp;" "&amp;C897&amp;"*",Roster!$B$8:$B$20,0),DAY(sales[[#This Row],[date]]),1, 1)</f>
        <v>#N/A</v>
      </c>
      <c r="E897" s="2">
        <f>MONTH(sales[[#This Row],[date]])</f>
        <v>1</v>
      </c>
      <c r="F897" s="235"/>
      <c r="G897" s="3" t="str">
        <f>VLOOKUP("*"&amp;sales[[#This Row],[Input]]&amp;"*",'Ref-List'!$A:$C,1,0)</f>
        <v>Model-Input-Ref</v>
      </c>
      <c r="H897" s="2" t="str">
        <f>VLOOKUP("*"&amp;G897&amp;"*",'Ref-List'!$A:$C,3,0)</f>
        <v>Product Line</v>
      </c>
      <c r="I897" s="5"/>
      <c r="J897" s="2"/>
      <c r="K897" s="2"/>
      <c r="L897" s="2">
        <f>sales[[#This Row],[quantity]]*sales[[#This Row],[price]]</f>
        <v>0</v>
      </c>
      <c r="M897" s="9">
        <f>sales[[#This Row],[Total Price]]*3%</f>
        <v>0</v>
      </c>
      <c r="N897" s="171">
        <f>sales[[#This Row],[Total Price]]*2.5%</f>
        <v>0</v>
      </c>
      <c r="O897" s="9">
        <f>sales[[#This Row],[Total Price]]*1.5%</f>
        <v>0</v>
      </c>
      <c r="R897" s="5" t="str">
        <f>_xlfn.CONCAT(sales[[#This Row],[Shop]]," ",sales[[#This Row],[Location]])</f>
        <v xml:space="preserve"> </v>
      </c>
    </row>
    <row r="898" spans="1:18" ht="15.6" customHeight="1">
      <c r="A898" s="7">
        <v>896</v>
      </c>
      <c r="D898" s="2" t="e">
        <f ca="1">OFFSET(Roster!$B$7, MATCH(B898&amp;" "&amp;C898&amp;"*",Roster!$B$8:$B$20,0),DAY(sales[[#This Row],[date]]),1, 1)</f>
        <v>#N/A</v>
      </c>
      <c r="E898" s="2">
        <f>MONTH(sales[[#This Row],[date]])</f>
        <v>1</v>
      </c>
      <c r="F898" s="235"/>
      <c r="G898" s="3" t="str">
        <f>VLOOKUP("*"&amp;sales[[#This Row],[Input]]&amp;"*",'Ref-List'!$A:$C,1,0)</f>
        <v>Model-Input-Ref</v>
      </c>
      <c r="H898" s="2" t="str">
        <f>VLOOKUP("*"&amp;G898&amp;"*",'Ref-List'!$A:$C,3,0)</f>
        <v>Product Line</v>
      </c>
      <c r="I898" s="8"/>
      <c r="J898" s="2"/>
      <c r="K898" s="2"/>
      <c r="L898" s="2">
        <f>sales[[#This Row],[quantity]]*sales[[#This Row],[price]]</f>
        <v>0</v>
      </c>
      <c r="M898" s="9">
        <f>sales[[#This Row],[Total Price]]*3%</f>
        <v>0</v>
      </c>
      <c r="N898" s="171">
        <f>sales[[#This Row],[Total Price]]*2.5%</f>
        <v>0</v>
      </c>
      <c r="O898" s="9">
        <f>sales[[#This Row],[Total Price]]*1.5%</f>
        <v>0</v>
      </c>
      <c r="R898" s="5" t="str">
        <f>_xlfn.CONCAT(sales[[#This Row],[Shop]]," ",sales[[#This Row],[Location]])</f>
        <v xml:space="preserve"> </v>
      </c>
    </row>
    <row r="899" spans="1:18" ht="15.6" customHeight="1">
      <c r="A899" s="7">
        <v>897</v>
      </c>
      <c r="D899" s="2" t="e">
        <f ca="1">OFFSET(Roster!$B$7, MATCH(B899&amp;" "&amp;C899&amp;"*",Roster!$B$8:$B$20,0),DAY(sales[[#This Row],[date]]),1, 1)</f>
        <v>#N/A</v>
      </c>
      <c r="E899" s="2">
        <f>MONTH(sales[[#This Row],[date]])</f>
        <v>1</v>
      </c>
      <c r="F899" s="235"/>
      <c r="G899" s="3" t="str">
        <f>VLOOKUP("*"&amp;sales[[#This Row],[Input]]&amp;"*",'Ref-List'!$A:$C,1,0)</f>
        <v>Model-Input-Ref</v>
      </c>
      <c r="H899" s="2" t="str">
        <f>VLOOKUP("*"&amp;G899&amp;"*",'Ref-List'!$A:$C,3,0)</f>
        <v>Product Line</v>
      </c>
      <c r="I899" s="8"/>
      <c r="J899" s="2"/>
      <c r="K899" s="2"/>
      <c r="L899" s="2">
        <f>sales[[#This Row],[quantity]]*sales[[#This Row],[price]]</f>
        <v>0</v>
      </c>
      <c r="M899" s="9">
        <f>sales[[#This Row],[Total Price]]*3%</f>
        <v>0</v>
      </c>
      <c r="N899" s="171">
        <f>sales[[#This Row],[Total Price]]*2.5%</f>
        <v>0</v>
      </c>
      <c r="O899" s="9">
        <f>sales[[#This Row],[Total Price]]*1.5%</f>
        <v>0</v>
      </c>
      <c r="R899" s="5" t="str">
        <f>_xlfn.CONCAT(sales[[#This Row],[Shop]]," ",sales[[#This Row],[Location]])</f>
        <v xml:space="preserve"> </v>
      </c>
    </row>
    <row r="900" spans="1:18" ht="15.6" customHeight="1">
      <c r="A900" s="7">
        <v>898</v>
      </c>
      <c r="D900" s="2" t="e">
        <f ca="1">OFFSET(Roster!$B$7, MATCH(B900&amp;" "&amp;C900&amp;"*",Roster!$B$8:$B$20,0),DAY(sales[[#This Row],[date]]),1, 1)</f>
        <v>#N/A</v>
      </c>
      <c r="E900" s="2">
        <f>MONTH(sales[[#This Row],[date]])</f>
        <v>1</v>
      </c>
      <c r="F900" s="235"/>
      <c r="G900" s="3" t="str">
        <f>VLOOKUP("*"&amp;sales[[#This Row],[Input]]&amp;"*",'Ref-List'!$A:$C,1,0)</f>
        <v>Model-Input-Ref</v>
      </c>
      <c r="H900" s="2" t="str">
        <f>VLOOKUP("*"&amp;G900&amp;"*",'Ref-List'!$A:$C,3,0)</f>
        <v>Product Line</v>
      </c>
      <c r="I900" s="8"/>
      <c r="J900" s="2"/>
      <c r="K900" s="2"/>
      <c r="L900" s="2">
        <f>sales[[#This Row],[quantity]]*sales[[#This Row],[price]]</f>
        <v>0</v>
      </c>
      <c r="M900" s="9">
        <f>sales[[#This Row],[Total Price]]*3%</f>
        <v>0</v>
      </c>
      <c r="N900" s="171">
        <f>sales[[#This Row],[Total Price]]*2.5%</f>
        <v>0</v>
      </c>
      <c r="O900" s="9">
        <f>sales[[#This Row],[Total Price]]*1.5%</f>
        <v>0</v>
      </c>
      <c r="R900" s="5" t="str">
        <f>_xlfn.CONCAT(sales[[#This Row],[Shop]]," ",sales[[#This Row],[Location]])</f>
        <v xml:space="preserve"> </v>
      </c>
    </row>
    <row r="901" spans="1:18" ht="15.6" customHeight="1">
      <c r="A901" s="7">
        <v>899</v>
      </c>
      <c r="D901" s="2" t="e">
        <f ca="1">OFFSET(Roster!$B$7, MATCH(B901&amp;" "&amp;C901&amp;"*",Roster!$B$8:$B$20,0),DAY(sales[[#This Row],[date]]),1, 1)</f>
        <v>#N/A</v>
      </c>
      <c r="E901" s="2">
        <f>MONTH(sales[[#This Row],[date]])</f>
        <v>1</v>
      </c>
      <c r="F901" s="235"/>
      <c r="G901" s="3" t="str">
        <f>VLOOKUP("*"&amp;sales[[#This Row],[Input]]&amp;"*",'Ref-List'!$A:$C,1,0)</f>
        <v>Model-Input-Ref</v>
      </c>
      <c r="H901" s="2" t="str">
        <f>VLOOKUP("*"&amp;G901&amp;"*",'Ref-List'!$A:$C,3,0)</f>
        <v>Product Line</v>
      </c>
      <c r="I901" s="8"/>
      <c r="J901" s="2"/>
      <c r="K901" s="2"/>
      <c r="L901" s="2">
        <f>sales[[#This Row],[quantity]]*sales[[#This Row],[price]]</f>
        <v>0</v>
      </c>
      <c r="M901" s="9">
        <f>sales[[#This Row],[Total Price]]*3%</f>
        <v>0</v>
      </c>
      <c r="N901" s="171">
        <f>sales[[#This Row],[Total Price]]*2.5%</f>
        <v>0</v>
      </c>
      <c r="O901" s="9">
        <f>sales[[#This Row],[Total Price]]*1.5%</f>
        <v>0</v>
      </c>
      <c r="R901" s="5" t="str">
        <f>_xlfn.CONCAT(sales[[#This Row],[Shop]]," ",sales[[#This Row],[Location]])</f>
        <v xml:space="preserve"> </v>
      </c>
    </row>
    <row r="902" spans="1:18" ht="15.6" customHeight="1">
      <c r="A902" s="7">
        <v>900</v>
      </c>
      <c r="D902" s="2" t="e">
        <f ca="1">OFFSET(Roster!$B$7, MATCH(B902&amp;" "&amp;C902&amp;"*",Roster!$B$8:$B$20,0),DAY(sales[[#This Row],[date]]),1, 1)</f>
        <v>#N/A</v>
      </c>
      <c r="E902" s="2">
        <f>MONTH(sales[[#This Row],[date]])</f>
        <v>1</v>
      </c>
      <c r="F902" s="235"/>
      <c r="G902" s="3" t="str">
        <f>VLOOKUP("*"&amp;sales[[#This Row],[Input]]&amp;"*",'Ref-List'!$A:$C,1,0)</f>
        <v>Model-Input-Ref</v>
      </c>
      <c r="H902" s="2" t="str">
        <f>VLOOKUP("*"&amp;G902&amp;"*",'Ref-List'!$A:$C,3,0)</f>
        <v>Product Line</v>
      </c>
      <c r="I902" s="8"/>
      <c r="J902" s="2"/>
      <c r="K902" s="2"/>
      <c r="L902" s="2">
        <f>sales[[#This Row],[quantity]]*sales[[#This Row],[price]]</f>
        <v>0</v>
      </c>
      <c r="M902" s="9">
        <f>sales[[#This Row],[Total Price]]*3%</f>
        <v>0</v>
      </c>
      <c r="N902" s="171">
        <f>sales[[#This Row],[Total Price]]*2.5%</f>
        <v>0</v>
      </c>
      <c r="O902" s="9">
        <f>sales[[#This Row],[Total Price]]*1.5%</f>
        <v>0</v>
      </c>
      <c r="R902" s="5" t="str">
        <f>_xlfn.CONCAT(sales[[#This Row],[Shop]]," ",sales[[#This Row],[Location]])</f>
        <v xml:space="preserve"> </v>
      </c>
    </row>
    <row r="903" spans="1:18" ht="15.6" customHeight="1">
      <c r="A903" s="7">
        <v>901</v>
      </c>
      <c r="D903" s="2" t="e">
        <f ca="1">OFFSET(Roster!$B$7, MATCH(B903&amp;" "&amp;C903&amp;"*",Roster!$B$8:$B$20,0),DAY(sales[[#This Row],[date]]),1, 1)</f>
        <v>#N/A</v>
      </c>
      <c r="E903" s="2">
        <f>MONTH(sales[[#This Row],[date]])</f>
        <v>1</v>
      </c>
      <c r="F903" s="235"/>
      <c r="G903" s="3" t="str">
        <f>VLOOKUP("*"&amp;sales[[#This Row],[Input]]&amp;"*",'Ref-List'!$A:$C,1,0)</f>
        <v>Model-Input-Ref</v>
      </c>
      <c r="H903" s="2" t="str">
        <f>VLOOKUP("*"&amp;G903&amp;"*",'Ref-List'!$A:$C,3,0)</f>
        <v>Product Line</v>
      </c>
      <c r="J903" s="2"/>
      <c r="K903" s="2"/>
      <c r="L903" s="2">
        <f>sales[[#This Row],[quantity]]*sales[[#This Row],[price]]</f>
        <v>0</v>
      </c>
      <c r="M903" s="9">
        <f>sales[[#This Row],[Total Price]]*3%</f>
        <v>0</v>
      </c>
      <c r="N903" s="171">
        <f>sales[[#This Row],[Total Price]]*2.5%</f>
        <v>0</v>
      </c>
      <c r="O903" s="9">
        <f>sales[[#This Row],[Total Price]]*1.5%</f>
        <v>0</v>
      </c>
      <c r="R903" s="5" t="str">
        <f>_xlfn.CONCAT(sales[[#This Row],[Shop]]," ",sales[[#This Row],[Location]])</f>
        <v xml:space="preserve"> </v>
      </c>
    </row>
    <row r="904" spans="1:18" ht="15.6" customHeight="1">
      <c r="A904" s="7">
        <v>902</v>
      </c>
      <c r="D904" s="2" t="e">
        <f ca="1">OFFSET(Roster!$B$7, MATCH(B904&amp;" "&amp;C904&amp;"*",Roster!$B$8:$B$20,0),DAY(sales[[#This Row],[date]]),1, 1)</f>
        <v>#N/A</v>
      </c>
      <c r="E904" s="2">
        <f>MONTH(sales[[#This Row],[date]])</f>
        <v>1</v>
      </c>
      <c r="F904" s="235"/>
      <c r="G904" s="3" t="str">
        <f>VLOOKUP("*"&amp;sales[[#This Row],[Input]]&amp;"*",'Ref-List'!$A:$C,1,0)</f>
        <v>Model-Input-Ref</v>
      </c>
      <c r="H904" s="2" t="str">
        <f>VLOOKUP("*"&amp;G904&amp;"*",'Ref-List'!$A:$C,3,0)</f>
        <v>Product Line</v>
      </c>
      <c r="I904" s="8"/>
      <c r="J904" s="2"/>
      <c r="K904" s="2"/>
      <c r="L904" s="2">
        <f>sales[[#This Row],[quantity]]*sales[[#This Row],[price]]</f>
        <v>0</v>
      </c>
      <c r="M904" s="9">
        <f>sales[[#This Row],[Total Price]]*3%</f>
        <v>0</v>
      </c>
      <c r="N904" s="171">
        <f>sales[[#This Row],[Total Price]]*2.5%</f>
        <v>0</v>
      </c>
      <c r="O904" s="9">
        <f>sales[[#This Row],[Total Price]]*1.5%</f>
        <v>0</v>
      </c>
      <c r="R904" s="5" t="str">
        <f>_xlfn.CONCAT(sales[[#This Row],[Shop]]," ",sales[[#This Row],[Location]])</f>
        <v xml:space="preserve"> </v>
      </c>
    </row>
    <row r="905" spans="1:18" ht="15.6" customHeight="1">
      <c r="A905" s="7">
        <v>903</v>
      </c>
      <c r="D905" s="2" t="e">
        <f ca="1">OFFSET(Roster!$B$7, MATCH(B905&amp;" "&amp;C905&amp;"*",Roster!$B$8:$B$20,0),DAY(sales[[#This Row],[date]]),1, 1)</f>
        <v>#N/A</v>
      </c>
      <c r="E905" s="2">
        <f>MONTH(sales[[#This Row],[date]])</f>
        <v>1</v>
      </c>
      <c r="F905" s="235"/>
      <c r="G905" s="3" t="str">
        <f>VLOOKUP("*"&amp;sales[[#This Row],[Input]]&amp;"*",'Ref-List'!$A:$C,1,0)</f>
        <v>Model-Input-Ref</v>
      </c>
      <c r="H905" s="2" t="str">
        <f>VLOOKUP("*"&amp;G905&amp;"*",'Ref-List'!$A:$C,3,0)</f>
        <v>Product Line</v>
      </c>
      <c r="I905" s="8"/>
      <c r="J905" s="2"/>
      <c r="K905" s="2"/>
      <c r="L905" s="2">
        <f>sales[[#This Row],[quantity]]*sales[[#This Row],[price]]</f>
        <v>0</v>
      </c>
      <c r="M905" s="9">
        <f>sales[[#This Row],[Total Price]]*3%</f>
        <v>0</v>
      </c>
      <c r="N905" s="171">
        <f>sales[[#This Row],[Total Price]]*2.5%</f>
        <v>0</v>
      </c>
      <c r="O905" s="9">
        <f>sales[[#This Row],[Total Price]]*1.5%</f>
        <v>0</v>
      </c>
      <c r="R905" s="5" t="str">
        <f>_xlfn.CONCAT(sales[[#This Row],[Shop]]," ",sales[[#This Row],[Location]])</f>
        <v xml:space="preserve"> </v>
      </c>
    </row>
    <row r="906" spans="1:18" ht="15.6" customHeight="1">
      <c r="A906" s="7">
        <v>904</v>
      </c>
      <c r="D906" s="2" t="e">
        <f ca="1">OFFSET(Roster!$B$7, MATCH(B906&amp;" "&amp;C906&amp;"*",Roster!$B$8:$B$20,0),DAY(sales[[#This Row],[date]]),1, 1)</f>
        <v>#N/A</v>
      </c>
      <c r="E906" s="2">
        <f>MONTH(sales[[#This Row],[date]])</f>
        <v>1</v>
      </c>
      <c r="F906" s="235"/>
      <c r="G906" s="3" t="str">
        <f>VLOOKUP("*"&amp;sales[[#This Row],[Input]]&amp;"*",'Ref-List'!$A:$C,1,0)</f>
        <v>Model-Input-Ref</v>
      </c>
      <c r="H906" s="2" t="str">
        <f>VLOOKUP("*"&amp;G906&amp;"*",'Ref-List'!$A:$C,3,0)</f>
        <v>Product Line</v>
      </c>
      <c r="I906" s="8"/>
      <c r="J906" s="2"/>
      <c r="K906" s="2"/>
      <c r="L906" s="2">
        <f>sales[[#This Row],[quantity]]*sales[[#This Row],[price]]</f>
        <v>0</v>
      </c>
      <c r="M906" s="9">
        <f>sales[[#This Row],[Total Price]]*3%</f>
        <v>0</v>
      </c>
      <c r="N906" s="171">
        <f>sales[[#This Row],[Total Price]]*2.5%</f>
        <v>0</v>
      </c>
      <c r="O906" s="9">
        <f>sales[[#This Row],[Total Price]]*1.5%</f>
        <v>0</v>
      </c>
      <c r="R906" s="5" t="str">
        <f>_xlfn.CONCAT(sales[[#This Row],[Shop]]," ",sales[[#This Row],[Location]])</f>
        <v xml:space="preserve"> </v>
      </c>
    </row>
    <row r="907" spans="1:18" ht="15.6" customHeight="1">
      <c r="A907" s="7">
        <v>905</v>
      </c>
      <c r="D907" s="2" t="e">
        <f ca="1">OFFSET(Roster!$B$7, MATCH(B907&amp;" "&amp;C907&amp;"*",Roster!$B$8:$B$20,0),DAY(sales[[#This Row],[date]]),1, 1)</f>
        <v>#N/A</v>
      </c>
      <c r="E907" s="2">
        <f>MONTH(sales[[#This Row],[date]])</f>
        <v>1</v>
      </c>
      <c r="F907" s="235"/>
      <c r="G907" s="3" t="str">
        <f>VLOOKUP("*"&amp;sales[[#This Row],[Input]]&amp;"*",'Ref-List'!$A:$C,1,0)</f>
        <v>Model-Input-Ref</v>
      </c>
      <c r="H907" s="2" t="str">
        <f>VLOOKUP("*"&amp;G907&amp;"*",'Ref-List'!$A:$C,3,0)</f>
        <v>Product Line</v>
      </c>
      <c r="I907" s="8"/>
      <c r="J907" s="2"/>
      <c r="K907" s="2"/>
      <c r="L907" s="2">
        <f>sales[[#This Row],[quantity]]*sales[[#This Row],[price]]</f>
        <v>0</v>
      </c>
      <c r="M907" s="9">
        <f>sales[[#This Row],[Total Price]]*3%</f>
        <v>0</v>
      </c>
      <c r="N907" s="171">
        <f>sales[[#This Row],[Total Price]]*2.5%</f>
        <v>0</v>
      </c>
      <c r="O907" s="9">
        <f>sales[[#This Row],[Total Price]]*1.5%</f>
        <v>0</v>
      </c>
      <c r="R907" s="5" t="str">
        <f>_xlfn.CONCAT(sales[[#This Row],[Shop]]," ",sales[[#This Row],[Location]])</f>
        <v xml:space="preserve"> </v>
      </c>
    </row>
    <row r="908" spans="1:18" ht="15.6" customHeight="1">
      <c r="A908" s="7">
        <v>906</v>
      </c>
      <c r="D908" s="2" t="e">
        <f ca="1">OFFSET(Roster!$B$7, MATCH(B908&amp;" "&amp;C908&amp;"*",Roster!$B$8:$B$20,0),DAY(sales[[#This Row],[date]]),1, 1)</f>
        <v>#N/A</v>
      </c>
      <c r="E908" s="2">
        <f>MONTH(sales[[#This Row],[date]])</f>
        <v>1</v>
      </c>
      <c r="F908" s="235"/>
      <c r="G908" s="3" t="str">
        <f>VLOOKUP("*"&amp;sales[[#This Row],[Input]]&amp;"*",'Ref-List'!$A:$C,1,0)</f>
        <v>Model-Input-Ref</v>
      </c>
      <c r="H908" s="2" t="str">
        <f>VLOOKUP("*"&amp;G908&amp;"*",'Ref-List'!$A:$C,3,0)</f>
        <v>Product Line</v>
      </c>
      <c r="I908" s="8"/>
      <c r="J908" s="2"/>
      <c r="K908" s="2"/>
      <c r="L908" s="2">
        <f>sales[[#This Row],[quantity]]*sales[[#This Row],[price]]</f>
        <v>0</v>
      </c>
      <c r="M908" s="9">
        <f>sales[[#This Row],[Total Price]]*3%</f>
        <v>0</v>
      </c>
      <c r="N908" s="171">
        <f>sales[[#This Row],[Total Price]]*2.5%</f>
        <v>0</v>
      </c>
      <c r="O908" s="9">
        <f>sales[[#This Row],[Total Price]]*1.5%</f>
        <v>0</v>
      </c>
      <c r="R908" s="5" t="str">
        <f>_xlfn.CONCAT(sales[[#This Row],[Shop]]," ",sales[[#This Row],[Location]])</f>
        <v xml:space="preserve"> </v>
      </c>
    </row>
    <row r="909" spans="1:18" ht="15.6" customHeight="1">
      <c r="A909" s="7">
        <v>907</v>
      </c>
      <c r="D909" s="2" t="e">
        <f ca="1">OFFSET(Roster!$B$7, MATCH(B909&amp;" "&amp;C909&amp;"*",Roster!$B$8:$B$20,0),DAY(sales[[#This Row],[date]]),1, 1)</f>
        <v>#N/A</v>
      </c>
      <c r="E909" s="2">
        <f>MONTH(sales[[#This Row],[date]])</f>
        <v>1</v>
      </c>
      <c r="F909" s="235"/>
      <c r="G909" s="3" t="str">
        <f>VLOOKUP("*"&amp;sales[[#This Row],[Input]]&amp;"*",'Ref-List'!$A:$C,1,0)</f>
        <v>Model-Input-Ref</v>
      </c>
      <c r="H909" s="2" t="str">
        <f>VLOOKUP("*"&amp;G909&amp;"*",'Ref-List'!$A:$C,3,0)</f>
        <v>Product Line</v>
      </c>
      <c r="I909" s="8"/>
      <c r="J909" s="2"/>
      <c r="K909" s="2"/>
      <c r="L909" s="2">
        <f>sales[[#This Row],[quantity]]*sales[[#This Row],[price]]</f>
        <v>0</v>
      </c>
      <c r="M909" s="9">
        <f>sales[[#This Row],[Total Price]]*3%</f>
        <v>0</v>
      </c>
      <c r="N909" s="171">
        <f>sales[[#This Row],[Total Price]]*2.5%</f>
        <v>0</v>
      </c>
      <c r="O909" s="9">
        <f>sales[[#This Row],[Total Price]]*1.5%</f>
        <v>0</v>
      </c>
      <c r="R909" s="5" t="str">
        <f>_xlfn.CONCAT(sales[[#This Row],[Shop]]," ",sales[[#This Row],[Location]])</f>
        <v xml:space="preserve"> </v>
      </c>
    </row>
    <row r="910" spans="1:18" ht="15.6" customHeight="1">
      <c r="A910" s="7">
        <v>908</v>
      </c>
      <c r="D910" s="2" t="e">
        <f ca="1">OFFSET(Roster!$B$7, MATCH(B910&amp;" "&amp;C910&amp;"*",Roster!$B$8:$B$20,0),DAY(sales[[#This Row],[date]]),1, 1)</f>
        <v>#N/A</v>
      </c>
      <c r="E910" s="2">
        <f>MONTH(sales[[#This Row],[date]])</f>
        <v>1</v>
      </c>
      <c r="F910" s="235"/>
      <c r="G910" s="3" t="str">
        <f>VLOOKUP("*"&amp;sales[[#This Row],[Input]]&amp;"*",'Ref-List'!$A:$C,1,0)</f>
        <v>Model-Input-Ref</v>
      </c>
      <c r="H910" s="2" t="str">
        <f>VLOOKUP("*"&amp;G910&amp;"*",'Ref-List'!$A:$C,3,0)</f>
        <v>Product Line</v>
      </c>
      <c r="I910" s="8"/>
      <c r="J910" s="2"/>
      <c r="K910" s="2"/>
      <c r="L910" s="2">
        <f>sales[[#This Row],[quantity]]*sales[[#This Row],[price]]</f>
        <v>0</v>
      </c>
      <c r="M910" s="9">
        <f>sales[[#This Row],[Total Price]]*3%</f>
        <v>0</v>
      </c>
      <c r="N910" s="171">
        <f>sales[[#This Row],[Total Price]]*2.5%</f>
        <v>0</v>
      </c>
      <c r="O910" s="9">
        <f>sales[[#This Row],[Total Price]]*1.5%</f>
        <v>0</v>
      </c>
      <c r="R910" s="5" t="str">
        <f>_xlfn.CONCAT(sales[[#This Row],[Shop]]," ",sales[[#This Row],[Location]])</f>
        <v xml:space="preserve"> </v>
      </c>
    </row>
    <row r="911" spans="1:18" ht="15.6" customHeight="1">
      <c r="A911" s="7">
        <v>909</v>
      </c>
      <c r="D911" s="2" t="e">
        <f ca="1">OFFSET(Roster!$B$7, MATCH(B911&amp;" "&amp;C911&amp;"*",Roster!$B$8:$B$20,0),DAY(sales[[#This Row],[date]]),1, 1)</f>
        <v>#N/A</v>
      </c>
      <c r="E911" s="2">
        <f>MONTH(sales[[#This Row],[date]])</f>
        <v>1</v>
      </c>
      <c r="F911" s="235"/>
      <c r="G911" s="3" t="str">
        <f>VLOOKUP("*"&amp;sales[[#This Row],[Input]]&amp;"*",'Ref-List'!$A:$C,1,0)</f>
        <v>Model-Input-Ref</v>
      </c>
      <c r="H911" s="2" t="str">
        <f>VLOOKUP("*"&amp;G911&amp;"*",'Ref-List'!$A:$C,3,0)</f>
        <v>Product Line</v>
      </c>
      <c r="J911" s="2"/>
      <c r="K911" s="2"/>
      <c r="L911" s="2">
        <f>sales[[#This Row],[quantity]]*sales[[#This Row],[price]]</f>
        <v>0</v>
      </c>
      <c r="M911" s="9">
        <f>sales[[#This Row],[Total Price]]*3%</f>
        <v>0</v>
      </c>
      <c r="N911" s="171">
        <f>sales[[#This Row],[Total Price]]*2.5%</f>
        <v>0</v>
      </c>
      <c r="O911" s="9">
        <f>sales[[#This Row],[Total Price]]*1.5%</f>
        <v>0</v>
      </c>
      <c r="R911" s="5" t="str">
        <f>_xlfn.CONCAT(sales[[#This Row],[Shop]]," ",sales[[#This Row],[Location]])</f>
        <v xml:space="preserve"> </v>
      </c>
    </row>
    <row r="912" spans="1:18" ht="15.6" customHeight="1">
      <c r="A912" s="7">
        <v>910</v>
      </c>
      <c r="D912" s="2" t="e">
        <f ca="1">OFFSET(Roster!$B$7, MATCH(B912&amp;" "&amp;C912&amp;"*",Roster!$B$8:$B$20,0),DAY(sales[[#This Row],[date]]),1, 1)</f>
        <v>#N/A</v>
      </c>
      <c r="E912" s="2">
        <f>MONTH(sales[[#This Row],[date]])</f>
        <v>1</v>
      </c>
      <c r="F912" s="235"/>
      <c r="G912" s="3" t="str">
        <f>VLOOKUP("*"&amp;sales[[#This Row],[Input]]&amp;"*",'Ref-List'!$A:$C,1,0)</f>
        <v>Model-Input-Ref</v>
      </c>
      <c r="H912" s="2" t="str">
        <f>VLOOKUP("*"&amp;G912&amp;"*",'Ref-List'!$A:$C,3,0)</f>
        <v>Product Line</v>
      </c>
      <c r="J912" s="2"/>
      <c r="K912" s="2"/>
      <c r="L912" s="2">
        <f>sales[[#This Row],[quantity]]*sales[[#This Row],[price]]</f>
        <v>0</v>
      </c>
      <c r="M912" s="9">
        <f>sales[[#This Row],[Total Price]]*3%</f>
        <v>0</v>
      </c>
      <c r="N912" s="171">
        <f>sales[[#This Row],[Total Price]]*2.5%</f>
        <v>0</v>
      </c>
      <c r="O912" s="9">
        <f>sales[[#This Row],[Total Price]]*1.5%</f>
        <v>0</v>
      </c>
      <c r="R912" s="5" t="str">
        <f>_xlfn.CONCAT(sales[[#This Row],[Shop]]," ",sales[[#This Row],[Location]])</f>
        <v xml:space="preserve"> </v>
      </c>
    </row>
    <row r="913" spans="1:18" ht="15.6" customHeight="1">
      <c r="A913" s="7">
        <v>911</v>
      </c>
      <c r="D913" s="2" t="e">
        <f ca="1">OFFSET(Roster!$B$7, MATCH(B913&amp;" "&amp;C913&amp;"*",Roster!$B$8:$B$20,0),DAY(sales[[#This Row],[date]]),1, 1)</f>
        <v>#N/A</v>
      </c>
      <c r="E913" s="2">
        <f>MONTH(sales[[#This Row],[date]])</f>
        <v>1</v>
      </c>
      <c r="F913" s="235"/>
      <c r="G913" s="3" t="str">
        <f>VLOOKUP("*"&amp;sales[[#This Row],[Input]]&amp;"*",'Ref-List'!$A:$C,1,0)</f>
        <v>Model-Input-Ref</v>
      </c>
      <c r="H913" s="2" t="str">
        <f>VLOOKUP("*"&amp;G913&amp;"*",'Ref-List'!$A:$C,3,0)</f>
        <v>Product Line</v>
      </c>
      <c r="I913" s="10"/>
      <c r="J913" s="2"/>
      <c r="K913" s="2"/>
      <c r="L913" s="2">
        <f>sales[[#This Row],[quantity]]*sales[[#This Row],[price]]</f>
        <v>0</v>
      </c>
      <c r="M913" s="9">
        <f>sales[[#This Row],[Total Price]]*3%</f>
        <v>0</v>
      </c>
      <c r="N913" s="171">
        <f>sales[[#This Row],[Total Price]]*2.5%</f>
        <v>0</v>
      </c>
      <c r="O913" s="9">
        <f>sales[[#This Row],[Total Price]]*1.5%</f>
        <v>0</v>
      </c>
      <c r="R913" s="5" t="str">
        <f>_xlfn.CONCAT(sales[[#This Row],[Shop]]," ",sales[[#This Row],[Location]])</f>
        <v xml:space="preserve"> </v>
      </c>
    </row>
    <row r="914" spans="1:18" ht="15.6" customHeight="1">
      <c r="A914" s="7">
        <v>912</v>
      </c>
      <c r="D914" s="2" t="e">
        <f ca="1">OFFSET(Roster!$B$7, MATCH(B914&amp;" "&amp;C914&amp;"*",Roster!$B$8:$B$20,0),DAY(sales[[#This Row],[date]]),1, 1)</f>
        <v>#N/A</v>
      </c>
      <c r="E914" s="2">
        <f>MONTH(sales[[#This Row],[date]])</f>
        <v>1</v>
      </c>
      <c r="F914" s="235"/>
      <c r="G914" s="3" t="str">
        <f>VLOOKUP("*"&amp;sales[[#This Row],[Input]]&amp;"*",'Ref-List'!$A:$C,1,0)</f>
        <v>Model-Input-Ref</v>
      </c>
      <c r="H914" s="2" t="str">
        <f>VLOOKUP("*"&amp;G914&amp;"*",'Ref-List'!$A:$C,3,0)</f>
        <v>Product Line</v>
      </c>
      <c r="I914" s="8"/>
      <c r="J914" s="2"/>
      <c r="K914" s="2"/>
      <c r="L914" s="2">
        <f>sales[[#This Row],[quantity]]*sales[[#This Row],[price]]</f>
        <v>0</v>
      </c>
      <c r="M914" s="9">
        <f>sales[[#This Row],[Total Price]]*3%</f>
        <v>0</v>
      </c>
      <c r="N914" s="171">
        <f>sales[[#This Row],[Total Price]]*2.5%</f>
        <v>0</v>
      </c>
      <c r="O914" s="9">
        <f>sales[[#This Row],[Total Price]]*1.5%</f>
        <v>0</v>
      </c>
      <c r="R914" s="5" t="str">
        <f>_xlfn.CONCAT(sales[[#This Row],[Shop]]," ",sales[[#This Row],[Location]])</f>
        <v xml:space="preserve"> </v>
      </c>
    </row>
    <row r="915" spans="1:18" ht="15.6" customHeight="1">
      <c r="A915" s="7">
        <v>913</v>
      </c>
      <c r="D915" s="2" t="e">
        <f ca="1">OFFSET(Roster!$B$7, MATCH(B915&amp;" "&amp;C915&amp;"*",Roster!$B$8:$B$20,0),DAY(sales[[#This Row],[date]]),1, 1)</f>
        <v>#N/A</v>
      </c>
      <c r="E915" s="2">
        <f>MONTH(sales[[#This Row],[date]])</f>
        <v>1</v>
      </c>
      <c r="F915" s="235"/>
      <c r="G915" s="3" t="str">
        <f>VLOOKUP("*"&amp;sales[[#This Row],[Input]]&amp;"*",'Ref-List'!$A:$C,1,0)</f>
        <v>Model-Input-Ref</v>
      </c>
      <c r="H915" s="2" t="str">
        <f>VLOOKUP("*"&amp;G915&amp;"*",'Ref-List'!$A:$C,3,0)</f>
        <v>Product Line</v>
      </c>
      <c r="J915" s="2"/>
      <c r="K915" s="2"/>
      <c r="L915" s="2">
        <f>sales[[#This Row],[quantity]]*sales[[#This Row],[price]]</f>
        <v>0</v>
      </c>
      <c r="M915" s="9">
        <f>sales[[#This Row],[Total Price]]*3%</f>
        <v>0</v>
      </c>
      <c r="N915" s="171">
        <f>sales[[#This Row],[Total Price]]*2.5%</f>
        <v>0</v>
      </c>
      <c r="O915" s="9">
        <f>sales[[#This Row],[Total Price]]*1.5%</f>
        <v>0</v>
      </c>
      <c r="R915" s="5" t="str">
        <f>_xlfn.CONCAT(sales[[#This Row],[Shop]]," ",sales[[#This Row],[Location]])</f>
        <v xml:space="preserve"> </v>
      </c>
    </row>
    <row r="916" spans="1:18" ht="15.6" customHeight="1">
      <c r="A916" s="7">
        <v>914</v>
      </c>
      <c r="D916" s="2" t="e">
        <f ca="1">OFFSET(Roster!$B$7, MATCH(B916&amp;" "&amp;C916&amp;"*",Roster!$B$8:$B$20,0),DAY(sales[[#This Row],[date]]),1, 1)</f>
        <v>#N/A</v>
      </c>
      <c r="E916" s="2">
        <f>MONTH(sales[[#This Row],[date]])</f>
        <v>1</v>
      </c>
      <c r="F916" s="235"/>
      <c r="G916" s="3" t="str">
        <f>VLOOKUP("*"&amp;sales[[#This Row],[Input]]&amp;"*",'Ref-List'!$A:$C,1,0)</f>
        <v>Model-Input-Ref</v>
      </c>
      <c r="H916" s="2" t="str">
        <f>VLOOKUP("*"&amp;G916&amp;"*",'Ref-List'!$A:$C,3,0)</f>
        <v>Product Line</v>
      </c>
      <c r="J916" s="2"/>
      <c r="K916" s="2"/>
      <c r="L916" s="2">
        <f>sales[[#This Row],[quantity]]*sales[[#This Row],[price]]</f>
        <v>0</v>
      </c>
      <c r="M916" s="9">
        <f>sales[[#This Row],[Total Price]]*3%</f>
        <v>0</v>
      </c>
      <c r="N916" s="171">
        <f>sales[[#This Row],[Total Price]]*2.5%</f>
        <v>0</v>
      </c>
      <c r="O916" s="9">
        <f>sales[[#This Row],[Total Price]]*1.5%</f>
        <v>0</v>
      </c>
      <c r="R916" s="5" t="str">
        <f>_xlfn.CONCAT(sales[[#This Row],[Shop]]," ",sales[[#This Row],[Location]])</f>
        <v xml:space="preserve"> </v>
      </c>
    </row>
    <row r="917" spans="1:18" ht="15.6" customHeight="1">
      <c r="A917" s="7">
        <v>915</v>
      </c>
      <c r="D917" s="2" t="e">
        <f ca="1">OFFSET(Roster!$B$7, MATCH(B917&amp;" "&amp;C917&amp;"*",Roster!$B$8:$B$20,0),DAY(sales[[#This Row],[date]]),1, 1)</f>
        <v>#N/A</v>
      </c>
      <c r="E917" s="2">
        <f>MONTH(sales[[#This Row],[date]])</f>
        <v>1</v>
      </c>
      <c r="F917" s="235"/>
      <c r="G917" s="3" t="str">
        <f>VLOOKUP("*"&amp;sales[[#This Row],[Input]]&amp;"*",'Ref-List'!$A:$C,1,0)</f>
        <v>Model-Input-Ref</v>
      </c>
      <c r="H917" s="2" t="str">
        <f>VLOOKUP("*"&amp;G917&amp;"*",'Ref-List'!$A:$C,3,0)</f>
        <v>Product Line</v>
      </c>
      <c r="I917" s="5"/>
      <c r="J917" s="2"/>
      <c r="K917" s="2"/>
      <c r="L917" s="2">
        <f>sales[[#This Row],[quantity]]*sales[[#This Row],[price]]</f>
        <v>0</v>
      </c>
      <c r="M917" s="9">
        <f>sales[[#This Row],[Total Price]]*3%</f>
        <v>0</v>
      </c>
      <c r="N917" s="171">
        <f>sales[[#This Row],[Total Price]]*2.5%</f>
        <v>0</v>
      </c>
      <c r="O917" s="9">
        <f>sales[[#This Row],[Total Price]]*1.5%</f>
        <v>0</v>
      </c>
      <c r="R917" s="5" t="str">
        <f>_xlfn.CONCAT(sales[[#This Row],[Shop]]," ",sales[[#This Row],[Location]])</f>
        <v xml:space="preserve"> </v>
      </c>
    </row>
    <row r="918" spans="1:18" ht="15.6" customHeight="1">
      <c r="A918" s="7">
        <v>916</v>
      </c>
      <c r="D918" s="2" t="e">
        <f ca="1">OFFSET(Roster!$B$7, MATCH(B918&amp;" "&amp;C918&amp;"*",Roster!$B$8:$B$20,0),DAY(sales[[#This Row],[date]]),1, 1)</f>
        <v>#N/A</v>
      </c>
      <c r="E918" s="2">
        <f>MONTH(sales[[#This Row],[date]])</f>
        <v>1</v>
      </c>
      <c r="F918" s="235"/>
      <c r="G918" s="3" t="str">
        <f>VLOOKUP("*"&amp;sales[[#This Row],[Input]]&amp;"*",'Ref-List'!$A:$C,1,0)</f>
        <v>Model-Input-Ref</v>
      </c>
      <c r="H918" s="2" t="str">
        <f>VLOOKUP("*"&amp;G918&amp;"*",'Ref-List'!$A:$C,3,0)</f>
        <v>Product Line</v>
      </c>
      <c r="I918" s="5"/>
      <c r="J918" s="2"/>
      <c r="K918" s="2"/>
      <c r="L918" s="2">
        <f>sales[[#This Row],[quantity]]*sales[[#This Row],[price]]</f>
        <v>0</v>
      </c>
      <c r="M918" s="9">
        <f>sales[[#This Row],[Total Price]]*3%</f>
        <v>0</v>
      </c>
      <c r="N918" s="171">
        <f>sales[[#This Row],[Total Price]]*2.5%</f>
        <v>0</v>
      </c>
      <c r="O918" s="9">
        <f>sales[[#This Row],[Total Price]]*1.5%</f>
        <v>0</v>
      </c>
      <c r="R918" s="5" t="str">
        <f>_xlfn.CONCAT(sales[[#This Row],[Shop]]," ",sales[[#This Row],[Location]])</f>
        <v xml:space="preserve"> </v>
      </c>
    </row>
    <row r="919" spans="1:18" ht="15.6" customHeight="1">
      <c r="A919" s="7">
        <v>917</v>
      </c>
      <c r="D919" s="2" t="e">
        <f ca="1">OFFSET(Roster!$B$7, MATCH(B919&amp;" "&amp;C919&amp;"*",Roster!$B$8:$B$20,0),DAY(sales[[#This Row],[date]]),1, 1)</f>
        <v>#N/A</v>
      </c>
      <c r="E919" s="2">
        <f>MONTH(sales[[#This Row],[date]])</f>
        <v>1</v>
      </c>
      <c r="F919" s="235"/>
      <c r="G919" s="3" t="str">
        <f>VLOOKUP("*"&amp;sales[[#This Row],[Input]]&amp;"*",'Ref-List'!$A:$C,1,0)</f>
        <v>Model-Input-Ref</v>
      </c>
      <c r="H919" s="2" t="str">
        <f>VLOOKUP("*"&amp;G919&amp;"*",'Ref-List'!$A:$C,3,0)</f>
        <v>Product Line</v>
      </c>
      <c r="J919" s="2"/>
      <c r="K919" s="2"/>
      <c r="L919" s="2">
        <f>sales[[#This Row],[quantity]]*sales[[#This Row],[price]]</f>
        <v>0</v>
      </c>
      <c r="M919" s="9">
        <f>sales[[#This Row],[Total Price]]*3%</f>
        <v>0</v>
      </c>
      <c r="N919" s="171">
        <f>sales[[#This Row],[Total Price]]*2.5%</f>
        <v>0</v>
      </c>
      <c r="O919" s="9">
        <f>sales[[#This Row],[Total Price]]*1.5%</f>
        <v>0</v>
      </c>
      <c r="R919" s="5" t="str">
        <f>_xlfn.CONCAT(sales[[#This Row],[Shop]]," ",sales[[#This Row],[Location]])</f>
        <v xml:space="preserve"> </v>
      </c>
    </row>
    <row r="920" spans="1:18" ht="15.6" customHeight="1">
      <c r="A920" s="7">
        <v>918</v>
      </c>
      <c r="D920" s="2" t="e">
        <f ca="1">OFFSET(Roster!$B$7, MATCH(B920&amp;" "&amp;C920&amp;"*",Roster!$B$8:$B$20,0),DAY(sales[[#This Row],[date]]),1, 1)</f>
        <v>#N/A</v>
      </c>
      <c r="E920" s="2">
        <f>MONTH(sales[[#This Row],[date]])</f>
        <v>1</v>
      </c>
      <c r="F920" s="235"/>
      <c r="G920" s="3" t="str">
        <f>VLOOKUP("*"&amp;sales[[#This Row],[Input]]&amp;"*",'Ref-List'!$A:$C,1,0)</f>
        <v>Model-Input-Ref</v>
      </c>
      <c r="H920" s="2" t="str">
        <f>VLOOKUP("*"&amp;G920&amp;"*",'Ref-List'!$A:$C,3,0)</f>
        <v>Product Line</v>
      </c>
      <c r="J920" s="2"/>
      <c r="K920" s="2"/>
      <c r="L920" s="2">
        <f>sales[[#This Row],[quantity]]*sales[[#This Row],[price]]</f>
        <v>0</v>
      </c>
      <c r="M920" s="9">
        <f>sales[[#This Row],[Total Price]]*3%</f>
        <v>0</v>
      </c>
      <c r="N920" s="171">
        <f>sales[[#This Row],[Total Price]]*2.5%</f>
        <v>0</v>
      </c>
      <c r="O920" s="9">
        <f>sales[[#This Row],[Total Price]]*1.5%</f>
        <v>0</v>
      </c>
      <c r="R920" s="5" t="str">
        <f>_xlfn.CONCAT(sales[[#This Row],[Shop]]," ",sales[[#This Row],[Location]])</f>
        <v xml:space="preserve"> </v>
      </c>
    </row>
    <row r="921" spans="1:18" ht="15.6" customHeight="1">
      <c r="A921" s="7">
        <v>919</v>
      </c>
      <c r="D921" s="2" t="e">
        <f ca="1">OFFSET(Roster!$B$7, MATCH(B921&amp;" "&amp;C921&amp;"*",Roster!$B$8:$B$20,0),DAY(sales[[#This Row],[date]]),1, 1)</f>
        <v>#N/A</v>
      </c>
      <c r="E921" s="2">
        <f>MONTH(sales[[#This Row],[date]])</f>
        <v>1</v>
      </c>
      <c r="F921" s="235"/>
      <c r="G921" s="3" t="str">
        <f>VLOOKUP("*"&amp;sales[[#This Row],[Input]]&amp;"*",'Ref-List'!$A:$C,1,0)</f>
        <v>Model-Input-Ref</v>
      </c>
      <c r="H921" s="2" t="str">
        <f>VLOOKUP("*"&amp;G921&amp;"*",'Ref-List'!$A:$C,3,0)</f>
        <v>Product Line</v>
      </c>
      <c r="J921" s="2"/>
      <c r="K921" s="2"/>
      <c r="L921" s="2">
        <f>sales[[#This Row],[quantity]]*sales[[#This Row],[price]]</f>
        <v>0</v>
      </c>
      <c r="M921" s="9">
        <f>sales[[#This Row],[Total Price]]*3%</f>
        <v>0</v>
      </c>
      <c r="N921" s="171">
        <f>sales[[#This Row],[Total Price]]*2.5%</f>
        <v>0</v>
      </c>
      <c r="O921" s="9">
        <f>sales[[#This Row],[Total Price]]*1.5%</f>
        <v>0</v>
      </c>
      <c r="R921" s="5" t="str">
        <f>_xlfn.CONCAT(sales[[#This Row],[Shop]]," ",sales[[#This Row],[Location]])</f>
        <v xml:space="preserve"> </v>
      </c>
    </row>
    <row r="922" spans="1:18" ht="15.6" customHeight="1">
      <c r="A922" s="7">
        <v>920</v>
      </c>
      <c r="D922" s="2" t="e">
        <f ca="1">OFFSET(Roster!$B$7, MATCH(B922&amp;" "&amp;C922&amp;"*",Roster!$B$8:$B$20,0),DAY(sales[[#This Row],[date]]),1, 1)</f>
        <v>#N/A</v>
      </c>
      <c r="E922" s="2">
        <f>MONTH(sales[[#This Row],[date]])</f>
        <v>1</v>
      </c>
      <c r="F922" s="235"/>
      <c r="G922" s="3" t="str">
        <f>VLOOKUP("*"&amp;sales[[#This Row],[Input]]&amp;"*",'Ref-List'!$A:$C,1,0)</f>
        <v>Model-Input-Ref</v>
      </c>
      <c r="H922" s="2" t="str">
        <f>VLOOKUP("*"&amp;G922&amp;"*",'Ref-List'!$A:$C,3,0)</f>
        <v>Product Line</v>
      </c>
      <c r="I922" s="5"/>
      <c r="J922" s="2"/>
      <c r="K922" s="2"/>
      <c r="L922" s="2">
        <f>sales[[#This Row],[quantity]]*sales[[#This Row],[price]]</f>
        <v>0</v>
      </c>
      <c r="M922" s="9">
        <f>sales[[#This Row],[Total Price]]*3%</f>
        <v>0</v>
      </c>
      <c r="N922" s="171">
        <f>sales[[#This Row],[Total Price]]*2.5%</f>
        <v>0</v>
      </c>
      <c r="O922" s="9">
        <f>sales[[#This Row],[Total Price]]*1.5%</f>
        <v>0</v>
      </c>
      <c r="R922" s="5" t="str">
        <f>_xlfn.CONCAT(sales[[#This Row],[Shop]]," ",sales[[#This Row],[Location]])</f>
        <v xml:space="preserve"> </v>
      </c>
    </row>
    <row r="923" spans="1:18" ht="15.6" customHeight="1">
      <c r="A923" s="7">
        <v>921</v>
      </c>
      <c r="D923" s="2" t="e">
        <f ca="1">OFFSET(Roster!$B$7, MATCH(B923&amp;" "&amp;C923&amp;"*",Roster!$B$8:$B$20,0),DAY(sales[[#This Row],[date]]),1, 1)</f>
        <v>#N/A</v>
      </c>
      <c r="E923" s="2">
        <f>MONTH(sales[[#This Row],[date]])</f>
        <v>1</v>
      </c>
      <c r="F923" s="235"/>
      <c r="G923" s="3" t="str">
        <f>VLOOKUP("*"&amp;sales[[#This Row],[Input]]&amp;"*",'Ref-List'!$A:$C,1,0)</f>
        <v>Model-Input-Ref</v>
      </c>
      <c r="H923" s="2" t="str">
        <f>VLOOKUP("*"&amp;G923&amp;"*",'Ref-List'!$A:$C,3,0)</f>
        <v>Product Line</v>
      </c>
      <c r="I923" s="5"/>
      <c r="J923" s="2"/>
      <c r="K923" s="2"/>
      <c r="L923" s="2">
        <f>sales[[#This Row],[quantity]]*sales[[#This Row],[price]]</f>
        <v>0</v>
      </c>
      <c r="M923" s="9">
        <f>sales[[#This Row],[Total Price]]*3%</f>
        <v>0</v>
      </c>
      <c r="N923" s="171">
        <f>sales[[#This Row],[Total Price]]*2.5%</f>
        <v>0</v>
      </c>
      <c r="O923" s="9">
        <f>sales[[#This Row],[Total Price]]*1.5%</f>
        <v>0</v>
      </c>
      <c r="R923" s="5" t="str">
        <f>_xlfn.CONCAT(sales[[#This Row],[Shop]]," ",sales[[#This Row],[Location]])</f>
        <v xml:space="preserve"> </v>
      </c>
    </row>
    <row r="924" spans="1:18" ht="15.6" customHeight="1">
      <c r="A924" s="7">
        <v>922</v>
      </c>
      <c r="D924" s="2" t="e">
        <f ca="1">OFFSET(Roster!$B$7, MATCH(B924&amp;" "&amp;C924&amp;"*",Roster!$B$8:$B$20,0),DAY(sales[[#This Row],[date]]),1, 1)</f>
        <v>#N/A</v>
      </c>
      <c r="E924" s="2">
        <f>MONTH(sales[[#This Row],[date]])</f>
        <v>1</v>
      </c>
      <c r="F924" s="235"/>
      <c r="G924" s="3" t="str">
        <f>VLOOKUP("*"&amp;sales[[#This Row],[Input]]&amp;"*",'Ref-List'!$A:$C,1,0)</f>
        <v>Model-Input-Ref</v>
      </c>
      <c r="H924" s="2" t="str">
        <f>VLOOKUP("*"&amp;G924&amp;"*",'Ref-List'!$A:$C,3,0)</f>
        <v>Product Line</v>
      </c>
      <c r="J924" s="2"/>
      <c r="K924" s="2"/>
      <c r="L924" s="2">
        <f>sales[[#This Row],[quantity]]*sales[[#This Row],[price]]</f>
        <v>0</v>
      </c>
      <c r="M924" s="9">
        <f>sales[[#This Row],[Total Price]]*3%</f>
        <v>0</v>
      </c>
      <c r="N924" s="171">
        <f>sales[[#This Row],[Total Price]]*2.5%</f>
        <v>0</v>
      </c>
      <c r="O924" s="9">
        <f>sales[[#This Row],[Total Price]]*1.5%</f>
        <v>0</v>
      </c>
      <c r="R924" s="5" t="str">
        <f>_xlfn.CONCAT(sales[[#This Row],[Shop]]," ",sales[[#This Row],[Location]])</f>
        <v xml:space="preserve"> </v>
      </c>
    </row>
    <row r="925" spans="1:18" ht="15.6" customHeight="1">
      <c r="A925" s="7">
        <v>923</v>
      </c>
      <c r="D925" s="2" t="e">
        <f ca="1">OFFSET(Roster!$B$7, MATCH(B925&amp;" "&amp;C925&amp;"*",Roster!$B$8:$B$20,0),DAY(sales[[#This Row],[date]]),1, 1)</f>
        <v>#N/A</v>
      </c>
      <c r="E925" s="2">
        <f>MONTH(sales[[#This Row],[date]])</f>
        <v>1</v>
      </c>
      <c r="F925" s="235"/>
      <c r="G925" s="3" t="str">
        <f>VLOOKUP("*"&amp;sales[[#This Row],[Input]]&amp;"*",'Ref-List'!$A:$C,1,0)</f>
        <v>Model-Input-Ref</v>
      </c>
      <c r="H925" s="2" t="str">
        <f>VLOOKUP("*"&amp;G925&amp;"*",'Ref-List'!$A:$C,3,0)</f>
        <v>Product Line</v>
      </c>
      <c r="J925" s="2"/>
      <c r="K925" s="2"/>
      <c r="L925" s="2">
        <f>sales[[#This Row],[quantity]]*sales[[#This Row],[price]]</f>
        <v>0</v>
      </c>
      <c r="M925" s="9">
        <f>sales[[#This Row],[Total Price]]*3%</f>
        <v>0</v>
      </c>
      <c r="N925" s="171">
        <f>sales[[#This Row],[Total Price]]*2.5%</f>
        <v>0</v>
      </c>
      <c r="O925" s="9">
        <f>sales[[#This Row],[Total Price]]*1.5%</f>
        <v>0</v>
      </c>
      <c r="R925" s="5" t="str">
        <f>_xlfn.CONCAT(sales[[#This Row],[Shop]]," ",sales[[#This Row],[Location]])</f>
        <v xml:space="preserve"> </v>
      </c>
    </row>
    <row r="926" spans="1:18" ht="15.6" customHeight="1">
      <c r="A926" s="7">
        <v>924</v>
      </c>
      <c r="D926" s="2" t="e">
        <f ca="1">OFFSET(Roster!$B$7, MATCH(B926&amp;" "&amp;C926&amp;"*",Roster!$B$8:$B$20,0),DAY(sales[[#This Row],[date]]),1, 1)</f>
        <v>#N/A</v>
      </c>
      <c r="E926" s="2">
        <f>MONTH(sales[[#This Row],[date]])</f>
        <v>1</v>
      </c>
      <c r="F926" s="235"/>
      <c r="G926" s="3" t="str">
        <f>VLOOKUP("*"&amp;sales[[#This Row],[Input]]&amp;"*",'Ref-List'!$A:$C,1,0)</f>
        <v>Model-Input-Ref</v>
      </c>
      <c r="H926" s="2" t="str">
        <f>VLOOKUP("*"&amp;G926&amp;"*",'Ref-List'!$A:$C,3,0)</f>
        <v>Product Line</v>
      </c>
      <c r="I926" s="5"/>
      <c r="J926" s="2"/>
      <c r="K926" s="2"/>
      <c r="L926" s="2">
        <f>sales[[#This Row],[quantity]]*sales[[#This Row],[price]]</f>
        <v>0</v>
      </c>
      <c r="M926" s="9">
        <f>sales[[#This Row],[Total Price]]*3%</f>
        <v>0</v>
      </c>
      <c r="N926" s="171">
        <f>sales[[#This Row],[Total Price]]*2.5%</f>
        <v>0</v>
      </c>
      <c r="O926" s="9">
        <f>sales[[#This Row],[Total Price]]*1.5%</f>
        <v>0</v>
      </c>
      <c r="R926" s="5" t="str">
        <f>_xlfn.CONCAT(sales[[#This Row],[Shop]]," ",sales[[#This Row],[Location]])</f>
        <v xml:space="preserve"> </v>
      </c>
    </row>
    <row r="927" spans="1:18" ht="15.6" customHeight="1">
      <c r="A927" s="7">
        <v>925</v>
      </c>
      <c r="D927" s="2" t="e">
        <f ca="1">OFFSET(Roster!$B$7, MATCH(B927&amp;" "&amp;C927&amp;"*",Roster!$B$8:$B$20,0),DAY(sales[[#This Row],[date]]),1, 1)</f>
        <v>#N/A</v>
      </c>
      <c r="E927" s="2">
        <f>MONTH(sales[[#This Row],[date]])</f>
        <v>1</v>
      </c>
      <c r="F927" s="235"/>
      <c r="G927" s="3" t="str">
        <f>VLOOKUP("*"&amp;sales[[#This Row],[Input]]&amp;"*",'Ref-List'!$A:$C,1,0)</f>
        <v>Model-Input-Ref</v>
      </c>
      <c r="H927" s="2" t="str">
        <f>VLOOKUP("*"&amp;G927&amp;"*",'Ref-List'!$A:$C,3,0)</f>
        <v>Product Line</v>
      </c>
      <c r="J927" s="2"/>
      <c r="K927" s="2"/>
      <c r="L927" s="2">
        <f>sales[[#This Row],[quantity]]*sales[[#This Row],[price]]</f>
        <v>0</v>
      </c>
      <c r="M927" s="9">
        <f>sales[[#This Row],[Total Price]]*3%</f>
        <v>0</v>
      </c>
      <c r="N927" s="171">
        <f>sales[[#This Row],[Total Price]]*2.5%</f>
        <v>0</v>
      </c>
      <c r="O927" s="9">
        <f>sales[[#This Row],[Total Price]]*1.5%</f>
        <v>0</v>
      </c>
      <c r="R927" s="5" t="str">
        <f>_xlfn.CONCAT(sales[[#This Row],[Shop]]," ",sales[[#This Row],[Location]])</f>
        <v xml:space="preserve"> </v>
      </c>
    </row>
    <row r="928" spans="1:18" ht="15.6" customHeight="1">
      <c r="A928" s="7">
        <v>926</v>
      </c>
      <c r="D928" s="2" t="e">
        <f ca="1">OFFSET(Roster!$B$7, MATCH(B928&amp;" "&amp;C928&amp;"*",Roster!$B$8:$B$20,0),DAY(sales[[#This Row],[date]]),1, 1)</f>
        <v>#N/A</v>
      </c>
      <c r="E928" s="2">
        <f>MONTH(sales[[#This Row],[date]])</f>
        <v>1</v>
      </c>
      <c r="F928" s="235"/>
      <c r="G928" s="3" t="str">
        <f>VLOOKUP("*"&amp;sales[[#This Row],[Input]]&amp;"*",'Ref-List'!$A:$C,1,0)</f>
        <v>Model-Input-Ref</v>
      </c>
      <c r="H928" s="2" t="str">
        <f>VLOOKUP("*"&amp;G928&amp;"*",'Ref-List'!$A:$C,3,0)</f>
        <v>Product Line</v>
      </c>
      <c r="J928" s="2"/>
      <c r="K928" s="2"/>
      <c r="L928" s="2">
        <f>sales[[#This Row],[quantity]]*sales[[#This Row],[price]]</f>
        <v>0</v>
      </c>
      <c r="M928" s="9">
        <f>sales[[#This Row],[Total Price]]*3%</f>
        <v>0</v>
      </c>
      <c r="N928" s="171">
        <f>sales[[#This Row],[Total Price]]*2.5%</f>
        <v>0</v>
      </c>
      <c r="O928" s="9">
        <f>sales[[#This Row],[Total Price]]*1.5%</f>
        <v>0</v>
      </c>
      <c r="R928" s="5" t="str">
        <f>_xlfn.CONCAT(sales[[#This Row],[Shop]]," ",sales[[#This Row],[Location]])</f>
        <v xml:space="preserve"> </v>
      </c>
    </row>
    <row r="929" spans="1:18" ht="15.6" customHeight="1">
      <c r="A929" s="7">
        <v>927</v>
      </c>
      <c r="D929" s="2" t="e">
        <f ca="1">OFFSET(Roster!$B$7, MATCH(B929&amp;" "&amp;C929&amp;"*",Roster!$B$8:$B$20,0),DAY(sales[[#This Row],[date]]),1, 1)</f>
        <v>#N/A</v>
      </c>
      <c r="E929" s="2">
        <f>MONTH(sales[[#This Row],[date]])</f>
        <v>1</v>
      </c>
      <c r="F929" s="235"/>
      <c r="G929" s="3" t="str">
        <f>VLOOKUP("*"&amp;sales[[#This Row],[Input]]&amp;"*",'Ref-List'!$A:$C,1,0)</f>
        <v>Model-Input-Ref</v>
      </c>
      <c r="H929" s="2" t="str">
        <f>VLOOKUP("*"&amp;G929&amp;"*",'Ref-List'!$A:$C,3,0)</f>
        <v>Product Line</v>
      </c>
      <c r="I929" s="10"/>
      <c r="J929" s="2"/>
      <c r="K929" s="2"/>
      <c r="L929" s="2">
        <f>sales[[#This Row],[quantity]]*sales[[#This Row],[price]]</f>
        <v>0</v>
      </c>
      <c r="M929" s="9">
        <f>sales[[#This Row],[Total Price]]*3%</f>
        <v>0</v>
      </c>
      <c r="N929" s="171">
        <f>sales[[#This Row],[Total Price]]*2.5%</f>
        <v>0</v>
      </c>
      <c r="O929" s="9">
        <f>sales[[#This Row],[Total Price]]*1.5%</f>
        <v>0</v>
      </c>
      <c r="R929" s="5" t="str">
        <f>_xlfn.CONCAT(sales[[#This Row],[Shop]]," ",sales[[#This Row],[Location]])</f>
        <v xml:space="preserve"> </v>
      </c>
    </row>
    <row r="930" spans="1:18" ht="15.6" customHeight="1">
      <c r="A930" s="7">
        <v>928</v>
      </c>
      <c r="D930" s="2" t="e">
        <f ca="1">OFFSET(Roster!$B$7, MATCH(B930&amp;" "&amp;C930&amp;"*",Roster!$B$8:$B$20,0),DAY(sales[[#This Row],[date]]),1, 1)</f>
        <v>#N/A</v>
      </c>
      <c r="E930" s="2">
        <f>MONTH(sales[[#This Row],[date]])</f>
        <v>1</v>
      </c>
      <c r="F930" s="235"/>
      <c r="G930" s="3" t="str">
        <f>VLOOKUP("*"&amp;sales[[#This Row],[Input]]&amp;"*",'Ref-List'!$A:$C,1,0)</f>
        <v>Model-Input-Ref</v>
      </c>
      <c r="H930" s="2" t="str">
        <f>VLOOKUP("*"&amp;G930&amp;"*",'Ref-List'!$A:$C,3,0)</f>
        <v>Product Line</v>
      </c>
      <c r="J930" s="2"/>
      <c r="K930" s="2"/>
      <c r="L930" s="2">
        <f>sales[[#This Row],[quantity]]*sales[[#This Row],[price]]</f>
        <v>0</v>
      </c>
      <c r="M930" s="9">
        <f>sales[[#This Row],[Total Price]]*3%</f>
        <v>0</v>
      </c>
      <c r="N930" s="171">
        <f>sales[[#This Row],[Total Price]]*2.5%</f>
        <v>0</v>
      </c>
      <c r="O930" s="9">
        <f>sales[[#This Row],[Total Price]]*1.5%</f>
        <v>0</v>
      </c>
      <c r="R930" s="5" t="str">
        <f>_xlfn.CONCAT(sales[[#This Row],[Shop]]," ",sales[[#This Row],[Location]])</f>
        <v xml:space="preserve"> </v>
      </c>
    </row>
    <row r="931" spans="1:18" ht="15.6" customHeight="1">
      <c r="A931" s="7">
        <v>929</v>
      </c>
      <c r="D931" s="2" t="e">
        <f ca="1">OFFSET(Roster!$B$7, MATCH(B931&amp;" "&amp;C931&amp;"*",Roster!$B$8:$B$20,0),DAY(sales[[#This Row],[date]]),1, 1)</f>
        <v>#N/A</v>
      </c>
      <c r="E931" s="2">
        <f>MONTH(sales[[#This Row],[date]])</f>
        <v>1</v>
      </c>
      <c r="F931" s="235"/>
      <c r="G931" s="3" t="str">
        <f>VLOOKUP("*"&amp;sales[[#This Row],[Input]]&amp;"*",'Ref-List'!$A:$C,1,0)</f>
        <v>Model-Input-Ref</v>
      </c>
      <c r="H931" s="2" t="str">
        <f>VLOOKUP("*"&amp;G931&amp;"*",'Ref-List'!$A:$C,3,0)</f>
        <v>Product Line</v>
      </c>
      <c r="I931" s="5"/>
      <c r="J931" s="2"/>
      <c r="K931" s="2"/>
      <c r="L931" s="2">
        <f>sales[[#This Row],[quantity]]*sales[[#This Row],[price]]</f>
        <v>0</v>
      </c>
      <c r="M931" s="9">
        <f>sales[[#This Row],[Total Price]]*3%</f>
        <v>0</v>
      </c>
      <c r="N931" s="171">
        <f>sales[[#This Row],[Total Price]]*2.5%</f>
        <v>0</v>
      </c>
      <c r="O931" s="9">
        <f>sales[[#This Row],[Total Price]]*1.5%</f>
        <v>0</v>
      </c>
      <c r="R931" s="5" t="str">
        <f>_xlfn.CONCAT(sales[[#This Row],[Shop]]," ",sales[[#This Row],[Location]])</f>
        <v xml:space="preserve"> </v>
      </c>
    </row>
    <row r="932" spans="1:18" ht="15.6" customHeight="1">
      <c r="A932" s="7">
        <v>930</v>
      </c>
      <c r="D932" s="2" t="e">
        <f ca="1">OFFSET(Roster!$B$7, MATCH(B932&amp;" "&amp;C932&amp;"*",Roster!$B$8:$B$20,0),DAY(sales[[#This Row],[date]]),1, 1)</f>
        <v>#N/A</v>
      </c>
      <c r="E932" s="2">
        <f>MONTH(sales[[#This Row],[date]])</f>
        <v>1</v>
      </c>
      <c r="F932" s="235"/>
      <c r="G932" s="3" t="str">
        <f>VLOOKUP("*"&amp;sales[[#This Row],[Input]]&amp;"*",'Ref-List'!$A:$C,1,0)</f>
        <v>Model-Input-Ref</v>
      </c>
      <c r="H932" s="2" t="str">
        <f>VLOOKUP("*"&amp;G932&amp;"*",'Ref-List'!$A:$C,3,0)</f>
        <v>Product Line</v>
      </c>
      <c r="I932" s="5"/>
      <c r="J932" s="2"/>
      <c r="K932" s="2"/>
      <c r="L932" s="2">
        <f>sales[[#This Row],[quantity]]*sales[[#This Row],[price]]</f>
        <v>0</v>
      </c>
      <c r="M932" s="9">
        <f>sales[[#This Row],[Total Price]]*3%</f>
        <v>0</v>
      </c>
      <c r="N932" s="171">
        <f>sales[[#This Row],[Total Price]]*2.5%</f>
        <v>0</v>
      </c>
      <c r="O932" s="9">
        <f>sales[[#This Row],[Total Price]]*1.5%</f>
        <v>0</v>
      </c>
      <c r="R932" s="5" t="str">
        <f>_xlfn.CONCAT(sales[[#This Row],[Shop]]," ",sales[[#This Row],[Location]])</f>
        <v xml:space="preserve"> </v>
      </c>
    </row>
    <row r="933" spans="1:18" ht="15.6" customHeight="1">
      <c r="A933" s="7">
        <v>931</v>
      </c>
      <c r="D933" s="2" t="e">
        <f ca="1">OFFSET(Roster!$B$7, MATCH(B933&amp;" "&amp;C933&amp;"*",Roster!$B$8:$B$20,0),DAY(sales[[#This Row],[date]]),1, 1)</f>
        <v>#N/A</v>
      </c>
      <c r="E933" s="2">
        <f>MONTH(sales[[#This Row],[date]])</f>
        <v>1</v>
      </c>
      <c r="F933" s="235"/>
      <c r="G933" s="3" t="str">
        <f>VLOOKUP("*"&amp;sales[[#This Row],[Input]]&amp;"*",'Ref-List'!$A:$C,1,0)</f>
        <v>Model-Input-Ref</v>
      </c>
      <c r="H933" s="2" t="str">
        <f>VLOOKUP("*"&amp;G933&amp;"*",'Ref-List'!$A:$C,3,0)</f>
        <v>Product Line</v>
      </c>
      <c r="J933" s="2"/>
      <c r="K933" s="2"/>
      <c r="L933" s="2">
        <f>sales[[#This Row],[quantity]]*sales[[#This Row],[price]]</f>
        <v>0</v>
      </c>
      <c r="M933" s="9">
        <f>sales[[#This Row],[Total Price]]*3%</f>
        <v>0</v>
      </c>
      <c r="N933" s="171">
        <f>sales[[#This Row],[Total Price]]*2.5%</f>
        <v>0</v>
      </c>
      <c r="O933" s="9">
        <f>sales[[#This Row],[Total Price]]*1.5%</f>
        <v>0</v>
      </c>
      <c r="R933" s="5" t="str">
        <f>_xlfn.CONCAT(sales[[#This Row],[Shop]]," ",sales[[#This Row],[Location]])</f>
        <v xml:space="preserve"> </v>
      </c>
    </row>
    <row r="934" spans="1:18" ht="15.6" customHeight="1">
      <c r="A934" s="7">
        <v>932</v>
      </c>
      <c r="D934" s="2" t="e">
        <f ca="1">OFFSET(Roster!$B$7, MATCH(B934&amp;" "&amp;C934&amp;"*",Roster!$B$8:$B$20,0),DAY(sales[[#This Row],[date]]),1, 1)</f>
        <v>#N/A</v>
      </c>
      <c r="E934" s="2">
        <f>MONTH(sales[[#This Row],[date]])</f>
        <v>1</v>
      </c>
      <c r="F934" s="235"/>
      <c r="G934" s="3" t="str">
        <f>VLOOKUP("*"&amp;sales[[#This Row],[Input]]&amp;"*",'Ref-List'!$A:$C,1,0)</f>
        <v>Model-Input-Ref</v>
      </c>
      <c r="H934" s="2" t="str">
        <f>VLOOKUP("*"&amp;G934&amp;"*",'Ref-List'!$A:$C,3,0)</f>
        <v>Product Line</v>
      </c>
      <c r="I934" s="5"/>
      <c r="J934" s="2"/>
      <c r="K934" s="2"/>
      <c r="L934" s="2">
        <f>sales[[#This Row],[quantity]]*sales[[#This Row],[price]]</f>
        <v>0</v>
      </c>
      <c r="M934" s="9">
        <f>sales[[#This Row],[Total Price]]*3%</f>
        <v>0</v>
      </c>
      <c r="N934" s="171">
        <f>sales[[#This Row],[Total Price]]*2.5%</f>
        <v>0</v>
      </c>
      <c r="O934" s="9">
        <f>sales[[#This Row],[Total Price]]*1.5%</f>
        <v>0</v>
      </c>
      <c r="R934" s="5" t="str">
        <f>_xlfn.CONCAT(sales[[#This Row],[Shop]]," ",sales[[#This Row],[Location]])</f>
        <v xml:space="preserve"> </v>
      </c>
    </row>
    <row r="935" spans="1:18" ht="15.6" customHeight="1">
      <c r="A935" s="7">
        <v>933</v>
      </c>
      <c r="D935" s="2" t="e">
        <f ca="1">OFFSET(Roster!$B$7, MATCH(B935&amp;" "&amp;C935&amp;"*",Roster!$B$8:$B$20,0),DAY(sales[[#This Row],[date]]),1, 1)</f>
        <v>#N/A</v>
      </c>
      <c r="E935" s="2">
        <f>MONTH(sales[[#This Row],[date]])</f>
        <v>1</v>
      </c>
      <c r="F935" s="235"/>
      <c r="G935" s="3" t="str">
        <f>VLOOKUP("*"&amp;sales[[#This Row],[Input]]&amp;"*",'Ref-List'!$A:$C,1,0)</f>
        <v>Model-Input-Ref</v>
      </c>
      <c r="H935" s="2" t="str">
        <f>VLOOKUP("*"&amp;G935&amp;"*",'Ref-List'!$A:$C,3,0)</f>
        <v>Product Line</v>
      </c>
      <c r="J935" s="2"/>
      <c r="K935" s="2"/>
      <c r="L935" s="2">
        <f>sales[[#This Row],[quantity]]*sales[[#This Row],[price]]</f>
        <v>0</v>
      </c>
      <c r="M935" s="9">
        <f>sales[[#This Row],[Total Price]]*3%</f>
        <v>0</v>
      </c>
      <c r="N935" s="171">
        <f>sales[[#This Row],[Total Price]]*2.5%</f>
        <v>0</v>
      </c>
      <c r="O935" s="9">
        <f>sales[[#This Row],[Total Price]]*1.5%</f>
        <v>0</v>
      </c>
      <c r="R935" s="5" t="str">
        <f>_xlfn.CONCAT(sales[[#This Row],[Shop]]," ",sales[[#This Row],[Location]])</f>
        <v xml:space="preserve"> </v>
      </c>
    </row>
    <row r="936" spans="1:18" ht="15.6" customHeight="1">
      <c r="A936" s="7">
        <v>934</v>
      </c>
      <c r="D936" s="2" t="e">
        <f ca="1">OFFSET(Roster!$B$7, MATCH(B936&amp;" "&amp;C936&amp;"*",Roster!$B$8:$B$20,0),DAY(sales[[#This Row],[date]]),1, 1)</f>
        <v>#N/A</v>
      </c>
      <c r="E936" s="2">
        <f>MONTH(sales[[#This Row],[date]])</f>
        <v>1</v>
      </c>
      <c r="F936" s="235"/>
      <c r="G936" s="3" t="str">
        <f>VLOOKUP("*"&amp;sales[[#This Row],[Input]]&amp;"*",'Ref-List'!$A:$C,1,0)</f>
        <v>Model-Input-Ref</v>
      </c>
      <c r="H936" s="2" t="str">
        <f>VLOOKUP("*"&amp;G936&amp;"*",'Ref-List'!$A:$C,3,0)</f>
        <v>Product Line</v>
      </c>
      <c r="I936" s="5"/>
      <c r="J936" s="2"/>
      <c r="K936" s="2"/>
      <c r="L936" s="2">
        <f>sales[[#This Row],[quantity]]*sales[[#This Row],[price]]</f>
        <v>0</v>
      </c>
      <c r="M936" s="9">
        <f>sales[[#This Row],[Total Price]]*3%</f>
        <v>0</v>
      </c>
      <c r="N936" s="171">
        <f>sales[[#This Row],[Total Price]]*2.5%</f>
        <v>0</v>
      </c>
      <c r="O936" s="9">
        <f>sales[[#This Row],[Total Price]]*1.5%</f>
        <v>0</v>
      </c>
      <c r="R936" s="5" t="str">
        <f>_xlfn.CONCAT(sales[[#This Row],[Shop]]," ",sales[[#This Row],[Location]])</f>
        <v xml:space="preserve"> </v>
      </c>
    </row>
    <row r="937" spans="1:18" ht="15.6" customHeight="1">
      <c r="A937" s="7">
        <v>935</v>
      </c>
      <c r="D937" s="2" t="e">
        <f ca="1">OFFSET(Roster!$B$7, MATCH(B937&amp;" "&amp;C937&amp;"*",Roster!$B$8:$B$20,0),DAY(sales[[#This Row],[date]]),1, 1)</f>
        <v>#N/A</v>
      </c>
      <c r="E937" s="2">
        <f>MONTH(sales[[#This Row],[date]])</f>
        <v>1</v>
      </c>
      <c r="F937" s="235"/>
      <c r="G937" s="3" t="str">
        <f>VLOOKUP("*"&amp;sales[[#This Row],[Input]]&amp;"*",'Ref-List'!$A:$C,1,0)</f>
        <v>Model-Input-Ref</v>
      </c>
      <c r="H937" s="2" t="str">
        <f>VLOOKUP("*"&amp;G937&amp;"*",'Ref-List'!$A:$C,3,0)</f>
        <v>Product Line</v>
      </c>
      <c r="J937" s="2"/>
      <c r="K937" s="2"/>
      <c r="L937" s="2">
        <f>sales[[#This Row],[quantity]]*sales[[#This Row],[price]]</f>
        <v>0</v>
      </c>
      <c r="M937" s="9">
        <f>sales[[#This Row],[Total Price]]*3%</f>
        <v>0</v>
      </c>
      <c r="N937" s="171">
        <f>sales[[#This Row],[Total Price]]*2.5%</f>
        <v>0</v>
      </c>
      <c r="O937" s="9">
        <f>sales[[#This Row],[Total Price]]*1.5%</f>
        <v>0</v>
      </c>
      <c r="R937" s="5" t="str">
        <f>_xlfn.CONCAT(sales[[#This Row],[Shop]]," ",sales[[#This Row],[Location]])</f>
        <v xml:space="preserve"> </v>
      </c>
    </row>
    <row r="938" spans="1:18" ht="15.6" customHeight="1">
      <c r="A938" s="7">
        <v>936</v>
      </c>
      <c r="D938" s="2" t="e">
        <f ca="1">OFFSET(Roster!$B$7, MATCH(B938&amp;" "&amp;C938&amp;"*",Roster!$B$8:$B$20,0),DAY(sales[[#This Row],[date]]),1, 1)</f>
        <v>#N/A</v>
      </c>
      <c r="E938" s="2">
        <f>MONTH(sales[[#This Row],[date]])</f>
        <v>1</v>
      </c>
      <c r="F938" s="235"/>
      <c r="G938" s="3" t="str">
        <f>VLOOKUP("*"&amp;sales[[#This Row],[Input]]&amp;"*",'Ref-List'!$A:$C,1,0)</f>
        <v>Model-Input-Ref</v>
      </c>
      <c r="H938" s="2" t="str">
        <f>VLOOKUP("*"&amp;G938&amp;"*",'Ref-List'!$A:$C,3,0)</f>
        <v>Product Line</v>
      </c>
      <c r="J938" s="2"/>
      <c r="K938" s="2"/>
      <c r="L938" s="2">
        <f>sales[[#This Row],[quantity]]*sales[[#This Row],[price]]</f>
        <v>0</v>
      </c>
      <c r="M938" s="9">
        <f>sales[[#This Row],[Total Price]]*3%</f>
        <v>0</v>
      </c>
      <c r="N938" s="171">
        <f>sales[[#This Row],[Total Price]]*2.5%</f>
        <v>0</v>
      </c>
      <c r="O938" s="9">
        <f>sales[[#This Row],[Total Price]]*1.5%</f>
        <v>0</v>
      </c>
      <c r="R938" s="5" t="str">
        <f>_xlfn.CONCAT(sales[[#This Row],[Shop]]," ",sales[[#This Row],[Location]])</f>
        <v xml:space="preserve"> </v>
      </c>
    </row>
    <row r="939" spans="1:18" ht="15.6" customHeight="1">
      <c r="A939" s="7">
        <v>937</v>
      </c>
      <c r="D939" s="2" t="e">
        <f ca="1">OFFSET(Roster!$B$7, MATCH(B939&amp;" "&amp;C939&amp;"*",Roster!$B$8:$B$20,0),DAY(sales[[#This Row],[date]]),1, 1)</f>
        <v>#N/A</v>
      </c>
      <c r="E939" s="2">
        <f>MONTH(sales[[#This Row],[date]])</f>
        <v>1</v>
      </c>
      <c r="F939" s="235"/>
      <c r="G939" s="3" t="str">
        <f>VLOOKUP("*"&amp;sales[[#This Row],[Input]]&amp;"*",'Ref-List'!$A:$C,1,0)</f>
        <v>Model-Input-Ref</v>
      </c>
      <c r="H939" s="2" t="str">
        <f>VLOOKUP("*"&amp;G939&amp;"*",'Ref-List'!$A:$C,3,0)</f>
        <v>Product Line</v>
      </c>
      <c r="J939" s="2"/>
      <c r="K939" s="2"/>
      <c r="L939" s="2">
        <f>sales[[#This Row],[quantity]]*sales[[#This Row],[price]]</f>
        <v>0</v>
      </c>
      <c r="M939" s="9">
        <f>sales[[#This Row],[Total Price]]*3%</f>
        <v>0</v>
      </c>
      <c r="N939" s="171">
        <f>sales[[#This Row],[Total Price]]*2.5%</f>
        <v>0</v>
      </c>
      <c r="O939" s="9">
        <f>sales[[#This Row],[Total Price]]*1.5%</f>
        <v>0</v>
      </c>
      <c r="R939" s="5" t="str">
        <f>_xlfn.CONCAT(sales[[#This Row],[Shop]]," ",sales[[#This Row],[Location]])</f>
        <v xml:space="preserve"> </v>
      </c>
    </row>
    <row r="940" spans="1:18" ht="15.6" customHeight="1">
      <c r="A940" s="7">
        <v>938</v>
      </c>
      <c r="D940" s="2" t="e">
        <f ca="1">OFFSET(Roster!$B$7, MATCH(B940&amp;" "&amp;C940&amp;"*",Roster!$B$8:$B$20,0),DAY(sales[[#This Row],[date]]),1, 1)</f>
        <v>#N/A</v>
      </c>
      <c r="E940" s="2">
        <f>MONTH(sales[[#This Row],[date]])</f>
        <v>1</v>
      </c>
      <c r="F940" s="235"/>
      <c r="G940" s="3" t="str">
        <f>VLOOKUP("*"&amp;sales[[#This Row],[Input]]&amp;"*",'Ref-List'!$A:$C,1,0)</f>
        <v>Model-Input-Ref</v>
      </c>
      <c r="H940" s="2" t="str">
        <f>VLOOKUP("*"&amp;G940&amp;"*",'Ref-List'!$A:$C,3,0)</f>
        <v>Product Line</v>
      </c>
      <c r="J940" s="2"/>
      <c r="K940" s="2"/>
      <c r="L940" s="2">
        <f>sales[[#This Row],[quantity]]*sales[[#This Row],[price]]</f>
        <v>0</v>
      </c>
      <c r="M940" s="9">
        <f>sales[[#This Row],[Total Price]]*3%</f>
        <v>0</v>
      </c>
      <c r="N940" s="171">
        <f>sales[[#This Row],[Total Price]]*2.5%</f>
        <v>0</v>
      </c>
      <c r="O940" s="9">
        <f>sales[[#This Row],[Total Price]]*1.5%</f>
        <v>0</v>
      </c>
      <c r="R940" s="5" t="str">
        <f>_xlfn.CONCAT(sales[[#This Row],[Shop]]," ",sales[[#This Row],[Location]])</f>
        <v xml:space="preserve"> </v>
      </c>
    </row>
    <row r="941" spans="1:18" ht="15.6" customHeight="1">
      <c r="A941" s="7">
        <v>939</v>
      </c>
      <c r="D941" s="2" t="e">
        <f ca="1">OFFSET(Roster!$B$7, MATCH(B941&amp;" "&amp;C941&amp;"*",Roster!$B$8:$B$20,0),DAY(sales[[#This Row],[date]]),1, 1)</f>
        <v>#N/A</v>
      </c>
      <c r="E941" s="2">
        <f>MONTH(sales[[#This Row],[date]])</f>
        <v>1</v>
      </c>
      <c r="F941" s="235"/>
      <c r="G941" s="3" t="str">
        <f>VLOOKUP("*"&amp;sales[[#This Row],[Input]]&amp;"*",'Ref-List'!$A:$C,1,0)</f>
        <v>Model-Input-Ref</v>
      </c>
      <c r="H941" s="2" t="str">
        <f>VLOOKUP("*"&amp;G941&amp;"*",'Ref-List'!$A:$C,3,0)</f>
        <v>Product Line</v>
      </c>
      <c r="J941" s="2"/>
      <c r="K941" s="2"/>
      <c r="L941" s="2">
        <f>sales[[#This Row],[quantity]]*sales[[#This Row],[price]]</f>
        <v>0</v>
      </c>
      <c r="M941" s="9">
        <f>sales[[#This Row],[Total Price]]*3%</f>
        <v>0</v>
      </c>
      <c r="N941" s="171">
        <f>sales[[#This Row],[Total Price]]*2.5%</f>
        <v>0</v>
      </c>
      <c r="O941" s="9">
        <f>sales[[#This Row],[Total Price]]*1.5%</f>
        <v>0</v>
      </c>
      <c r="R941" s="5" t="str">
        <f>_xlfn.CONCAT(sales[[#This Row],[Shop]]," ",sales[[#This Row],[Location]])</f>
        <v xml:space="preserve"> </v>
      </c>
    </row>
    <row r="942" spans="1:18" ht="15.6" customHeight="1">
      <c r="A942" s="7">
        <v>940</v>
      </c>
      <c r="D942" s="2" t="e">
        <f ca="1">OFFSET(Roster!$B$7, MATCH(B942&amp;" "&amp;C942&amp;"*",Roster!$B$8:$B$20,0),DAY(sales[[#This Row],[date]]),1, 1)</f>
        <v>#N/A</v>
      </c>
      <c r="E942" s="2">
        <f>MONTH(sales[[#This Row],[date]])</f>
        <v>1</v>
      </c>
      <c r="F942" s="235"/>
      <c r="G942" s="3" t="str">
        <f>VLOOKUP("*"&amp;sales[[#This Row],[Input]]&amp;"*",'Ref-List'!$A:$C,1,0)</f>
        <v>Model-Input-Ref</v>
      </c>
      <c r="H942" s="2" t="str">
        <f>VLOOKUP("*"&amp;G942&amp;"*",'Ref-List'!$A:$C,3,0)</f>
        <v>Product Line</v>
      </c>
      <c r="J942" s="2"/>
      <c r="K942" s="2"/>
      <c r="L942" s="2">
        <f>sales[[#This Row],[quantity]]*sales[[#This Row],[price]]</f>
        <v>0</v>
      </c>
      <c r="M942" s="9">
        <f>sales[[#This Row],[Total Price]]*3%</f>
        <v>0</v>
      </c>
      <c r="N942" s="171">
        <f>sales[[#This Row],[Total Price]]*2.5%</f>
        <v>0</v>
      </c>
      <c r="O942" s="9">
        <f>sales[[#This Row],[Total Price]]*1.5%</f>
        <v>0</v>
      </c>
      <c r="R942" s="5" t="str">
        <f>_xlfn.CONCAT(sales[[#This Row],[Shop]]," ",sales[[#This Row],[Location]])</f>
        <v xml:space="preserve"> </v>
      </c>
    </row>
    <row r="943" spans="1:18" ht="15.6" customHeight="1">
      <c r="A943" s="7">
        <v>941</v>
      </c>
      <c r="D943" s="2" t="e">
        <f ca="1">OFFSET(Roster!$B$7, MATCH(B943&amp;" "&amp;C943&amp;"*",Roster!$B$8:$B$20,0),DAY(sales[[#This Row],[date]]),1, 1)</f>
        <v>#N/A</v>
      </c>
      <c r="E943" s="2">
        <f>MONTH(sales[[#This Row],[date]])</f>
        <v>1</v>
      </c>
      <c r="F943" s="235"/>
      <c r="G943" s="3" t="str">
        <f>VLOOKUP("*"&amp;sales[[#This Row],[Input]]&amp;"*",'Ref-List'!$A:$C,1,0)</f>
        <v>Model-Input-Ref</v>
      </c>
      <c r="H943" s="2" t="str">
        <f>VLOOKUP("*"&amp;G943&amp;"*",'Ref-List'!$A:$C,3,0)</f>
        <v>Product Line</v>
      </c>
      <c r="J943" s="2"/>
      <c r="K943" s="2"/>
      <c r="L943" s="2">
        <f>sales[[#This Row],[quantity]]*sales[[#This Row],[price]]</f>
        <v>0</v>
      </c>
      <c r="M943" s="9">
        <f>sales[[#This Row],[Total Price]]*3%</f>
        <v>0</v>
      </c>
      <c r="N943" s="171">
        <f>sales[[#This Row],[Total Price]]*2.5%</f>
        <v>0</v>
      </c>
      <c r="O943" s="9">
        <f>sales[[#This Row],[Total Price]]*1.5%</f>
        <v>0</v>
      </c>
      <c r="R943" s="5" t="str">
        <f>_xlfn.CONCAT(sales[[#This Row],[Shop]]," ",sales[[#This Row],[Location]])</f>
        <v xml:space="preserve"> </v>
      </c>
    </row>
    <row r="944" spans="1:18" ht="15.6" customHeight="1">
      <c r="A944" s="7">
        <v>942</v>
      </c>
      <c r="D944" s="2" t="e">
        <f ca="1">OFFSET(Roster!$B$7, MATCH(B944&amp;" "&amp;C944&amp;"*",Roster!$B$8:$B$20,0),DAY(sales[[#This Row],[date]]),1, 1)</f>
        <v>#N/A</v>
      </c>
      <c r="E944" s="2">
        <f>MONTH(sales[[#This Row],[date]])</f>
        <v>1</v>
      </c>
      <c r="F944" s="235"/>
      <c r="G944" s="3" t="str">
        <f>VLOOKUP("*"&amp;sales[[#This Row],[Input]]&amp;"*",'Ref-List'!$A:$C,1,0)</f>
        <v>Model-Input-Ref</v>
      </c>
      <c r="H944" s="2" t="str">
        <f>VLOOKUP("*"&amp;G944&amp;"*",'Ref-List'!$A:$C,3,0)</f>
        <v>Product Line</v>
      </c>
      <c r="J944" s="2"/>
      <c r="K944" s="2"/>
      <c r="L944" s="2">
        <f>sales[[#This Row],[quantity]]*sales[[#This Row],[price]]</f>
        <v>0</v>
      </c>
      <c r="M944" s="9">
        <f>sales[[#This Row],[Total Price]]*3%</f>
        <v>0</v>
      </c>
      <c r="N944" s="171">
        <f>sales[[#This Row],[Total Price]]*2.5%</f>
        <v>0</v>
      </c>
      <c r="O944" s="9">
        <f>sales[[#This Row],[Total Price]]*1.5%</f>
        <v>0</v>
      </c>
      <c r="R944" s="5" t="str">
        <f>_xlfn.CONCAT(sales[[#This Row],[Shop]]," ",sales[[#This Row],[Location]])</f>
        <v xml:space="preserve"> </v>
      </c>
    </row>
    <row r="945" spans="1:18" ht="15.6" customHeight="1">
      <c r="A945" s="7">
        <v>943</v>
      </c>
      <c r="D945" s="2" t="e">
        <f ca="1">OFFSET(Roster!$B$7, MATCH(B945&amp;" "&amp;C945&amp;"*",Roster!$B$8:$B$20,0),DAY(sales[[#This Row],[date]]),1, 1)</f>
        <v>#N/A</v>
      </c>
      <c r="E945" s="2">
        <f>MONTH(sales[[#This Row],[date]])</f>
        <v>1</v>
      </c>
      <c r="F945" s="235"/>
      <c r="G945" s="3" t="str">
        <f>VLOOKUP("*"&amp;sales[[#This Row],[Input]]&amp;"*",'Ref-List'!$A:$C,1,0)</f>
        <v>Model-Input-Ref</v>
      </c>
      <c r="H945" s="2" t="str">
        <f>VLOOKUP("*"&amp;G945&amp;"*",'Ref-List'!$A:$C,3,0)</f>
        <v>Product Line</v>
      </c>
      <c r="J945" s="2"/>
      <c r="K945" s="2"/>
      <c r="L945" s="2">
        <f>sales[[#This Row],[quantity]]*sales[[#This Row],[price]]</f>
        <v>0</v>
      </c>
      <c r="M945" s="9">
        <f>sales[[#This Row],[Total Price]]*3%</f>
        <v>0</v>
      </c>
      <c r="N945" s="171">
        <f>sales[[#This Row],[Total Price]]*2.5%</f>
        <v>0</v>
      </c>
      <c r="O945" s="9">
        <f>sales[[#This Row],[Total Price]]*1.5%</f>
        <v>0</v>
      </c>
      <c r="R945" s="5" t="str">
        <f>_xlfn.CONCAT(sales[[#This Row],[Shop]]," ",sales[[#This Row],[Location]])</f>
        <v xml:space="preserve"> </v>
      </c>
    </row>
    <row r="946" spans="1:18" ht="15.6" customHeight="1">
      <c r="A946" s="7">
        <v>944</v>
      </c>
      <c r="D946" s="2" t="e">
        <f ca="1">OFFSET(Roster!$B$7, MATCH(B946&amp;" "&amp;C946&amp;"*",Roster!$B$8:$B$20,0),DAY(sales[[#This Row],[date]]),1, 1)</f>
        <v>#N/A</v>
      </c>
      <c r="E946" s="2">
        <f>MONTH(sales[[#This Row],[date]])</f>
        <v>1</v>
      </c>
      <c r="F946" s="235"/>
      <c r="G946" s="3" t="str">
        <f>VLOOKUP("*"&amp;sales[[#This Row],[Input]]&amp;"*",'Ref-List'!$A:$C,1,0)</f>
        <v>Model-Input-Ref</v>
      </c>
      <c r="H946" s="2" t="str">
        <f>VLOOKUP("*"&amp;G946&amp;"*",'Ref-List'!$A:$C,3,0)</f>
        <v>Product Line</v>
      </c>
      <c r="J946" s="2"/>
      <c r="K946" s="2"/>
      <c r="L946" s="2">
        <f>sales[[#This Row],[quantity]]*sales[[#This Row],[price]]</f>
        <v>0</v>
      </c>
      <c r="M946" s="9">
        <f>sales[[#This Row],[Total Price]]*3%</f>
        <v>0</v>
      </c>
      <c r="N946" s="171">
        <f>sales[[#This Row],[Total Price]]*2.5%</f>
        <v>0</v>
      </c>
      <c r="O946" s="9">
        <f>sales[[#This Row],[Total Price]]*1.5%</f>
        <v>0</v>
      </c>
      <c r="R946" s="5" t="str">
        <f>_xlfn.CONCAT(sales[[#This Row],[Shop]]," ",sales[[#This Row],[Location]])</f>
        <v xml:space="preserve"> </v>
      </c>
    </row>
    <row r="947" spans="1:18" ht="15.6" customHeight="1">
      <c r="A947" s="7">
        <v>945</v>
      </c>
      <c r="D947" s="2" t="e">
        <f ca="1">OFFSET(Roster!$B$7, MATCH(B947&amp;" "&amp;C947&amp;"*",Roster!$B$8:$B$20,0),DAY(sales[[#This Row],[date]]),1, 1)</f>
        <v>#N/A</v>
      </c>
      <c r="E947" s="2">
        <f>MONTH(sales[[#This Row],[date]])</f>
        <v>1</v>
      </c>
      <c r="F947" s="235"/>
      <c r="G947" s="3" t="str">
        <f>VLOOKUP("*"&amp;sales[[#This Row],[Input]]&amp;"*",'Ref-List'!$A:$C,1,0)</f>
        <v>Model-Input-Ref</v>
      </c>
      <c r="H947" s="2" t="str">
        <f>VLOOKUP("*"&amp;G947&amp;"*",'Ref-List'!$A:$C,3,0)</f>
        <v>Product Line</v>
      </c>
      <c r="J947" s="2"/>
      <c r="K947" s="2"/>
      <c r="L947" s="2">
        <f>sales[[#This Row],[quantity]]*sales[[#This Row],[price]]</f>
        <v>0</v>
      </c>
      <c r="M947" s="9">
        <f>sales[[#This Row],[Total Price]]*3%</f>
        <v>0</v>
      </c>
      <c r="N947" s="171">
        <f>sales[[#This Row],[Total Price]]*2.5%</f>
        <v>0</v>
      </c>
      <c r="O947" s="9">
        <f>sales[[#This Row],[Total Price]]*1.5%</f>
        <v>0</v>
      </c>
      <c r="R947" s="5" t="str">
        <f>_xlfn.CONCAT(sales[[#This Row],[Shop]]," ",sales[[#This Row],[Location]])</f>
        <v xml:space="preserve"> </v>
      </c>
    </row>
    <row r="948" spans="1:18" ht="15.6" customHeight="1">
      <c r="A948" s="7">
        <v>946</v>
      </c>
      <c r="D948" s="2" t="e">
        <f ca="1">OFFSET(Roster!$B$7, MATCH(B948&amp;" "&amp;C948&amp;"*",Roster!$B$8:$B$20,0),DAY(sales[[#This Row],[date]]),1, 1)</f>
        <v>#N/A</v>
      </c>
      <c r="E948" s="2">
        <f>MONTH(sales[[#This Row],[date]])</f>
        <v>1</v>
      </c>
      <c r="F948" s="235"/>
      <c r="G948" s="3" t="str">
        <f>VLOOKUP("*"&amp;sales[[#This Row],[Input]]&amp;"*",'Ref-List'!$A:$C,1,0)</f>
        <v>Model-Input-Ref</v>
      </c>
      <c r="H948" s="2" t="str">
        <f>VLOOKUP("*"&amp;G948&amp;"*",'Ref-List'!$A:$C,3,0)</f>
        <v>Product Line</v>
      </c>
      <c r="I948" s="5"/>
      <c r="J948" s="2"/>
      <c r="K948" s="2"/>
      <c r="L948" s="2">
        <f>sales[[#This Row],[quantity]]*sales[[#This Row],[price]]</f>
        <v>0</v>
      </c>
      <c r="M948" s="9">
        <f>sales[[#This Row],[Total Price]]*3%</f>
        <v>0</v>
      </c>
      <c r="N948" s="171">
        <f>sales[[#This Row],[Total Price]]*2.5%</f>
        <v>0</v>
      </c>
      <c r="O948" s="9">
        <f>sales[[#This Row],[Total Price]]*1.5%</f>
        <v>0</v>
      </c>
      <c r="R948" s="5" t="str">
        <f>_xlfn.CONCAT(sales[[#This Row],[Shop]]," ",sales[[#This Row],[Location]])</f>
        <v xml:space="preserve"> </v>
      </c>
    </row>
    <row r="949" spans="1:18" ht="15.6" customHeight="1">
      <c r="A949" s="7">
        <v>947</v>
      </c>
      <c r="D949" s="2" t="e">
        <f ca="1">OFFSET(Roster!$B$7, MATCH(B949&amp;" "&amp;C949&amp;"*",Roster!$B$8:$B$20,0),DAY(sales[[#This Row],[date]]),1, 1)</f>
        <v>#N/A</v>
      </c>
      <c r="E949" s="2">
        <f>MONTH(sales[[#This Row],[date]])</f>
        <v>1</v>
      </c>
      <c r="F949" s="235"/>
      <c r="G949" s="3" t="str">
        <f>VLOOKUP("*"&amp;sales[[#This Row],[Input]]&amp;"*",'Ref-List'!$A:$C,1,0)</f>
        <v>Model-Input-Ref</v>
      </c>
      <c r="H949" s="2" t="str">
        <f>VLOOKUP("*"&amp;G949&amp;"*",'Ref-List'!$A:$C,3,0)</f>
        <v>Product Line</v>
      </c>
      <c r="J949" s="2"/>
      <c r="K949" s="2"/>
      <c r="L949" s="2">
        <f>sales[[#This Row],[quantity]]*sales[[#This Row],[price]]</f>
        <v>0</v>
      </c>
      <c r="M949" s="9">
        <f>sales[[#This Row],[Total Price]]*3%</f>
        <v>0</v>
      </c>
      <c r="N949" s="171">
        <f>sales[[#This Row],[Total Price]]*2.5%</f>
        <v>0</v>
      </c>
      <c r="O949" s="9">
        <f>sales[[#This Row],[Total Price]]*1.5%</f>
        <v>0</v>
      </c>
      <c r="R949" s="5" t="str">
        <f>_xlfn.CONCAT(sales[[#This Row],[Shop]]," ",sales[[#This Row],[Location]])</f>
        <v xml:space="preserve"> </v>
      </c>
    </row>
    <row r="950" spans="1:18" ht="15.6" customHeight="1">
      <c r="A950" s="7">
        <v>948</v>
      </c>
      <c r="D950" s="2" t="e">
        <f ca="1">OFFSET(Roster!$B$7, MATCH(B950&amp;" "&amp;C950&amp;"*",Roster!$B$8:$B$20,0),DAY(sales[[#This Row],[date]]),1, 1)</f>
        <v>#N/A</v>
      </c>
      <c r="E950" s="2">
        <f>MONTH(sales[[#This Row],[date]])</f>
        <v>1</v>
      </c>
      <c r="F950" s="235"/>
      <c r="G950" s="3" t="str">
        <f>VLOOKUP("*"&amp;sales[[#This Row],[Input]]&amp;"*",'Ref-List'!$A:$C,1,0)</f>
        <v>Model-Input-Ref</v>
      </c>
      <c r="H950" s="2" t="str">
        <f>VLOOKUP("*"&amp;G950&amp;"*",'Ref-List'!$A:$C,3,0)</f>
        <v>Product Line</v>
      </c>
      <c r="J950" s="2"/>
      <c r="K950" s="2"/>
      <c r="L950" s="2">
        <f>sales[[#This Row],[quantity]]*sales[[#This Row],[price]]</f>
        <v>0</v>
      </c>
      <c r="M950" s="9">
        <f>sales[[#This Row],[Total Price]]*3%</f>
        <v>0</v>
      </c>
      <c r="N950" s="171">
        <f>sales[[#This Row],[Total Price]]*2.5%</f>
        <v>0</v>
      </c>
      <c r="O950" s="9">
        <f>sales[[#This Row],[Total Price]]*1.5%</f>
        <v>0</v>
      </c>
      <c r="R950" s="5" t="str">
        <f>_xlfn.CONCAT(sales[[#This Row],[Shop]]," ",sales[[#This Row],[Location]])</f>
        <v xml:space="preserve"> </v>
      </c>
    </row>
    <row r="951" spans="1:18" ht="15.6" customHeight="1">
      <c r="A951" s="7">
        <v>949</v>
      </c>
      <c r="D951" s="2" t="e">
        <f ca="1">OFFSET(Roster!$B$7, MATCH(B951&amp;" "&amp;C951&amp;"*",Roster!$B$8:$B$20,0),DAY(sales[[#This Row],[date]]),1, 1)</f>
        <v>#N/A</v>
      </c>
      <c r="E951" s="2">
        <f>MONTH(sales[[#This Row],[date]])</f>
        <v>1</v>
      </c>
      <c r="F951" s="235"/>
      <c r="G951" s="3" t="str">
        <f>VLOOKUP("*"&amp;sales[[#This Row],[Input]]&amp;"*",'Ref-List'!$A:$C,1,0)</f>
        <v>Model-Input-Ref</v>
      </c>
      <c r="H951" s="2" t="str">
        <f>VLOOKUP("*"&amp;G951&amp;"*",'Ref-List'!$A:$C,3,0)</f>
        <v>Product Line</v>
      </c>
      <c r="J951" s="2"/>
      <c r="K951" s="2"/>
      <c r="L951" s="2">
        <f>sales[[#This Row],[quantity]]*sales[[#This Row],[price]]</f>
        <v>0</v>
      </c>
      <c r="M951" s="9">
        <f>sales[[#This Row],[Total Price]]*3%</f>
        <v>0</v>
      </c>
      <c r="N951" s="171">
        <f>sales[[#This Row],[Total Price]]*2.5%</f>
        <v>0</v>
      </c>
      <c r="O951" s="9">
        <f>sales[[#This Row],[Total Price]]*1.5%</f>
        <v>0</v>
      </c>
      <c r="R951" s="5" t="str">
        <f>_xlfn.CONCAT(sales[[#This Row],[Shop]]," ",sales[[#This Row],[Location]])</f>
        <v xml:space="preserve"> </v>
      </c>
    </row>
    <row r="952" spans="1:18" ht="15.6" customHeight="1">
      <c r="A952" s="7">
        <v>950</v>
      </c>
      <c r="D952" s="2" t="e">
        <f ca="1">OFFSET(Roster!$B$7, MATCH(B952&amp;" "&amp;C952&amp;"*",Roster!$B$8:$B$20,0),DAY(sales[[#This Row],[date]]),1, 1)</f>
        <v>#N/A</v>
      </c>
      <c r="E952" s="2">
        <f>MONTH(sales[[#This Row],[date]])</f>
        <v>1</v>
      </c>
      <c r="F952" s="235"/>
      <c r="G952" s="3" t="str">
        <f>VLOOKUP("*"&amp;sales[[#This Row],[Input]]&amp;"*",'Ref-List'!$A:$C,1,0)</f>
        <v>Model-Input-Ref</v>
      </c>
      <c r="H952" s="2" t="str">
        <f>VLOOKUP("*"&amp;G952&amp;"*",'Ref-List'!$A:$C,3,0)</f>
        <v>Product Line</v>
      </c>
      <c r="J952" s="2"/>
      <c r="K952" s="2"/>
      <c r="L952" s="2">
        <f>sales[[#This Row],[quantity]]*sales[[#This Row],[price]]</f>
        <v>0</v>
      </c>
      <c r="M952" s="9">
        <f>sales[[#This Row],[Total Price]]*3%</f>
        <v>0</v>
      </c>
      <c r="N952" s="171">
        <f>sales[[#This Row],[Total Price]]*2.5%</f>
        <v>0</v>
      </c>
      <c r="O952" s="9">
        <f>sales[[#This Row],[Total Price]]*1.5%</f>
        <v>0</v>
      </c>
      <c r="R952" s="5" t="str">
        <f>_xlfn.CONCAT(sales[[#This Row],[Shop]]," ",sales[[#This Row],[Location]])</f>
        <v xml:space="preserve"> </v>
      </c>
    </row>
    <row r="953" spans="1:18" ht="15.6" customHeight="1">
      <c r="A953" s="7">
        <v>951</v>
      </c>
      <c r="D953" s="2" t="e">
        <f ca="1">OFFSET(Roster!$B$7, MATCH(B953&amp;" "&amp;C953&amp;"*",Roster!$B$8:$B$20,0),DAY(sales[[#This Row],[date]]),1, 1)</f>
        <v>#N/A</v>
      </c>
      <c r="E953" s="2">
        <f>MONTH(sales[[#This Row],[date]])</f>
        <v>1</v>
      </c>
      <c r="F953" s="235"/>
      <c r="G953" s="3" t="str">
        <f>VLOOKUP("*"&amp;sales[[#This Row],[Input]]&amp;"*",'Ref-List'!$A:$C,1,0)</f>
        <v>Model-Input-Ref</v>
      </c>
      <c r="H953" s="2" t="str">
        <f>VLOOKUP("*"&amp;G953&amp;"*",'Ref-List'!$A:$C,3,0)</f>
        <v>Product Line</v>
      </c>
      <c r="J953" s="2"/>
      <c r="K953" s="2"/>
      <c r="L953" s="2">
        <f>sales[[#This Row],[quantity]]*sales[[#This Row],[price]]</f>
        <v>0</v>
      </c>
      <c r="M953" s="9">
        <f>sales[[#This Row],[Total Price]]*3%</f>
        <v>0</v>
      </c>
      <c r="N953" s="171">
        <f>sales[[#This Row],[Total Price]]*2.5%</f>
        <v>0</v>
      </c>
      <c r="O953" s="9">
        <f>sales[[#This Row],[Total Price]]*1.5%</f>
        <v>0</v>
      </c>
      <c r="R953" s="5" t="str">
        <f>_xlfn.CONCAT(sales[[#This Row],[Shop]]," ",sales[[#This Row],[Location]])</f>
        <v xml:space="preserve"> </v>
      </c>
    </row>
    <row r="954" spans="1:18" ht="15.6" customHeight="1">
      <c r="A954" s="7">
        <v>952</v>
      </c>
      <c r="D954" s="2" t="e">
        <f ca="1">OFFSET(Roster!$B$7, MATCH(B954&amp;" "&amp;C954&amp;"*",Roster!$B$8:$B$20,0),DAY(sales[[#This Row],[date]]),1, 1)</f>
        <v>#N/A</v>
      </c>
      <c r="E954" s="2">
        <f>MONTH(sales[[#This Row],[date]])</f>
        <v>1</v>
      </c>
      <c r="F954" s="235"/>
      <c r="G954" s="3" t="str">
        <f>VLOOKUP("*"&amp;sales[[#This Row],[Input]]&amp;"*",'Ref-List'!$A:$C,1,0)</f>
        <v>Model-Input-Ref</v>
      </c>
      <c r="H954" s="2" t="str">
        <f>VLOOKUP("*"&amp;G954&amp;"*",'Ref-List'!$A:$C,3,0)</f>
        <v>Product Line</v>
      </c>
      <c r="J954" s="2"/>
      <c r="K954" s="2"/>
      <c r="L954" s="2">
        <f>sales[[#This Row],[quantity]]*sales[[#This Row],[price]]</f>
        <v>0</v>
      </c>
      <c r="M954" s="9">
        <f>sales[[#This Row],[Total Price]]*3%</f>
        <v>0</v>
      </c>
      <c r="N954" s="171">
        <f>sales[[#This Row],[Total Price]]*2.5%</f>
        <v>0</v>
      </c>
      <c r="O954" s="9">
        <f>sales[[#This Row],[Total Price]]*1.5%</f>
        <v>0</v>
      </c>
      <c r="R954" s="5" t="str">
        <f>_xlfn.CONCAT(sales[[#This Row],[Shop]]," ",sales[[#This Row],[Location]])</f>
        <v xml:space="preserve"> </v>
      </c>
    </row>
    <row r="955" spans="1:18" ht="15.6" customHeight="1">
      <c r="A955" s="7">
        <v>953</v>
      </c>
      <c r="D955" s="2" t="e">
        <f ca="1">OFFSET(Roster!$B$7, MATCH(B955&amp;" "&amp;C955&amp;"*",Roster!$B$8:$B$20,0),DAY(sales[[#This Row],[date]]),1, 1)</f>
        <v>#N/A</v>
      </c>
      <c r="E955" s="2">
        <f>MONTH(sales[[#This Row],[date]])</f>
        <v>1</v>
      </c>
      <c r="F955" s="235"/>
      <c r="G955" s="3" t="str">
        <f>VLOOKUP("*"&amp;sales[[#This Row],[Input]]&amp;"*",'Ref-List'!$A:$C,1,0)</f>
        <v>Model-Input-Ref</v>
      </c>
      <c r="H955" s="2" t="str">
        <f>VLOOKUP("*"&amp;G955&amp;"*",'Ref-List'!$A:$C,3,0)</f>
        <v>Product Line</v>
      </c>
      <c r="J955" s="2"/>
      <c r="K955" s="2"/>
      <c r="L955" s="2">
        <f>sales[[#This Row],[quantity]]*sales[[#This Row],[price]]</f>
        <v>0</v>
      </c>
      <c r="M955" s="9">
        <f>sales[[#This Row],[Total Price]]*3%</f>
        <v>0</v>
      </c>
      <c r="N955" s="171">
        <f>sales[[#This Row],[Total Price]]*2.5%</f>
        <v>0</v>
      </c>
      <c r="O955" s="9">
        <f>sales[[#This Row],[Total Price]]*1.5%</f>
        <v>0</v>
      </c>
      <c r="R955" s="5" t="str">
        <f>_xlfn.CONCAT(sales[[#This Row],[Shop]]," ",sales[[#This Row],[Location]])</f>
        <v xml:space="preserve"> </v>
      </c>
    </row>
    <row r="956" spans="1:18" ht="15.6" customHeight="1">
      <c r="A956" s="7">
        <v>954</v>
      </c>
      <c r="D956" s="2" t="e">
        <f ca="1">OFFSET(Roster!$B$7, MATCH(B956&amp;" "&amp;C956&amp;"*",Roster!$B$8:$B$20,0),DAY(sales[[#This Row],[date]]),1, 1)</f>
        <v>#N/A</v>
      </c>
      <c r="E956" s="2">
        <f>MONTH(sales[[#This Row],[date]])</f>
        <v>1</v>
      </c>
      <c r="F956" s="235"/>
      <c r="G956" s="3" t="str">
        <f>VLOOKUP("*"&amp;sales[[#This Row],[Input]]&amp;"*",'Ref-List'!$A:$C,1,0)</f>
        <v>Model-Input-Ref</v>
      </c>
      <c r="H956" s="2" t="str">
        <f>VLOOKUP("*"&amp;G956&amp;"*",'Ref-List'!$A:$C,3,0)</f>
        <v>Product Line</v>
      </c>
      <c r="J956" s="2"/>
      <c r="K956" s="2"/>
      <c r="L956" s="2">
        <f>sales[[#This Row],[quantity]]*sales[[#This Row],[price]]</f>
        <v>0</v>
      </c>
      <c r="M956" s="9">
        <f>sales[[#This Row],[Total Price]]*3%</f>
        <v>0</v>
      </c>
      <c r="N956" s="171">
        <f>sales[[#This Row],[Total Price]]*2.5%</f>
        <v>0</v>
      </c>
      <c r="O956" s="9">
        <f>sales[[#This Row],[Total Price]]*1.5%</f>
        <v>0</v>
      </c>
      <c r="R956" s="5" t="str">
        <f>_xlfn.CONCAT(sales[[#This Row],[Shop]]," ",sales[[#This Row],[Location]])</f>
        <v xml:space="preserve"> </v>
      </c>
    </row>
    <row r="957" spans="1:18" ht="15.6" customHeight="1">
      <c r="A957" s="7">
        <v>955</v>
      </c>
      <c r="D957" s="2" t="e">
        <f ca="1">OFFSET(Roster!$B$7, MATCH(B957&amp;" "&amp;C957&amp;"*",Roster!$B$8:$B$20,0),DAY(sales[[#This Row],[date]]),1, 1)</f>
        <v>#N/A</v>
      </c>
      <c r="E957" s="2">
        <f>MONTH(sales[[#This Row],[date]])</f>
        <v>1</v>
      </c>
      <c r="F957" s="235"/>
      <c r="G957" s="3" t="str">
        <f>VLOOKUP("*"&amp;sales[[#This Row],[Input]]&amp;"*",'Ref-List'!$A:$C,1,0)</f>
        <v>Model-Input-Ref</v>
      </c>
      <c r="H957" s="2" t="str">
        <f>VLOOKUP("*"&amp;G957&amp;"*",'Ref-List'!$A:$C,3,0)</f>
        <v>Product Line</v>
      </c>
      <c r="J957" s="2"/>
      <c r="K957" s="2"/>
      <c r="L957" s="2">
        <f>sales[[#This Row],[quantity]]*sales[[#This Row],[price]]</f>
        <v>0</v>
      </c>
      <c r="M957" s="9">
        <f>sales[[#This Row],[Total Price]]*3%</f>
        <v>0</v>
      </c>
      <c r="N957" s="171">
        <f>sales[[#This Row],[Total Price]]*2.5%</f>
        <v>0</v>
      </c>
      <c r="O957" s="9">
        <f>sales[[#This Row],[Total Price]]*1.5%</f>
        <v>0</v>
      </c>
      <c r="R957" s="5" t="str">
        <f>_xlfn.CONCAT(sales[[#This Row],[Shop]]," ",sales[[#This Row],[Location]])</f>
        <v xml:space="preserve"> </v>
      </c>
    </row>
    <row r="958" spans="1:18" ht="15.6" customHeight="1">
      <c r="A958" s="7">
        <v>956</v>
      </c>
      <c r="D958" s="2" t="e">
        <f ca="1">OFFSET(Roster!$B$7, MATCH(B958&amp;" "&amp;C958&amp;"*",Roster!$B$8:$B$20,0),DAY(sales[[#This Row],[date]]),1, 1)</f>
        <v>#N/A</v>
      </c>
      <c r="E958" s="2">
        <f>MONTH(sales[[#This Row],[date]])</f>
        <v>1</v>
      </c>
      <c r="F958" s="235"/>
      <c r="G958" s="3" t="str">
        <f>VLOOKUP("*"&amp;sales[[#This Row],[Input]]&amp;"*",'Ref-List'!$A:$C,1,0)</f>
        <v>Model-Input-Ref</v>
      </c>
      <c r="H958" s="2" t="str">
        <f>VLOOKUP("*"&amp;G958&amp;"*",'Ref-List'!$A:$C,3,0)</f>
        <v>Product Line</v>
      </c>
      <c r="J958" s="2"/>
      <c r="K958" s="2"/>
      <c r="L958" s="2">
        <f>sales[[#This Row],[quantity]]*sales[[#This Row],[price]]</f>
        <v>0</v>
      </c>
      <c r="M958" s="9">
        <f>sales[[#This Row],[Total Price]]*3%</f>
        <v>0</v>
      </c>
      <c r="N958" s="171">
        <f>sales[[#This Row],[Total Price]]*2.5%</f>
        <v>0</v>
      </c>
      <c r="O958" s="9">
        <f>sales[[#This Row],[Total Price]]*1.5%</f>
        <v>0</v>
      </c>
      <c r="R958" s="5" t="str">
        <f>_xlfn.CONCAT(sales[[#This Row],[Shop]]," ",sales[[#This Row],[Location]])</f>
        <v xml:space="preserve"> </v>
      </c>
    </row>
    <row r="959" spans="1:18" ht="15.6" customHeight="1">
      <c r="A959" s="7">
        <v>957</v>
      </c>
      <c r="D959" s="2" t="e">
        <f ca="1">OFFSET(Roster!$B$7, MATCH(B959&amp;" "&amp;C959&amp;"*",Roster!$B$8:$B$20,0),DAY(sales[[#This Row],[date]]),1, 1)</f>
        <v>#N/A</v>
      </c>
      <c r="E959" s="2">
        <f>MONTH(sales[[#This Row],[date]])</f>
        <v>1</v>
      </c>
      <c r="F959" s="235"/>
      <c r="G959" s="3" t="str">
        <f>VLOOKUP("*"&amp;sales[[#This Row],[Input]]&amp;"*",'Ref-List'!$A:$C,1,0)</f>
        <v>Model-Input-Ref</v>
      </c>
      <c r="H959" s="2" t="str">
        <f>VLOOKUP("*"&amp;G959&amp;"*",'Ref-List'!$A:$C,3,0)</f>
        <v>Product Line</v>
      </c>
      <c r="J959" s="2"/>
      <c r="K959" s="2"/>
      <c r="L959" s="2">
        <f>sales[[#This Row],[quantity]]*sales[[#This Row],[price]]</f>
        <v>0</v>
      </c>
      <c r="M959" s="9">
        <f>sales[[#This Row],[Total Price]]*3%</f>
        <v>0</v>
      </c>
      <c r="N959" s="171">
        <f>sales[[#This Row],[Total Price]]*2.5%</f>
        <v>0</v>
      </c>
      <c r="O959" s="9">
        <f>sales[[#This Row],[Total Price]]*1.5%</f>
        <v>0</v>
      </c>
      <c r="R959" s="5" t="str">
        <f>_xlfn.CONCAT(sales[[#This Row],[Shop]]," ",sales[[#This Row],[Location]])</f>
        <v xml:space="preserve"> </v>
      </c>
    </row>
    <row r="960" spans="1:18" ht="15.6" customHeight="1">
      <c r="A960" s="7">
        <v>958</v>
      </c>
      <c r="D960" s="2" t="e">
        <f ca="1">OFFSET(Roster!$B$7, MATCH(B960&amp;" "&amp;C960&amp;"*",Roster!$B$8:$B$20,0),DAY(sales[[#This Row],[date]]),1, 1)</f>
        <v>#N/A</v>
      </c>
      <c r="E960" s="2">
        <f>MONTH(sales[[#This Row],[date]])</f>
        <v>1</v>
      </c>
      <c r="F960" s="235"/>
      <c r="G960" s="3" t="str">
        <f>VLOOKUP("*"&amp;sales[[#This Row],[Input]]&amp;"*",'Ref-List'!$A:$C,1,0)</f>
        <v>Model-Input-Ref</v>
      </c>
      <c r="H960" s="2" t="str">
        <f>VLOOKUP("*"&amp;G960&amp;"*",'Ref-List'!$A:$C,3,0)</f>
        <v>Product Line</v>
      </c>
      <c r="J960" s="2"/>
      <c r="K960" s="2"/>
      <c r="L960" s="2">
        <f>sales[[#This Row],[quantity]]*sales[[#This Row],[price]]</f>
        <v>0</v>
      </c>
      <c r="M960" s="9">
        <f>sales[[#This Row],[Total Price]]*3%</f>
        <v>0</v>
      </c>
      <c r="N960" s="171">
        <f>sales[[#This Row],[Total Price]]*2.5%</f>
        <v>0</v>
      </c>
      <c r="O960" s="9">
        <f>sales[[#This Row],[Total Price]]*1.5%</f>
        <v>0</v>
      </c>
      <c r="R960" s="5" t="str">
        <f>_xlfn.CONCAT(sales[[#This Row],[Shop]]," ",sales[[#This Row],[Location]])</f>
        <v xml:space="preserve"> </v>
      </c>
    </row>
    <row r="961" spans="1:18" ht="15.6" customHeight="1">
      <c r="A961" s="7">
        <v>959</v>
      </c>
      <c r="D961" s="2" t="e">
        <f ca="1">OFFSET(Roster!$B$7, MATCH(B961&amp;" "&amp;C961&amp;"*",Roster!$B$8:$B$20,0),DAY(sales[[#This Row],[date]]),1, 1)</f>
        <v>#N/A</v>
      </c>
      <c r="E961" s="2">
        <f>MONTH(sales[[#This Row],[date]])</f>
        <v>1</v>
      </c>
      <c r="F961" s="235"/>
      <c r="G961" s="3" t="str">
        <f>VLOOKUP("*"&amp;sales[[#This Row],[Input]]&amp;"*",'Ref-List'!$A:$C,1,0)</f>
        <v>Model-Input-Ref</v>
      </c>
      <c r="H961" s="2" t="str">
        <f>VLOOKUP("*"&amp;G961&amp;"*",'Ref-List'!$A:$C,3,0)</f>
        <v>Product Line</v>
      </c>
      <c r="J961" s="2"/>
      <c r="K961" s="2"/>
      <c r="L961" s="2">
        <f>sales[[#This Row],[quantity]]*sales[[#This Row],[price]]</f>
        <v>0</v>
      </c>
      <c r="M961" s="9">
        <f>sales[[#This Row],[Total Price]]*3%</f>
        <v>0</v>
      </c>
      <c r="N961" s="171">
        <f>sales[[#This Row],[Total Price]]*2.5%</f>
        <v>0</v>
      </c>
      <c r="O961" s="9">
        <f>sales[[#This Row],[Total Price]]*1.5%</f>
        <v>0</v>
      </c>
      <c r="R961" s="5" t="str">
        <f>_xlfn.CONCAT(sales[[#This Row],[Shop]]," ",sales[[#This Row],[Location]])</f>
        <v xml:space="preserve"> </v>
      </c>
    </row>
    <row r="962" spans="1:18" ht="15.6" customHeight="1">
      <c r="A962" s="7">
        <v>960</v>
      </c>
      <c r="D962" s="2" t="e">
        <f ca="1">OFFSET(Roster!$B$7, MATCH(B962&amp;" "&amp;C962&amp;"*",Roster!$B$8:$B$20,0),DAY(sales[[#This Row],[date]]),1, 1)</f>
        <v>#N/A</v>
      </c>
      <c r="E962" s="2">
        <f>MONTH(sales[[#This Row],[date]])</f>
        <v>1</v>
      </c>
      <c r="F962" s="235"/>
      <c r="G962" s="3" t="str">
        <f>VLOOKUP("*"&amp;sales[[#This Row],[Input]]&amp;"*",'Ref-List'!$A:$C,1,0)</f>
        <v>Model-Input-Ref</v>
      </c>
      <c r="H962" s="2" t="str">
        <f>VLOOKUP("*"&amp;G962&amp;"*",'Ref-List'!$A:$C,3,0)</f>
        <v>Product Line</v>
      </c>
      <c r="J962" s="2"/>
      <c r="K962" s="2"/>
      <c r="L962" s="2">
        <f>sales[[#This Row],[quantity]]*sales[[#This Row],[price]]</f>
        <v>0</v>
      </c>
      <c r="M962" s="9">
        <f>sales[[#This Row],[Total Price]]*3%</f>
        <v>0</v>
      </c>
      <c r="N962" s="171">
        <f>sales[[#This Row],[Total Price]]*2.5%</f>
        <v>0</v>
      </c>
      <c r="O962" s="9">
        <f>sales[[#This Row],[Total Price]]*1.5%</f>
        <v>0</v>
      </c>
      <c r="R962" s="5" t="str">
        <f>_xlfn.CONCAT(sales[[#This Row],[Shop]]," ",sales[[#This Row],[Location]])</f>
        <v xml:space="preserve"> </v>
      </c>
    </row>
    <row r="963" spans="1:18" ht="15.6" customHeight="1">
      <c r="A963" s="7">
        <v>961</v>
      </c>
      <c r="D963" s="2" t="e">
        <f ca="1">OFFSET(Roster!$B$7, MATCH(B963&amp;" "&amp;C963&amp;"*",Roster!$B$8:$B$20,0),DAY(sales[[#This Row],[date]]),1, 1)</f>
        <v>#N/A</v>
      </c>
      <c r="E963" s="2">
        <f>MONTH(sales[[#This Row],[date]])</f>
        <v>1</v>
      </c>
      <c r="F963" s="235"/>
      <c r="G963" s="3" t="str">
        <f>VLOOKUP("*"&amp;sales[[#This Row],[Input]]&amp;"*",'Ref-List'!$A:$C,1,0)</f>
        <v>Model-Input-Ref</v>
      </c>
      <c r="H963" s="2" t="str">
        <f>VLOOKUP("*"&amp;G963&amp;"*",'Ref-List'!$A:$C,3,0)</f>
        <v>Product Line</v>
      </c>
      <c r="J963" s="2"/>
      <c r="K963" s="2"/>
      <c r="L963" s="2">
        <f>sales[[#This Row],[quantity]]*sales[[#This Row],[price]]</f>
        <v>0</v>
      </c>
      <c r="M963" s="9">
        <f>sales[[#This Row],[Total Price]]*3%</f>
        <v>0</v>
      </c>
      <c r="N963" s="171">
        <f>sales[[#This Row],[Total Price]]*2.5%</f>
        <v>0</v>
      </c>
      <c r="O963" s="9">
        <f>sales[[#This Row],[Total Price]]*1.5%</f>
        <v>0</v>
      </c>
      <c r="R963" s="5" t="str">
        <f>_xlfn.CONCAT(sales[[#This Row],[Shop]]," ",sales[[#This Row],[Location]])</f>
        <v xml:space="preserve"> </v>
      </c>
    </row>
    <row r="964" spans="1:18" ht="15.6" customHeight="1">
      <c r="A964" s="7">
        <v>962</v>
      </c>
      <c r="D964" s="2" t="e">
        <f ca="1">OFFSET(Roster!$B$7, MATCH(B964&amp;" "&amp;C964&amp;"*",Roster!$B$8:$B$20,0),DAY(sales[[#This Row],[date]]),1, 1)</f>
        <v>#N/A</v>
      </c>
      <c r="E964" s="2">
        <f>MONTH(sales[[#This Row],[date]])</f>
        <v>1</v>
      </c>
      <c r="F964" s="235"/>
      <c r="G964" s="3" t="str">
        <f>VLOOKUP("*"&amp;sales[[#This Row],[Input]]&amp;"*",'Ref-List'!$A:$C,1,0)</f>
        <v>Model-Input-Ref</v>
      </c>
      <c r="H964" s="2" t="str">
        <f>VLOOKUP("*"&amp;G964&amp;"*",'Ref-List'!$A:$C,3,0)</f>
        <v>Product Line</v>
      </c>
      <c r="J964" s="2"/>
      <c r="K964" s="2"/>
      <c r="L964" s="2">
        <f>sales[[#This Row],[quantity]]*sales[[#This Row],[price]]</f>
        <v>0</v>
      </c>
      <c r="M964" s="9">
        <f>sales[[#This Row],[Total Price]]*3%</f>
        <v>0</v>
      </c>
      <c r="N964" s="171">
        <f>sales[[#This Row],[Total Price]]*2.5%</f>
        <v>0</v>
      </c>
      <c r="O964" s="9">
        <f>sales[[#This Row],[Total Price]]*1.5%</f>
        <v>0</v>
      </c>
      <c r="R964" s="5" t="str">
        <f>_xlfn.CONCAT(sales[[#This Row],[Shop]]," ",sales[[#This Row],[Location]])</f>
        <v xml:space="preserve"> </v>
      </c>
    </row>
    <row r="965" spans="1:18" ht="15.6" customHeight="1">
      <c r="A965" s="7">
        <v>963</v>
      </c>
      <c r="D965" s="2" t="e">
        <f ca="1">OFFSET(Roster!$B$7, MATCH(B965&amp;" "&amp;C965&amp;"*",Roster!$B$8:$B$20,0),DAY(sales[[#This Row],[date]]),1, 1)</f>
        <v>#N/A</v>
      </c>
      <c r="E965" s="2">
        <f>MONTH(sales[[#This Row],[date]])</f>
        <v>1</v>
      </c>
      <c r="F965" s="235"/>
      <c r="G965" s="3" t="str">
        <f>VLOOKUP("*"&amp;sales[[#This Row],[Input]]&amp;"*",'Ref-List'!$A:$C,1,0)</f>
        <v>Model-Input-Ref</v>
      </c>
      <c r="H965" s="2" t="str">
        <f>VLOOKUP("*"&amp;G965&amp;"*",'Ref-List'!$A:$C,3,0)</f>
        <v>Product Line</v>
      </c>
      <c r="J965" s="2"/>
      <c r="K965" s="2"/>
      <c r="L965" s="2">
        <f>sales[[#This Row],[quantity]]*sales[[#This Row],[price]]</f>
        <v>0</v>
      </c>
      <c r="M965" s="9">
        <f>sales[[#This Row],[Total Price]]*3%</f>
        <v>0</v>
      </c>
      <c r="N965" s="171">
        <f>sales[[#This Row],[Total Price]]*2.5%</f>
        <v>0</v>
      </c>
      <c r="O965" s="9">
        <f>sales[[#This Row],[Total Price]]*1.5%</f>
        <v>0</v>
      </c>
      <c r="R965" s="5" t="str">
        <f>_xlfn.CONCAT(sales[[#This Row],[Shop]]," ",sales[[#This Row],[Location]])</f>
        <v xml:space="preserve"> </v>
      </c>
    </row>
    <row r="966" spans="1:18" ht="15.6" customHeight="1">
      <c r="A966" s="7">
        <v>964</v>
      </c>
      <c r="D966" s="2" t="e">
        <f ca="1">OFFSET(Roster!$B$7, MATCH(B966&amp;" "&amp;C966&amp;"*",Roster!$B$8:$B$20,0),DAY(sales[[#This Row],[date]]),1, 1)</f>
        <v>#N/A</v>
      </c>
      <c r="E966" s="2">
        <f>MONTH(sales[[#This Row],[date]])</f>
        <v>1</v>
      </c>
      <c r="F966" s="235"/>
      <c r="G966" s="3" t="str">
        <f>VLOOKUP("*"&amp;sales[[#This Row],[Input]]&amp;"*",'Ref-List'!$A:$C,1,0)</f>
        <v>Model-Input-Ref</v>
      </c>
      <c r="H966" s="2" t="str">
        <f>VLOOKUP("*"&amp;G966&amp;"*",'Ref-List'!$A:$C,3,0)</f>
        <v>Product Line</v>
      </c>
      <c r="J966" s="2"/>
      <c r="K966" s="2"/>
      <c r="L966" s="2">
        <f>sales[[#This Row],[quantity]]*sales[[#This Row],[price]]</f>
        <v>0</v>
      </c>
      <c r="M966" s="9">
        <f>sales[[#This Row],[Total Price]]*3%</f>
        <v>0</v>
      </c>
      <c r="N966" s="171">
        <f>sales[[#This Row],[Total Price]]*2.5%</f>
        <v>0</v>
      </c>
      <c r="O966" s="9">
        <f>sales[[#This Row],[Total Price]]*1.5%</f>
        <v>0</v>
      </c>
      <c r="R966" s="5" t="str">
        <f>_xlfn.CONCAT(sales[[#This Row],[Shop]]," ",sales[[#This Row],[Location]])</f>
        <v xml:space="preserve"> </v>
      </c>
    </row>
    <row r="967" spans="1:18" ht="15.6" customHeight="1">
      <c r="A967" s="7">
        <v>965</v>
      </c>
      <c r="D967" s="2" t="e">
        <f ca="1">OFFSET(Roster!$B$7, MATCH(B967&amp;" "&amp;C967&amp;"*",Roster!$B$8:$B$20,0),DAY(sales[[#This Row],[date]]),1, 1)</f>
        <v>#N/A</v>
      </c>
      <c r="E967" s="2">
        <f>MONTH(sales[[#This Row],[date]])</f>
        <v>1</v>
      </c>
      <c r="F967" s="235"/>
      <c r="G967" s="3" t="str">
        <f>VLOOKUP("*"&amp;sales[[#This Row],[Input]]&amp;"*",'Ref-List'!$A:$C,1,0)</f>
        <v>Model-Input-Ref</v>
      </c>
      <c r="H967" s="2" t="str">
        <f>VLOOKUP("*"&amp;G967&amp;"*",'Ref-List'!$A:$C,3,0)</f>
        <v>Product Line</v>
      </c>
      <c r="J967" s="2"/>
      <c r="K967" s="2"/>
      <c r="L967" s="2">
        <f>sales[[#This Row],[quantity]]*sales[[#This Row],[price]]</f>
        <v>0</v>
      </c>
      <c r="M967" s="9">
        <f>sales[[#This Row],[Total Price]]*3%</f>
        <v>0</v>
      </c>
      <c r="N967" s="171">
        <f>sales[[#This Row],[Total Price]]*2.5%</f>
        <v>0</v>
      </c>
      <c r="O967" s="9">
        <f>sales[[#This Row],[Total Price]]*1.5%</f>
        <v>0</v>
      </c>
      <c r="R967" s="5" t="str">
        <f>_xlfn.CONCAT(sales[[#This Row],[Shop]]," ",sales[[#This Row],[Location]])</f>
        <v xml:space="preserve"> </v>
      </c>
    </row>
    <row r="968" spans="1:18" ht="15.6" customHeight="1">
      <c r="A968" s="7">
        <v>966</v>
      </c>
      <c r="D968" s="2" t="e">
        <f ca="1">OFFSET(Roster!$B$7, MATCH(B968&amp;" "&amp;C968&amp;"*",Roster!$B$8:$B$20,0),DAY(sales[[#This Row],[date]]),1, 1)</f>
        <v>#N/A</v>
      </c>
      <c r="E968" s="2">
        <f>MONTH(sales[[#This Row],[date]])</f>
        <v>1</v>
      </c>
      <c r="F968" s="235"/>
      <c r="G968" s="3" t="str">
        <f>VLOOKUP("*"&amp;sales[[#This Row],[Input]]&amp;"*",'Ref-List'!$A:$C,1,0)</f>
        <v>Model-Input-Ref</v>
      </c>
      <c r="H968" s="2" t="str">
        <f>VLOOKUP("*"&amp;G968&amp;"*",'Ref-List'!$A:$C,3,0)</f>
        <v>Product Line</v>
      </c>
      <c r="J968" s="2"/>
      <c r="K968" s="2"/>
      <c r="L968" s="2">
        <f>sales[[#This Row],[quantity]]*sales[[#This Row],[price]]</f>
        <v>0</v>
      </c>
      <c r="M968" s="9">
        <f>sales[[#This Row],[Total Price]]*3%</f>
        <v>0</v>
      </c>
      <c r="N968" s="171">
        <f>sales[[#This Row],[Total Price]]*2.5%</f>
        <v>0</v>
      </c>
      <c r="O968" s="9">
        <f>sales[[#This Row],[Total Price]]*1.5%</f>
        <v>0</v>
      </c>
      <c r="R968" s="5" t="str">
        <f>_xlfn.CONCAT(sales[[#This Row],[Shop]]," ",sales[[#This Row],[Location]])</f>
        <v xml:space="preserve"> </v>
      </c>
    </row>
    <row r="969" spans="1:18" ht="15.6" customHeight="1">
      <c r="A969" s="7">
        <v>967</v>
      </c>
      <c r="D969" s="2" t="e">
        <f ca="1">OFFSET(Roster!$B$7, MATCH(B969&amp;" "&amp;C969&amp;"*",Roster!$B$8:$B$20,0),DAY(sales[[#This Row],[date]]),1, 1)</f>
        <v>#N/A</v>
      </c>
      <c r="E969" s="2">
        <f>MONTH(sales[[#This Row],[date]])</f>
        <v>1</v>
      </c>
      <c r="F969" s="235"/>
      <c r="G969" s="3" t="str">
        <f>VLOOKUP("*"&amp;sales[[#This Row],[Input]]&amp;"*",'Ref-List'!$A:$C,1,0)</f>
        <v>Model-Input-Ref</v>
      </c>
      <c r="H969" s="2" t="str">
        <f>VLOOKUP("*"&amp;G969&amp;"*",'Ref-List'!$A:$C,3,0)</f>
        <v>Product Line</v>
      </c>
      <c r="J969" s="2"/>
      <c r="K969" s="2"/>
      <c r="L969" s="2">
        <f>sales[[#This Row],[quantity]]*sales[[#This Row],[price]]</f>
        <v>0</v>
      </c>
      <c r="M969" s="9">
        <f>sales[[#This Row],[Total Price]]*3%</f>
        <v>0</v>
      </c>
      <c r="N969" s="171">
        <f>sales[[#This Row],[Total Price]]*2.5%</f>
        <v>0</v>
      </c>
      <c r="O969" s="9">
        <f>sales[[#This Row],[Total Price]]*1.5%</f>
        <v>0</v>
      </c>
      <c r="R969" s="5" t="str">
        <f>_xlfn.CONCAT(sales[[#This Row],[Shop]]," ",sales[[#This Row],[Location]])</f>
        <v xml:space="preserve"> </v>
      </c>
    </row>
    <row r="970" spans="1:18" ht="15.6" customHeight="1">
      <c r="A970" s="7">
        <v>968</v>
      </c>
      <c r="D970" s="2" t="e">
        <f ca="1">OFFSET(Roster!$B$7, MATCH(B970&amp;" "&amp;C970&amp;"*",Roster!$B$8:$B$20,0),DAY(sales[[#This Row],[date]]),1, 1)</f>
        <v>#N/A</v>
      </c>
      <c r="E970" s="2">
        <f>MONTH(sales[[#This Row],[date]])</f>
        <v>1</v>
      </c>
      <c r="F970" s="235"/>
      <c r="G970" s="3" t="str">
        <f>VLOOKUP("*"&amp;sales[[#This Row],[Input]]&amp;"*",'Ref-List'!$A:$C,1,0)</f>
        <v>Model-Input-Ref</v>
      </c>
      <c r="H970" s="2" t="str">
        <f>VLOOKUP("*"&amp;G970&amp;"*",'Ref-List'!$A:$C,3,0)</f>
        <v>Product Line</v>
      </c>
      <c r="J970" s="2"/>
      <c r="K970" s="2"/>
      <c r="L970" s="2">
        <f>sales[[#This Row],[quantity]]*sales[[#This Row],[price]]</f>
        <v>0</v>
      </c>
      <c r="M970" s="9">
        <f>sales[[#This Row],[Total Price]]*3%</f>
        <v>0</v>
      </c>
      <c r="N970" s="171">
        <f>sales[[#This Row],[Total Price]]*2.5%</f>
        <v>0</v>
      </c>
      <c r="O970" s="9">
        <f>sales[[#This Row],[Total Price]]*1.5%</f>
        <v>0</v>
      </c>
      <c r="R970" s="5" t="str">
        <f>_xlfn.CONCAT(sales[[#This Row],[Shop]]," ",sales[[#This Row],[Location]])</f>
        <v xml:space="preserve"> </v>
      </c>
    </row>
    <row r="971" spans="1:18" ht="15.6" customHeight="1">
      <c r="A971" s="7">
        <v>969</v>
      </c>
      <c r="D971" s="2" t="e">
        <f ca="1">OFFSET(Roster!$B$7, MATCH(B971&amp;" "&amp;C971&amp;"*",Roster!$B$8:$B$20,0),DAY(sales[[#This Row],[date]]),1, 1)</f>
        <v>#N/A</v>
      </c>
      <c r="E971" s="2">
        <f>MONTH(sales[[#This Row],[date]])</f>
        <v>1</v>
      </c>
      <c r="F971" s="235"/>
      <c r="G971" s="3" t="str">
        <f>VLOOKUP("*"&amp;sales[[#This Row],[Input]]&amp;"*",'Ref-List'!$A:$C,1,0)</f>
        <v>Model-Input-Ref</v>
      </c>
      <c r="H971" s="2" t="str">
        <f>VLOOKUP("*"&amp;G971&amp;"*",'Ref-List'!$A:$C,3,0)</f>
        <v>Product Line</v>
      </c>
      <c r="J971" s="2"/>
      <c r="K971" s="2"/>
      <c r="L971" s="2">
        <f>sales[[#This Row],[quantity]]*sales[[#This Row],[price]]</f>
        <v>0</v>
      </c>
      <c r="M971" s="9">
        <f>sales[[#This Row],[Total Price]]*3%</f>
        <v>0</v>
      </c>
      <c r="N971" s="171">
        <f>sales[[#This Row],[Total Price]]*2.5%</f>
        <v>0</v>
      </c>
      <c r="O971" s="9">
        <f>sales[[#This Row],[Total Price]]*1.5%</f>
        <v>0</v>
      </c>
      <c r="R971" s="5" t="str">
        <f>_xlfn.CONCAT(sales[[#This Row],[Shop]]," ",sales[[#This Row],[Location]])</f>
        <v xml:space="preserve"> </v>
      </c>
    </row>
    <row r="972" spans="1:18" ht="15.6" customHeight="1">
      <c r="A972" s="7">
        <v>970</v>
      </c>
      <c r="D972" s="2" t="e">
        <f ca="1">OFFSET(Roster!$B$7, MATCH(B972&amp;" "&amp;C972&amp;"*",Roster!$B$8:$B$20,0),DAY(sales[[#This Row],[date]]),1, 1)</f>
        <v>#N/A</v>
      </c>
      <c r="E972" s="2">
        <f>MONTH(sales[[#This Row],[date]])</f>
        <v>1</v>
      </c>
      <c r="F972" s="235"/>
      <c r="G972" s="3" t="str">
        <f>VLOOKUP("*"&amp;sales[[#This Row],[Input]]&amp;"*",'Ref-List'!$A:$C,1,0)</f>
        <v>Model-Input-Ref</v>
      </c>
      <c r="H972" s="2" t="str">
        <f>VLOOKUP("*"&amp;G972&amp;"*",'Ref-List'!$A:$C,3,0)</f>
        <v>Product Line</v>
      </c>
      <c r="J972" s="2"/>
      <c r="K972" s="2"/>
      <c r="L972" s="2">
        <f>sales[[#This Row],[quantity]]*sales[[#This Row],[price]]</f>
        <v>0</v>
      </c>
      <c r="M972" s="9">
        <f>sales[[#This Row],[Total Price]]*3%</f>
        <v>0</v>
      </c>
      <c r="N972" s="171">
        <f>sales[[#This Row],[Total Price]]*2.5%</f>
        <v>0</v>
      </c>
      <c r="O972" s="9">
        <f>sales[[#This Row],[Total Price]]*1.5%</f>
        <v>0</v>
      </c>
      <c r="R972" s="5" t="str">
        <f>_xlfn.CONCAT(sales[[#This Row],[Shop]]," ",sales[[#This Row],[Location]])</f>
        <v xml:space="preserve"> </v>
      </c>
    </row>
    <row r="973" spans="1:18" ht="15.6" customHeight="1">
      <c r="A973" s="7">
        <v>971</v>
      </c>
      <c r="D973" s="2" t="e">
        <f ca="1">OFFSET(Roster!$B$7, MATCH(B973&amp;" "&amp;C973&amp;"*",Roster!$B$8:$B$20,0),DAY(sales[[#This Row],[date]]),1, 1)</f>
        <v>#N/A</v>
      </c>
      <c r="E973" s="2">
        <f>MONTH(sales[[#This Row],[date]])</f>
        <v>1</v>
      </c>
      <c r="F973" s="235"/>
      <c r="G973" s="3" t="str">
        <f>VLOOKUP("*"&amp;sales[[#This Row],[Input]]&amp;"*",'Ref-List'!$A:$C,1,0)</f>
        <v>Model-Input-Ref</v>
      </c>
      <c r="H973" s="2" t="str">
        <f>VLOOKUP("*"&amp;G973&amp;"*",'Ref-List'!$A:$C,3,0)</f>
        <v>Product Line</v>
      </c>
      <c r="J973" s="2"/>
      <c r="K973" s="2"/>
      <c r="L973" s="2">
        <f>sales[[#This Row],[quantity]]*sales[[#This Row],[price]]</f>
        <v>0</v>
      </c>
      <c r="M973" s="9">
        <f>sales[[#This Row],[Total Price]]*3%</f>
        <v>0</v>
      </c>
      <c r="N973" s="171">
        <f>sales[[#This Row],[Total Price]]*2.5%</f>
        <v>0</v>
      </c>
      <c r="O973" s="9">
        <f>sales[[#This Row],[Total Price]]*1.5%</f>
        <v>0</v>
      </c>
      <c r="R973" s="5" t="str">
        <f>_xlfn.CONCAT(sales[[#This Row],[Shop]]," ",sales[[#This Row],[Location]])</f>
        <v xml:space="preserve"> </v>
      </c>
    </row>
    <row r="974" spans="1:18" ht="15.6" customHeight="1">
      <c r="A974" s="7">
        <v>972</v>
      </c>
      <c r="D974" s="2" t="e">
        <f ca="1">OFFSET(Roster!$B$7, MATCH(B974&amp;" "&amp;C974&amp;"*",Roster!$B$8:$B$20,0),DAY(sales[[#This Row],[date]]),1, 1)</f>
        <v>#N/A</v>
      </c>
      <c r="E974" s="2">
        <f>MONTH(sales[[#This Row],[date]])</f>
        <v>1</v>
      </c>
      <c r="F974" s="235"/>
      <c r="G974" s="3" t="str">
        <f>VLOOKUP("*"&amp;sales[[#This Row],[Input]]&amp;"*",'Ref-List'!$A:$C,1,0)</f>
        <v>Model-Input-Ref</v>
      </c>
      <c r="H974" s="2" t="str">
        <f>VLOOKUP("*"&amp;G974&amp;"*",'Ref-List'!$A:$C,3,0)</f>
        <v>Product Line</v>
      </c>
      <c r="J974" s="2"/>
      <c r="K974" s="2"/>
      <c r="L974" s="2">
        <f>sales[[#This Row],[quantity]]*sales[[#This Row],[price]]</f>
        <v>0</v>
      </c>
      <c r="M974" s="9">
        <f>sales[[#This Row],[Total Price]]*3%</f>
        <v>0</v>
      </c>
      <c r="N974" s="171">
        <f>sales[[#This Row],[Total Price]]*2.5%</f>
        <v>0</v>
      </c>
      <c r="O974" s="9">
        <f>sales[[#This Row],[Total Price]]*1.5%</f>
        <v>0</v>
      </c>
      <c r="R974" s="5" t="str">
        <f>_xlfn.CONCAT(sales[[#This Row],[Shop]]," ",sales[[#This Row],[Location]])</f>
        <v xml:space="preserve"> </v>
      </c>
    </row>
    <row r="975" spans="1:18" ht="15.6" customHeight="1">
      <c r="A975" s="7">
        <v>973</v>
      </c>
      <c r="D975" s="2" t="e">
        <f ca="1">OFFSET(Roster!$B$7, MATCH(B975&amp;" "&amp;C975&amp;"*",Roster!$B$8:$B$20,0),DAY(sales[[#This Row],[date]]),1, 1)</f>
        <v>#N/A</v>
      </c>
      <c r="E975" s="2">
        <f>MONTH(sales[[#This Row],[date]])</f>
        <v>1</v>
      </c>
      <c r="F975" s="235"/>
      <c r="G975" s="3" t="str">
        <f>VLOOKUP("*"&amp;sales[[#This Row],[Input]]&amp;"*",'Ref-List'!$A:$C,1,0)</f>
        <v>Model-Input-Ref</v>
      </c>
      <c r="H975" s="2" t="str">
        <f>VLOOKUP("*"&amp;G975&amp;"*",'Ref-List'!$A:$C,3,0)</f>
        <v>Product Line</v>
      </c>
      <c r="J975" s="2"/>
      <c r="K975" s="2"/>
      <c r="L975" s="2">
        <f>sales[[#This Row],[quantity]]*sales[[#This Row],[price]]</f>
        <v>0</v>
      </c>
      <c r="M975" s="9">
        <f>sales[[#This Row],[Total Price]]*3%</f>
        <v>0</v>
      </c>
      <c r="N975" s="171">
        <f>sales[[#This Row],[Total Price]]*2.5%</f>
        <v>0</v>
      </c>
      <c r="O975" s="9">
        <f>sales[[#This Row],[Total Price]]*1.5%</f>
        <v>0</v>
      </c>
      <c r="R975" s="5" t="str">
        <f>_xlfn.CONCAT(sales[[#This Row],[Shop]]," ",sales[[#This Row],[Location]])</f>
        <v xml:space="preserve"> </v>
      </c>
    </row>
    <row r="976" spans="1:18" ht="15.6" customHeight="1">
      <c r="A976" s="7">
        <v>974</v>
      </c>
      <c r="D976" s="2" t="e">
        <f ca="1">OFFSET(Roster!$B$7, MATCH(B976&amp;" "&amp;C976&amp;"*",Roster!$B$8:$B$20,0),DAY(sales[[#This Row],[date]]),1, 1)</f>
        <v>#N/A</v>
      </c>
      <c r="E976" s="2">
        <f>MONTH(sales[[#This Row],[date]])</f>
        <v>1</v>
      </c>
      <c r="F976" s="235"/>
      <c r="G976" s="3" t="str">
        <f>VLOOKUP("*"&amp;sales[[#This Row],[Input]]&amp;"*",'Ref-List'!$A:$C,1,0)</f>
        <v>Model-Input-Ref</v>
      </c>
      <c r="H976" s="2" t="str">
        <f>VLOOKUP("*"&amp;G976&amp;"*",'Ref-List'!$A:$C,3,0)</f>
        <v>Product Line</v>
      </c>
      <c r="J976" s="2"/>
      <c r="K976" s="2"/>
      <c r="L976" s="2">
        <f>sales[[#This Row],[quantity]]*sales[[#This Row],[price]]</f>
        <v>0</v>
      </c>
      <c r="M976" s="9">
        <f>sales[[#This Row],[Total Price]]*3%</f>
        <v>0</v>
      </c>
      <c r="N976" s="171">
        <f>sales[[#This Row],[Total Price]]*2.5%</f>
        <v>0</v>
      </c>
      <c r="O976" s="9">
        <f>sales[[#This Row],[Total Price]]*1.5%</f>
        <v>0</v>
      </c>
      <c r="R976" s="5" t="str">
        <f>_xlfn.CONCAT(sales[[#This Row],[Shop]]," ",sales[[#This Row],[Location]])</f>
        <v xml:space="preserve"> </v>
      </c>
    </row>
    <row r="977" spans="1:18" ht="15.6" customHeight="1">
      <c r="A977" s="7">
        <v>975</v>
      </c>
      <c r="D977" s="2" t="e">
        <f ca="1">OFFSET(Roster!$B$7, MATCH(B977&amp;" "&amp;C977&amp;"*",Roster!$B$8:$B$20,0),DAY(sales[[#This Row],[date]]),1, 1)</f>
        <v>#N/A</v>
      </c>
      <c r="E977" s="2">
        <f>MONTH(sales[[#This Row],[date]])</f>
        <v>1</v>
      </c>
      <c r="F977" s="235"/>
      <c r="G977" s="3" t="str">
        <f>VLOOKUP("*"&amp;sales[[#This Row],[Input]]&amp;"*",'Ref-List'!$A:$C,1,0)</f>
        <v>Model-Input-Ref</v>
      </c>
      <c r="H977" s="2" t="str">
        <f>VLOOKUP("*"&amp;G977&amp;"*",'Ref-List'!$A:$C,3,0)</f>
        <v>Product Line</v>
      </c>
      <c r="J977" s="2"/>
      <c r="K977" s="5"/>
      <c r="L977" s="2">
        <f>sales[[#This Row],[quantity]]*sales[[#This Row],[price]]</f>
        <v>0</v>
      </c>
      <c r="M977" s="9">
        <f>sales[[#This Row],[Total Price]]*3%</f>
        <v>0</v>
      </c>
      <c r="N977" s="171">
        <f>sales[[#This Row],[Total Price]]*2.5%</f>
        <v>0</v>
      </c>
      <c r="O977" s="9">
        <f>sales[[#This Row],[Total Price]]*1.5%</f>
        <v>0</v>
      </c>
      <c r="R977" s="5" t="str">
        <f>_xlfn.CONCAT(sales[[#This Row],[Shop]]," ",sales[[#This Row],[Location]])</f>
        <v xml:space="preserve"> </v>
      </c>
    </row>
    <row r="978" spans="1:18" ht="15.6" customHeight="1">
      <c r="A978" s="7">
        <v>976</v>
      </c>
      <c r="D978" s="2" t="e">
        <f ca="1">OFFSET(Roster!$B$7, MATCH(B978&amp;" "&amp;C978&amp;"*",Roster!$B$8:$B$20,0),DAY(sales[[#This Row],[date]]),1, 1)</f>
        <v>#N/A</v>
      </c>
      <c r="E978" s="2">
        <f>MONTH(sales[[#This Row],[date]])</f>
        <v>1</v>
      </c>
      <c r="F978" s="235"/>
      <c r="G978" s="3" t="str">
        <f>VLOOKUP("*"&amp;sales[[#This Row],[Input]]&amp;"*",'Ref-List'!$A:$C,1,0)</f>
        <v>Model-Input-Ref</v>
      </c>
      <c r="H978" s="2" t="str">
        <f>VLOOKUP("*"&amp;G978&amp;"*",'Ref-List'!$A:$C,3,0)</f>
        <v>Product Line</v>
      </c>
      <c r="J978" s="2"/>
      <c r="K978" s="2"/>
      <c r="L978" s="2">
        <f>sales[[#This Row],[quantity]]*sales[[#This Row],[price]]</f>
        <v>0</v>
      </c>
      <c r="M978" s="9">
        <f>sales[[#This Row],[Total Price]]*3%</f>
        <v>0</v>
      </c>
      <c r="N978" s="171">
        <f>sales[[#This Row],[Total Price]]*2.5%</f>
        <v>0</v>
      </c>
      <c r="O978" s="9">
        <f>sales[[#This Row],[Total Price]]*1.5%</f>
        <v>0</v>
      </c>
      <c r="R978" s="5" t="str">
        <f>_xlfn.CONCAT(sales[[#This Row],[Shop]]," ",sales[[#This Row],[Location]])</f>
        <v xml:space="preserve"> </v>
      </c>
    </row>
    <row r="979" spans="1:18" ht="15.6" customHeight="1">
      <c r="A979" s="7">
        <v>977</v>
      </c>
      <c r="D979" s="2" t="e">
        <f ca="1">OFFSET(Roster!$B$7, MATCH(B979&amp;" "&amp;C979&amp;"*",Roster!$B$8:$B$20,0),DAY(sales[[#This Row],[date]]),1, 1)</f>
        <v>#N/A</v>
      </c>
      <c r="E979" s="2">
        <f>MONTH(sales[[#This Row],[date]])</f>
        <v>1</v>
      </c>
      <c r="F979" s="235"/>
      <c r="G979" s="3" t="str">
        <f>VLOOKUP("*"&amp;sales[[#This Row],[Input]]&amp;"*",'Ref-List'!$A:$C,1,0)</f>
        <v>Model-Input-Ref</v>
      </c>
      <c r="H979" s="2" t="str">
        <f>VLOOKUP("*"&amp;G979&amp;"*",'Ref-List'!$A:$C,3,0)</f>
        <v>Product Line</v>
      </c>
      <c r="J979" s="2"/>
      <c r="K979" s="2"/>
      <c r="L979" s="2">
        <f>sales[[#This Row],[quantity]]*sales[[#This Row],[price]]</f>
        <v>0</v>
      </c>
      <c r="M979" s="9">
        <f>sales[[#This Row],[Total Price]]*3%</f>
        <v>0</v>
      </c>
      <c r="N979" s="171">
        <f>sales[[#This Row],[Total Price]]*2.5%</f>
        <v>0</v>
      </c>
      <c r="O979" s="9">
        <f>sales[[#This Row],[Total Price]]*1.5%</f>
        <v>0</v>
      </c>
      <c r="R979" s="5" t="str">
        <f>_xlfn.CONCAT(sales[[#This Row],[Shop]]," ",sales[[#This Row],[Location]])</f>
        <v xml:space="preserve"> </v>
      </c>
    </row>
    <row r="980" spans="1:18" ht="15.6" customHeight="1">
      <c r="A980" s="7">
        <v>978</v>
      </c>
      <c r="D980" s="2" t="e">
        <f ca="1">OFFSET(Roster!$B$7, MATCH(B980&amp;" "&amp;C980&amp;"*",Roster!$B$8:$B$20,0),DAY(sales[[#This Row],[date]]),1, 1)</f>
        <v>#N/A</v>
      </c>
      <c r="E980" s="2">
        <f>MONTH(sales[[#This Row],[date]])</f>
        <v>1</v>
      </c>
      <c r="F980" s="235"/>
      <c r="G980" s="3" t="str">
        <f>VLOOKUP("*"&amp;sales[[#This Row],[Input]]&amp;"*",'Ref-List'!$A:$C,1,0)</f>
        <v>Model-Input-Ref</v>
      </c>
      <c r="H980" s="2" t="str">
        <f>VLOOKUP("*"&amp;G980&amp;"*",'Ref-List'!$A:$C,3,0)</f>
        <v>Product Line</v>
      </c>
      <c r="J980" s="2"/>
      <c r="K980" s="2"/>
      <c r="L980" s="2">
        <f>sales[[#This Row],[quantity]]*sales[[#This Row],[price]]</f>
        <v>0</v>
      </c>
      <c r="M980" s="9">
        <f>sales[[#This Row],[Total Price]]*3%</f>
        <v>0</v>
      </c>
      <c r="N980" s="171">
        <f>sales[[#This Row],[Total Price]]*2.5%</f>
        <v>0</v>
      </c>
      <c r="O980" s="9">
        <f>sales[[#This Row],[Total Price]]*1.5%</f>
        <v>0</v>
      </c>
      <c r="R980" s="5" t="str">
        <f>_xlfn.CONCAT(sales[[#This Row],[Shop]]," ",sales[[#This Row],[Location]])</f>
        <v xml:space="preserve"> </v>
      </c>
    </row>
    <row r="981" spans="1:18" ht="15.6" customHeight="1">
      <c r="A981" s="7">
        <v>979</v>
      </c>
      <c r="D981" s="2" t="e">
        <f ca="1">OFFSET(Roster!$B$7, MATCH(B981&amp;" "&amp;C981&amp;"*",Roster!$B$8:$B$20,0),DAY(sales[[#This Row],[date]]),1, 1)</f>
        <v>#N/A</v>
      </c>
      <c r="E981" s="2">
        <f>MONTH(sales[[#This Row],[date]])</f>
        <v>1</v>
      </c>
      <c r="F981" s="235"/>
      <c r="G981" s="3" t="str">
        <f>VLOOKUP("*"&amp;sales[[#This Row],[Input]]&amp;"*",'Ref-List'!$A:$C,1,0)</f>
        <v>Model-Input-Ref</v>
      </c>
      <c r="H981" s="2" t="str">
        <f>VLOOKUP("*"&amp;G981&amp;"*",'Ref-List'!$A:$C,3,0)</f>
        <v>Product Line</v>
      </c>
      <c r="J981" s="2"/>
      <c r="K981" s="2"/>
      <c r="L981" s="2">
        <f>sales[[#This Row],[quantity]]*sales[[#This Row],[price]]</f>
        <v>0</v>
      </c>
      <c r="M981" s="9">
        <f>sales[[#This Row],[Total Price]]*3%</f>
        <v>0</v>
      </c>
      <c r="N981" s="171">
        <f>sales[[#This Row],[Total Price]]*2.5%</f>
        <v>0</v>
      </c>
      <c r="O981" s="9">
        <f>sales[[#This Row],[Total Price]]*1.5%</f>
        <v>0</v>
      </c>
      <c r="R981" s="5" t="str">
        <f>_xlfn.CONCAT(sales[[#This Row],[Shop]]," ",sales[[#This Row],[Location]])</f>
        <v xml:space="preserve"> </v>
      </c>
    </row>
    <row r="982" spans="1:18" ht="15.6" customHeight="1">
      <c r="A982" s="7">
        <v>980</v>
      </c>
      <c r="D982" s="2" t="e">
        <f ca="1">OFFSET(Roster!$B$7, MATCH(B982&amp;" "&amp;C982&amp;"*",Roster!$B$8:$B$20,0),DAY(sales[[#This Row],[date]]),1, 1)</f>
        <v>#N/A</v>
      </c>
      <c r="E982" s="2">
        <f>MONTH(sales[[#This Row],[date]])</f>
        <v>1</v>
      </c>
      <c r="F982" s="235"/>
      <c r="G982" s="3" t="str">
        <f>VLOOKUP("*"&amp;sales[[#This Row],[Input]]&amp;"*",'Ref-List'!$A:$C,1,0)</f>
        <v>Model-Input-Ref</v>
      </c>
      <c r="H982" s="2" t="str">
        <f>VLOOKUP("*"&amp;G982&amp;"*",'Ref-List'!$A:$C,3,0)</f>
        <v>Product Line</v>
      </c>
      <c r="J982" s="2"/>
      <c r="K982" s="2"/>
      <c r="L982" s="2">
        <f>sales[[#This Row],[quantity]]*sales[[#This Row],[price]]</f>
        <v>0</v>
      </c>
      <c r="M982" s="9">
        <f>sales[[#This Row],[Total Price]]*3%</f>
        <v>0</v>
      </c>
      <c r="N982" s="171">
        <f>sales[[#This Row],[Total Price]]*2.5%</f>
        <v>0</v>
      </c>
      <c r="O982" s="9">
        <f>sales[[#This Row],[Total Price]]*1.5%</f>
        <v>0</v>
      </c>
      <c r="R982" s="5" t="str">
        <f>_xlfn.CONCAT(sales[[#This Row],[Shop]]," ",sales[[#This Row],[Location]])</f>
        <v xml:space="preserve"> </v>
      </c>
    </row>
    <row r="983" spans="1:18" ht="15.6" customHeight="1">
      <c r="A983" s="7">
        <v>981</v>
      </c>
      <c r="D983" s="2" t="e">
        <f ca="1">OFFSET(Roster!$B$7, MATCH(B983&amp;" "&amp;C983&amp;"*",Roster!$B$8:$B$20,0),DAY(sales[[#This Row],[date]]),1, 1)</f>
        <v>#N/A</v>
      </c>
      <c r="E983" s="2">
        <f>MONTH(sales[[#This Row],[date]])</f>
        <v>1</v>
      </c>
      <c r="F983" s="235"/>
      <c r="G983" s="3" t="str">
        <f>VLOOKUP("*"&amp;sales[[#This Row],[Input]]&amp;"*",'Ref-List'!$A:$C,1,0)</f>
        <v>Model-Input-Ref</v>
      </c>
      <c r="H983" s="2" t="str">
        <f>VLOOKUP("*"&amp;G983&amp;"*",'Ref-List'!$A:$C,3,0)</f>
        <v>Product Line</v>
      </c>
      <c r="J983" s="2"/>
      <c r="K983" s="2"/>
      <c r="L983" s="2">
        <f>sales[[#This Row],[quantity]]*sales[[#This Row],[price]]</f>
        <v>0</v>
      </c>
      <c r="M983" s="9">
        <f>sales[[#This Row],[Total Price]]*3%</f>
        <v>0</v>
      </c>
      <c r="N983" s="171">
        <f>sales[[#This Row],[Total Price]]*2.5%</f>
        <v>0</v>
      </c>
      <c r="O983" s="9">
        <f>sales[[#This Row],[Total Price]]*1.5%</f>
        <v>0</v>
      </c>
      <c r="R983" s="5" t="str">
        <f>_xlfn.CONCAT(sales[[#This Row],[Shop]]," ",sales[[#This Row],[Location]])</f>
        <v xml:space="preserve"> </v>
      </c>
    </row>
    <row r="984" spans="1:18" ht="15.6" customHeight="1">
      <c r="A984" s="7">
        <v>982</v>
      </c>
      <c r="D984" s="2" t="e">
        <f ca="1">OFFSET(Roster!$B$7, MATCH(B984&amp;" "&amp;C984&amp;"*",Roster!$B$8:$B$20,0),DAY(sales[[#This Row],[date]]),1, 1)</f>
        <v>#N/A</v>
      </c>
      <c r="E984" s="2">
        <f>MONTH(sales[[#This Row],[date]])</f>
        <v>1</v>
      </c>
      <c r="F984" s="235"/>
      <c r="G984" s="3" t="str">
        <f>VLOOKUP("*"&amp;sales[[#This Row],[Input]]&amp;"*",'Ref-List'!$A:$C,1,0)</f>
        <v>Model-Input-Ref</v>
      </c>
      <c r="H984" s="2" t="str">
        <f>VLOOKUP("*"&amp;G984&amp;"*",'Ref-List'!$A:$C,3,0)</f>
        <v>Product Line</v>
      </c>
      <c r="J984" s="2"/>
      <c r="K984" s="2"/>
      <c r="L984" s="2">
        <f>sales[[#This Row],[quantity]]*sales[[#This Row],[price]]</f>
        <v>0</v>
      </c>
      <c r="M984" s="9">
        <f>sales[[#This Row],[Total Price]]*3%</f>
        <v>0</v>
      </c>
      <c r="N984" s="171">
        <f>sales[[#This Row],[Total Price]]*2.5%</f>
        <v>0</v>
      </c>
      <c r="O984" s="9">
        <f>sales[[#This Row],[Total Price]]*1.5%</f>
        <v>0</v>
      </c>
      <c r="R984" s="5" t="str">
        <f>_xlfn.CONCAT(sales[[#This Row],[Shop]]," ",sales[[#This Row],[Location]])</f>
        <v xml:space="preserve"> </v>
      </c>
    </row>
    <row r="985" spans="1:18" ht="15.6" customHeight="1">
      <c r="A985" s="7">
        <v>983</v>
      </c>
      <c r="D985" s="2" t="e">
        <f ca="1">OFFSET(Roster!$B$7, MATCH(B985&amp;" "&amp;C985&amp;"*",Roster!$B$8:$B$20,0),DAY(sales[[#This Row],[date]]),1, 1)</f>
        <v>#N/A</v>
      </c>
      <c r="E985" s="2">
        <f>MONTH(sales[[#This Row],[date]])</f>
        <v>1</v>
      </c>
      <c r="F985" s="235"/>
      <c r="G985" s="3" t="str">
        <f>VLOOKUP("*"&amp;sales[[#This Row],[Input]]&amp;"*",'Ref-List'!$A:$C,1,0)</f>
        <v>Model-Input-Ref</v>
      </c>
      <c r="H985" s="2" t="str">
        <f>VLOOKUP("*"&amp;G985&amp;"*",'Ref-List'!$A:$C,3,0)</f>
        <v>Product Line</v>
      </c>
      <c r="J985" s="2"/>
      <c r="K985" s="2"/>
      <c r="L985" s="2">
        <f>sales[[#This Row],[quantity]]*sales[[#This Row],[price]]</f>
        <v>0</v>
      </c>
      <c r="M985" s="9">
        <f>sales[[#This Row],[Total Price]]*3%</f>
        <v>0</v>
      </c>
      <c r="N985" s="171">
        <f>sales[[#This Row],[Total Price]]*2.5%</f>
        <v>0</v>
      </c>
      <c r="O985" s="9">
        <f>sales[[#This Row],[Total Price]]*1.5%</f>
        <v>0</v>
      </c>
      <c r="R985" s="5" t="str">
        <f>_xlfn.CONCAT(sales[[#This Row],[Shop]]," ",sales[[#This Row],[Location]])</f>
        <v xml:space="preserve"> </v>
      </c>
    </row>
    <row r="986" spans="1:18" ht="15.6" customHeight="1">
      <c r="A986" s="7">
        <v>984</v>
      </c>
      <c r="D986" s="2" t="e">
        <f ca="1">OFFSET(Roster!$B$7, MATCH(B986&amp;" "&amp;C986&amp;"*",Roster!$B$8:$B$20,0),DAY(sales[[#This Row],[date]]),1, 1)</f>
        <v>#N/A</v>
      </c>
      <c r="E986" s="2">
        <f>MONTH(sales[[#This Row],[date]])</f>
        <v>1</v>
      </c>
      <c r="F986" s="235"/>
      <c r="G986" s="3" t="str">
        <f>VLOOKUP("*"&amp;sales[[#This Row],[Input]]&amp;"*",'Ref-List'!$A:$C,1,0)</f>
        <v>Model-Input-Ref</v>
      </c>
      <c r="H986" s="2" t="str">
        <f>VLOOKUP("*"&amp;G986&amp;"*",'Ref-List'!$A:$C,3,0)</f>
        <v>Product Line</v>
      </c>
      <c r="J986" s="2"/>
      <c r="K986" s="2"/>
      <c r="L986" s="2">
        <f>sales[[#This Row],[quantity]]*sales[[#This Row],[price]]</f>
        <v>0</v>
      </c>
      <c r="M986" s="9">
        <f>sales[[#This Row],[Total Price]]*3%</f>
        <v>0</v>
      </c>
      <c r="N986" s="171">
        <f>sales[[#This Row],[Total Price]]*2.5%</f>
        <v>0</v>
      </c>
      <c r="O986" s="9">
        <f>sales[[#This Row],[Total Price]]*1.5%</f>
        <v>0</v>
      </c>
      <c r="R986" s="5" t="str">
        <f>_xlfn.CONCAT(sales[[#This Row],[Shop]]," ",sales[[#This Row],[Location]])</f>
        <v xml:space="preserve"> </v>
      </c>
    </row>
    <row r="987" spans="1:18" ht="15.6" customHeight="1">
      <c r="A987" s="7">
        <v>985</v>
      </c>
      <c r="D987" s="2" t="e">
        <f ca="1">OFFSET(Roster!$B$7, MATCH(B987&amp;" "&amp;C987&amp;"*",Roster!$B$8:$B$20,0),DAY(sales[[#This Row],[date]]),1, 1)</f>
        <v>#N/A</v>
      </c>
      <c r="E987" s="2">
        <f>MONTH(sales[[#This Row],[date]])</f>
        <v>1</v>
      </c>
      <c r="F987" s="235"/>
      <c r="G987" s="3" t="str">
        <f>VLOOKUP("*"&amp;sales[[#This Row],[Input]]&amp;"*",'Ref-List'!$A:$C,1,0)</f>
        <v>Model-Input-Ref</v>
      </c>
      <c r="H987" s="2" t="str">
        <f>VLOOKUP("*"&amp;G987&amp;"*",'Ref-List'!$A:$C,3,0)</f>
        <v>Product Line</v>
      </c>
      <c r="J987" s="2"/>
      <c r="K987" s="2"/>
      <c r="L987" s="2">
        <f>sales[[#This Row],[quantity]]*sales[[#This Row],[price]]</f>
        <v>0</v>
      </c>
      <c r="M987" s="9">
        <f>sales[[#This Row],[Total Price]]*3%</f>
        <v>0</v>
      </c>
      <c r="N987" s="171">
        <f>sales[[#This Row],[Total Price]]*2.5%</f>
        <v>0</v>
      </c>
      <c r="O987" s="9">
        <f>sales[[#This Row],[Total Price]]*1.5%</f>
        <v>0</v>
      </c>
      <c r="R987" s="5" t="str">
        <f>_xlfn.CONCAT(sales[[#This Row],[Shop]]," ",sales[[#This Row],[Location]])</f>
        <v xml:space="preserve"> </v>
      </c>
    </row>
    <row r="988" spans="1:18" ht="15.6" customHeight="1">
      <c r="A988" s="7">
        <v>986</v>
      </c>
      <c r="D988" s="2" t="e">
        <f ca="1">OFFSET(Roster!$B$7, MATCH(B988&amp;" "&amp;C988&amp;"*",Roster!$B$8:$B$20,0),DAY(sales[[#This Row],[date]]),1, 1)</f>
        <v>#N/A</v>
      </c>
      <c r="E988" s="2">
        <f>MONTH(sales[[#This Row],[date]])</f>
        <v>1</v>
      </c>
      <c r="F988" s="235"/>
      <c r="G988" s="3" t="str">
        <f>VLOOKUP("*"&amp;sales[[#This Row],[Input]]&amp;"*",'Ref-List'!$A:$C,1,0)</f>
        <v>Model-Input-Ref</v>
      </c>
      <c r="H988" s="2" t="str">
        <f>VLOOKUP("*"&amp;G988&amp;"*",'Ref-List'!$A:$C,3,0)</f>
        <v>Product Line</v>
      </c>
      <c r="J988" s="2"/>
      <c r="K988" s="2"/>
      <c r="L988" s="2">
        <f>sales[[#This Row],[quantity]]*sales[[#This Row],[price]]</f>
        <v>0</v>
      </c>
      <c r="M988" s="9">
        <f>sales[[#This Row],[Total Price]]*3%</f>
        <v>0</v>
      </c>
      <c r="N988" s="171">
        <f>sales[[#This Row],[Total Price]]*2.5%</f>
        <v>0</v>
      </c>
      <c r="O988" s="9">
        <f>sales[[#This Row],[Total Price]]*1.5%</f>
        <v>0</v>
      </c>
      <c r="R988" s="5" t="str">
        <f>_xlfn.CONCAT(sales[[#This Row],[Shop]]," ",sales[[#This Row],[Location]])</f>
        <v xml:space="preserve"> </v>
      </c>
    </row>
    <row r="989" spans="1:18" ht="15.6" customHeight="1">
      <c r="A989" s="7">
        <v>987</v>
      </c>
      <c r="D989" s="2" t="e">
        <f ca="1">OFFSET(Roster!$B$7, MATCH(B989&amp;" "&amp;C989&amp;"*",Roster!$B$8:$B$20,0),DAY(sales[[#This Row],[date]]),1, 1)</f>
        <v>#N/A</v>
      </c>
      <c r="E989" s="2">
        <f>MONTH(sales[[#This Row],[date]])</f>
        <v>1</v>
      </c>
      <c r="G989" s="3" t="str">
        <f>VLOOKUP("*"&amp;sales[[#This Row],[Input]]&amp;"*",'Ref-List'!$A:$C,1,0)</f>
        <v>Model-Input-Ref</v>
      </c>
      <c r="H989" s="2" t="str">
        <f>VLOOKUP("*"&amp;G989&amp;"*",'Ref-List'!$A:$C,3,0)</f>
        <v>Product Line</v>
      </c>
      <c r="J989" s="2"/>
      <c r="K989" s="2"/>
      <c r="L989" s="2">
        <f>sales[[#This Row],[quantity]]*sales[[#This Row],[price]]</f>
        <v>0</v>
      </c>
      <c r="M989" s="9">
        <f>sales[[#This Row],[Total Price]]*3%</f>
        <v>0</v>
      </c>
      <c r="N989" s="171">
        <f>sales[[#This Row],[Total Price]]*2.5%</f>
        <v>0</v>
      </c>
      <c r="O989" s="9">
        <f>sales[[#This Row],[Total Price]]*1.5%</f>
        <v>0</v>
      </c>
      <c r="R989" s="5" t="str">
        <f>_xlfn.CONCAT(sales[[#This Row],[Shop]]," ",sales[[#This Row],[Location]])</f>
        <v xml:space="preserve"> </v>
      </c>
    </row>
    <row r="990" spans="1:18" ht="15.6" customHeight="1">
      <c r="A990" s="7">
        <v>988</v>
      </c>
      <c r="D990" s="2" t="e">
        <f ca="1">OFFSET(Roster!$B$7, MATCH(B990&amp;" "&amp;C990&amp;"*",Roster!$B$8:$B$20,0),DAY(sales[[#This Row],[date]]),1, 1)</f>
        <v>#N/A</v>
      </c>
      <c r="E990" s="2">
        <f>MONTH(sales[[#This Row],[date]])</f>
        <v>1</v>
      </c>
      <c r="G990" s="3" t="str">
        <f>VLOOKUP("*"&amp;sales[[#This Row],[Input]]&amp;"*",'Ref-List'!$A:$C,1,0)</f>
        <v>Model-Input-Ref</v>
      </c>
      <c r="H990" s="2" t="str">
        <f>VLOOKUP("*"&amp;G990&amp;"*",'Ref-List'!$A:$C,3,0)</f>
        <v>Product Line</v>
      </c>
      <c r="J990" s="2"/>
      <c r="K990" s="2"/>
      <c r="L990" s="2">
        <f>sales[[#This Row],[quantity]]*sales[[#This Row],[price]]</f>
        <v>0</v>
      </c>
      <c r="M990" s="9">
        <f>sales[[#This Row],[Total Price]]*3%</f>
        <v>0</v>
      </c>
      <c r="N990" s="171">
        <f>sales[[#This Row],[Total Price]]*2.5%</f>
        <v>0</v>
      </c>
      <c r="O990" s="9">
        <f>sales[[#This Row],[Total Price]]*1.5%</f>
        <v>0</v>
      </c>
      <c r="R990" s="5" t="str">
        <f>_xlfn.CONCAT(sales[[#This Row],[Shop]]," ",sales[[#This Row],[Location]])</f>
        <v xml:space="preserve"> </v>
      </c>
    </row>
    <row r="991" spans="1:18" ht="15.6" customHeight="1">
      <c r="A991" s="7">
        <v>989</v>
      </c>
      <c r="D991" s="2" t="e">
        <f ca="1">OFFSET(Roster!$B$7, MATCH(B991&amp;" "&amp;C991&amp;"*",Roster!$B$8:$B$20,0),DAY(sales[[#This Row],[date]]),1, 1)</f>
        <v>#N/A</v>
      </c>
      <c r="E991" s="2">
        <f>MONTH(sales[[#This Row],[date]])</f>
        <v>1</v>
      </c>
      <c r="G991" s="3" t="str">
        <f>VLOOKUP("*"&amp;sales[[#This Row],[Input]]&amp;"*",'Ref-List'!$A:$C,1,0)</f>
        <v>Model-Input-Ref</v>
      </c>
      <c r="H991" s="2" t="str">
        <f>VLOOKUP("*"&amp;G991&amp;"*",'Ref-List'!$A:$C,3,0)</f>
        <v>Product Line</v>
      </c>
      <c r="J991" s="2"/>
      <c r="K991" s="2"/>
      <c r="L991" s="2">
        <f>sales[[#This Row],[quantity]]*sales[[#This Row],[price]]</f>
        <v>0</v>
      </c>
      <c r="M991" s="9">
        <f>sales[[#This Row],[Total Price]]*3%</f>
        <v>0</v>
      </c>
      <c r="N991" s="171">
        <f>sales[[#This Row],[Total Price]]*2.5%</f>
        <v>0</v>
      </c>
      <c r="O991" s="9">
        <f>sales[[#This Row],[Total Price]]*1.5%</f>
        <v>0</v>
      </c>
      <c r="R991" s="5" t="str">
        <f>_xlfn.CONCAT(sales[[#This Row],[Shop]]," ",sales[[#This Row],[Location]])</f>
        <v xml:space="preserve"> </v>
      </c>
    </row>
    <row r="992" spans="1:18" ht="15.6" customHeight="1">
      <c r="A992" s="7">
        <v>990</v>
      </c>
      <c r="D992" s="2" t="e">
        <f ca="1">OFFSET(Roster!$B$7, MATCH(B992&amp;" "&amp;C992&amp;"*",Roster!$B$8:$B$20,0),DAY(sales[[#This Row],[date]]),1, 1)</f>
        <v>#N/A</v>
      </c>
      <c r="E992" s="2">
        <f>MONTH(sales[[#This Row],[date]])</f>
        <v>1</v>
      </c>
      <c r="F992" s="234"/>
      <c r="G992" s="3" t="str">
        <f>VLOOKUP("*"&amp;sales[[#This Row],[Input]]&amp;"*",'Ref-List'!$A:$C,1,0)</f>
        <v>Model-Input-Ref</v>
      </c>
      <c r="H992" s="2" t="str">
        <f>VLOOKUP("*"&amp;G992&amp;"*",'Ref-List'!$A:$C,3,0)</f>
        <v>Product Line</v>
      </c>
      <c r="I992" s="8"/>
      <c r="J992" s="2"/>
      <c r="K992" s="2"/>
      <c r="L992" s="2">
        <f>sales[[#This Row],[quantity]]*sales[[#This Row],[price]]</f>
        <v>0</v>
      </c>
      <c r="M992" s="9">
        <f>sales[[#This Row],[Total Price]]*3%</f>
        <v>0</v>
      </c>
      <c r="N992" s="171">
        <f>sales[[#This Row],[Total Price]]*2.5%</f>
        <v>0</v>
      </c>
      <c r="O992" s="9">
        <f>sales[[#This Row],[Total Price]]*1.5%</f>
        <v>0</v>
      </c>
      <c r="R992" s="5" t="str">
        <f>_xlfn.CONCAT(sales[[#This Row],[Shop]]," ",sales[[#This Row],[Location]])</f>
        <v xml:space="preserve"> </v>
      </c>
    </row>
    <row r="993" spans="1:18" ht="15.6" customHeight="1">
      <c r="A993" s="7">
        <v>991</v>
      </c>
      <c r="D993" s="2" t="e">
        <f ca="1">OFFSET(Roster!$B$7, MATCH(B993&amp;" "&amp;C993&amp;"*",Roster!$B$8:$B$20,0),DAY(sales[[#This Row],[date]]),1, 1)</f>
        <v>#N/A</v>
      </c>
      <c r="E993" s="2">
        <f>MONTH(sales[[#This Row],[date]])</f>
        <v>1</v>
      </c>
      <c r="F993" s="234"/>
      <c r="G993" s="3" t="str">
        <f>VLOOKUP("*"&amp;sales[[#This Row],[Input]]&amp;"*",'Ref-List'!$A:$C,1,0)</f>
        <v>Model-Input-Ref</v>
      </c>
      <c r="H993" s="2" t="str">
        <f>VLOOKUP("*"&amp;G993&amp;"*",'Ref-List'!$A:$C,3,0)</f>
        <v>Product Line</v>
      </c>
      <c r="I993" s="8"/>
      <c r="J993" s="2"/>
      <c r="K993" s="5"/>
      <c r="L993" s="2">
        <f>sales[[#This Row],[quantity]]*sales[[#This Row],[price]]</f>
        <v>0</v>
      </c>
      <c r="M993" s="9">
        <f>sales[[#This Row],[Total Price]]*3%</f>
        <v>0</v>
      </c>
      <c r="N993" s="171">
        <f>sales[[#This Row],[Total Price]]*2.5%</f>
        <v>0</v>
      </c>
      <c r="O993" s="9">
        <f>sales[[#This Row],[Total Price]]*1.5%</f>
        <v>0</v>
      </c>
      <c r="R993" s="5" t="str">
        <f>_xlfn.CONCAT(sales[[#This Row],[Shop]]," ",sales[[#This Row],[Location]])</f>
        <v xml:space="preserve"> </v>
      </c>
    </row>
    <row r="994" spans="1:18" ht="15.6" customHeight="1">
      <c r="A994" s="7">
        <v>992</v>
      </c>
      <c r="D994" s="2" t="e">
        <f ca="1">OFFSET(Roster!$B$7, MATCH(B994&amp;" "&amp;C994&amp;"*",Roster!$B$8:$B$20,0),DAY(sales[[#This Row],[date]]),1, 1)</f>
        <v>#N/A</v>
      </c>
      <c r="E994" s="2">
        <f>MONTH(sales[[#This Row],[date]])</f>
        <v>1</v>
      </c>
      <c r="F994" s="234"/>
      <c r="G994" s="3" t="str">
        <f>VLOOKUP("*"&amp;sales[[#This Row],[Input]]&amp;"*",'Ref-List'!$A:$C,1,0)</f>
        <v>Model-Input-Ref</v>
      </c>
      <c r="H994" s="2" t="str">
        <f>VLOOKUP("*"&amp;G994&amp;"*",'Ref-List'!$A:$C,3,0)</f>
        <v>Product Line</v>
      </c>
      <c r="J994" s="2"/>
      <c r="K994" s="2"/>
      <c r="L994" s="2">
        <f>sales[[#This Row],[quantity]]*sales[[#This Row],[price]]</f>
        <v>0</v>
      </c>
      <c r="M994" s="9">
        <f>sales[[#This Row],[Total Price]]*3%</f>
        <v>0</v>
      </c>
      <c r="N994" s="171">
        <f>sales[[#This Row],[Total Price]]*2.5%</f>
        <v>0</v>
      </c>
      <c r="O994" s="9">
        <f>sales[[#This Row],[Total Price]]*1.5%</f>
        <v>0</v>
      </c>
      <c r="R994" s="5" t="str">
        <f>_xlfn.CONCAT(sales[[#This Row],[Shop]]," ",sales[[#This Row],[Location]])</f>
        <v xml:space="preserve"> </v>
      </c>
    </row>
    <row r="1002" spans="1:18">
      <c r="I1002" s="5" t="s">
        <v>256</v>
      </c>
    </row>
  </sheetData>
  <phoneticPr fontId="4" type="noConversion"/>
  <conditionalFormatting sqref="G1:G1048576">
    <cfRule type="cellIs" dxfId="18" priority="1" operator="equal">
      <formula>"ADD8906"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D350-8B78-40B2-AF8C-7840B30819BD}">
  <dimension ref="A1:E328"/>
  <sheetViews>
    <sheetView workbookViewId="0">
      <selection activeCell="A334" sqref="A334"/>
    </sheetView>
  </sheetViews>
  <sheetFormatPr defaultColWidth="8.125" defaultRowHeight="15.75"/>
  <cols>
    <col min="1" max="1" width="31.875" style="254" customWidth="1"/>
    <col min="2" max="2" width="26.375" style="254" customWidth="1"/>
    <col min="3" max="3" width="37" style="14" customWidth="1"/>
    <col min="4" max="4" width="14.25" style="6" customWidth="1"/>
    <col min="5" max="5" width="14" style="6" bestFit="1" customWidth="1"/>
    <col min="6" max="16384" width="8.125" style="6"/>
  </cols>
  <sheetData>
    <row r="1" spans="1:4" ht="16.5" thickBot="1">
      <c r="A1" s="251" t="s">
        <v>13</v>
      </c>
      <c r="B1" s="251" t="s">
        <v>14</v>
      </c>
      <c r="C1" s="13" t="s">
        <v>8</v>
      </c>
      <c r="D1" s="6" t="s">
        <v>259</v>
      </c>
    </row>
    <row r="2" spans="1:4" ht="16.5" hidden="1" thickBot="1">
      <c r="A2" s="252">
        <v>66110</v>
      </c>
      <c r="B2" s="252">
        <v>66110</v>
      </c>
      <c r="C2" s="247" t="s">
        <v>385</v>
      </c>
      <c r="D2" s="246" t="s">
        <v>386</v>
      </c>
    </row>
    <row r="3" spans="1:4" ht="16.5" hidden="1" thickBot="1">
      <c r="A3" s="252">
        <v>66136</v>
      </c>
      <c r="B3" s="252">
        <v>66136</v>
      </c>
      <c r="C3" s="247" t="s">
        <v>387</v>
      </c>
      <c r="D3" s="246" t="s">
        <v>386</v>
      </c>
    </row>
    <row r="4" spans="1:4" ht="16.5" hidden="1" thickBot="1">
      <c r="A4" s="252">
        <v>66145</v>
      </c>
      <c r="B4" s="252">
        <v>66145</v>
      </c>
      <c r="C4" s="247" t="s">
        <v>388</v>
      </c>
      <c r="D4" s="246" t="s">
        <v>386</v>
      </c>
    </row>
    <row r="5" spans="1:4" ht="16.5" hidden="1" thickBot="1">
      <c r="A5" s="252">
        <v>827</v>
      </c>
      <c r="B5" s="252" t="s">
        <v>389</v>
      </c>
      <c r="C5" s="247" t="s">
        <v>390</v>
      </c>
      <c r="D5" s="246" t="s">
        <v>386</v>
      </c>
    </row>
    <row r="6" spans="1:4" ht="16.5" hidden="1" thickBot="1">
      <c r="A6" s="252">
        <v>921001916207</v>
      </c>
      <c r="B6" s="252">
        <v>921001916207</v>
      </c>
      <c r="C6" s="247" t="s">
        <v>391</v>
      </c>
      <c r="D6" s="246" t="s">
        <v>386</v>
      </c>
    </row>
    <row r="7" spans="1:4" ht="16.5" hidden="1" thickBot="1">
      <c r="A7" s="252">
        <v>927904882701</v>
      </c>
      <c r="B7" s="252">
        <v>927904882701</v>
      </c>
      <c r="C7" s="247" t="s">
        <v>392</v>
      </c>
      <c r="D7" s="246" t="s">
        <v>386</v>
      </c>
    </row>
    <row r="8" spans="1:4" ht="16.5" hidden="1" thickBot="1">
      <c r="A8" s="252">
        <v>929001142207</v>
      </c>
      <c r="B8" s="252">
        <v>929001142207</v>
      </c>
      <c r="C8" s="247" t="s">
        <v>393</v>
      </c>
      <c r="D8" s="246" t="s">
        <v>386</v>
      </c>
    </row>
    <row r="9" spans="1:4" ht="32.1" hidden="1" customHeight="1" thickBot="1">
      <c r="A9" s="252">
        <v>929001142507</v>
      </c>
      <c r="B9" s="252">
        <v>929001142507</v>
      </c>
      <c r="C9" s="247" t="s">
        <v>394</v>
      </c>
      <c r="D9" s="246" t="s">
        <v>386</v>
      </c>
    </row>
    <row r="10" spans="1:4" ht="32.1" hidden="1" customHeight="1" thickBot="1">
      <c r="A10" s="252">
        <v>929001146207</v>
      </c>
      <c r="B10" s="252">
        <v>929001146207</v>
      </c>
      <c r="C10" s="247" t="s">
        <v>395</v>
      </c>
      <c r="D10" s="246" t="s">
        <v>386</v>
      </c>
    </row>
    <row r="11" spans="1:4" ht="16.5" hidden="1" thickBot="1">
      <c r="A11" s="252">
        <v>929001915538</v>
      </c>
      <c r="B11" s="252">
        <v>929001915538</v>
      </c>
      <c r="C11" s="247" t="s">
        <v>396</v>
      </c>
      <c r="D11" s="246" t="s">
        <v>386</v>
      </c>
    </row>
    <row r="12" spans="1:4" ht="16.5" hidden="1" thickBot="1">
      <c r="A12" s="252">
        <v>929001916338</v>
      </c>
      <c r="B12" s="252">
        <v>929001916338</v>
      </c>
      <c r="C12" s="247" t="s">
        <v>396</v>
      </c>
      <c r="D12" s="246" t="s">
        <v>386</v>
      </c>
    </row>
    <row r="13" spans="1:4" ht="16.5" hidden="1" thickBot="1">
      <c r="A13" s="252">
        <v>929001916437</v>
      </c>
      <c r="B13" s="252">
        <v>929001916437</v>
      </c>
      <c r="C13" s="247" t="s">
        <v>397</v>
      </c>
      <c r="D13" s="246" t="s">
        <v>386</v>
      </c>
    </row>
    <row r="14" spans="1:4" ht="16.5" hidden="1" thickBot="1">
      <c r="A14" s="252">
        <v>929002039707</v>
      </c>
      <c r="B14" s="252">
        <v>929002039707</v>
      </c>
      <c r="C14" s="247" t="s">
        <v>398</v>
      </c>
      <c r="D14" s="246" t="s">
        <v>386</v>
      </c>
    </row>
    <row r="15" spans="1:4" ht="16.5" hidden="1" thickBot="1">
      <c r="A15" s="252">
        <v>9290030063</v>
      </c>
      <c r="B15" s="252">
        <v>9290030063</v>
      </c>
      <c r="C15" s="247" t="s">
        <v>399</v>
      </c>
      <c r="D15" s="246" t="s">
        <v>386</v>
      </c>
    </row>
    <row r="16" spans="1:4" ht="16.5" hidden="1" thickBot="1">
      <c r="A16" s="252">
        <v>929689238707</v>
      </c>
      <c r="B16" s="252">
        <v>929689238707</v>
      </c>
      <c r="C16" s="247" t="s">
        <v>400</v>
      </c>
      <c r="D16" s="246" t="s">
        <v>386</v>
      </c>
    </row>
    <row r="17" spans="1:4" ht="16.5" hidden="1" thickBot="1">
      <c r="A17" s="252">
        <v>929689239008</v>
      </c>
      <c r="B17" s="252">
        <v>929689239008</v>
      </c>
      <c r="C17" s="247" t="s">
        <v>401</v>
      </c>
      <c r="D17" s="246" t="s">
        <v>386</v>
      </c>
    </row>
    <row r="18" spans="1:4" ht="16.5" hidden="1" thickBot="1">
      <c r="A18" s="252">
        <v>929689239208</v>
      </c>
      <c r="B18" s="252">
        <v>929689239208</v>
      </c>
      <c r="C18" s="247" t="s">
        <v>402</v>
      </c>
      <c r="D18" s="246" t="s">
        <v>386</v>
      </c>
    </row>
    <row r="19" spans="1:4" ht="16.5" hidden="1" thickBot="1">
      <c r="A19" s="252">
        <v>929689239308</v>
      </c>
      <c r="B19" s="252">
        <v>929689239308</v>
      </c>
      <c r="C19" s="247" t="s">
        <v>403</v>
      </c>
      <c r="D19" s="246" t="s">
        <v>386</v>
      </c>
    </row>
    <row r="20" spans="1:4" ht="16.5" hidden="1" thickBot="1">
      <c r="A20" s="252">
        <v>929689239509</v>
      </c>
      <c r="B20" s="252">
        <v>929689239509</v>
      </c>
      <c r="C20" s="247" t="s">
        <v>404</v>
      </c>
      <c r="D20" s="246" t="s">
        <v>386</v>
      </c>
    </row>
    <row r="21" spans="1:4" ht="16.5" hidden="1" thickBot="1">
      <c r="A21" s="252">
        <v>929689240206</v>
      </c>
      <c r="B21" s="252">
        <v>929689240206</v>
      </c>
      <c r="C21" s="247" t="s">
        <v>405</v>
      </c>
      <c r="D21" s="246" t="s">
        <v>386</v>
      </c>
    </row>
    <row r="22" spans="1:4" ht="16.5" hidden="1" thickBot="1">
      <c r="A22" s="252">
        <v>929689240405</v>
      </c>
      <c r="B22" s="252">
        <v>929689240405</v>
      </c>
      <c r="C22" s="247" t="s">
        <v>406</v>
      </c>
      <c r="D22" s="246" t="s">
        <v>386</v>
      </c>
    </row>
    <row r="23" spans="1:4" ht="16.5" hidden="1" thickBot="1">
      <c r="A23" s="252">
        <v>929689240505</v>
      </c>
      <c r="B23" s="252">
        <v>929689240505</v>
      </c>
      <c r="C23" s="247" t="s">
        <v>407</v>
      </c>
      <c r="D23" s="246" t="s">
        <v>386</v>
      </c>
    </row>
    <row r="24" spans="1:4" ht="16.5" hidden="1" thickBot="1">
      <c r="A24" s="252">
        <v>929689240605</v>
      </c>
      <c r="B24" s="252">
        <v>929689240605</v>
      </c>
      <c r="C24" s="247" t="s">
        <v>408</v>
      </c>
      <c r="D24" s="246" t="s">
        <v>386</v>
      </c>
    </row>
    <row r="25" spans="1:4" ht="16.5" hidden="1" thickBot="1">
      <c r="A25" s="252">
        <v>929689381503</v>
      </c>
      <c r="B25" s="252">
        <v>929689381503</v>
      </c>
      <c r="C25" s="247" t="s">
        <v>409</v>
      </c>
      <c r="D25" s="246" t="s">
        <v>386</v>
      </c>
    </row>
    <row r="26" spans="1:4" ht="16.5" hidden="1" thickBot="1">
      <c r="A26" s="252">
        <v>929689381603</v>
      </c>
      <c r="B26" s="252">
        <v>929689381603</v>
      </c>
      <c r="C26" s="247" t="s">
        <v>410</v>
      </c>
      <c r="D26" s="246" t="s">
        <v>386</v>
      </c>
    </row>
    <row r="27" spans="1:4" ht="16.5" hidden="1" thickBot="1">
      <c r="A27" s="252">
        <v>929689848110</v>
      </c>
      <c r="B27" s="252">
        <v>929689848110</v>
      </c>
      <c r="C27" s="247" t="s">
        <v>411</v>
      </c>
      <c r="D27" s="246" t="s">
        <v>386</v>
      </c>
    </row>
    <row r="28" spans="1:4" ht="16.5" hidden="1" thickBot="1">
      <c r="A28" s="252">
        <v>929689848210</v>
      </c>
      <c r="B28" s="252">
        <v>929689848210</v>
      </c>
      <c r="C28" s="247" t="s">
        <v>412</v>
      </c>
      <c r="D28" s="246" t="s">
        <v>386</v>
      </c>
    </row>
    <row r="29" spans="1:4" ht="16.5" hidden="1" thickBot="1">
      <c r="A29" s="252">
        <v>929689848312</v>
      </c>
      <c r="B29" s="252">
        <v>929689848312</v>
      </c>
      <c r="C29" s="247" t="s">
        <v>413</v>
      </c>
      <c r="D29" s="246" t="s">
        <v>386</v>
      </c>
    </row>
    <row r="30" spans="1:4" ht="16.5" hidden="1" thickBot="1">
      <c r="A30" s="252">
        <v>929689848510</v>
      </c>
      <c r="B30" s="252">
        <v>929689848510</v>
      </c>
      <c r="C30" s="247" t="s">
        <v>414</v>
      </c>
      <c r="D30" s="246" t="s">
        <v>386</v>
      </c>
    </row>
    <row r="31" spans="1:4" ht="16.5" hidden="1" thickBot="1">
      <c r="A31" s="252">
        <v>929689868405</v>
      </c>
      <c r="B31" s="252">
        <v>929689868405</v>
      </c>
      <c r="C31" s="247" t="s">
        <v>415</v>
      </c>
      <c r="D31" s="246" t="s">
        <v>386</v>
      </c>
    </row>
    <row r="32" spans="1:4" ht="16.5" hidden="1" thickBot="1">
      <c r="A32" s="252">
        <v>929689868505</v>
      </c>
      <c r="B32" s="252">
        <v>929689868505</v>
      </c>
      <c r="C32" s="247" t="s">
        <v>416</v>
      </c>
      <c r="D32" s="246" t="s">
        <v>386</v>
      </c>
    </row>
    <row r="33" spans="1:5" ht="16.5" hidden="1" thickBot="1">
      <c r="A33" s="252" t="s">
        <v>417</v>
      </c>
      <c r="B33" s="252" t="s">
        <v>418</v>
      </c>
      <c r="C33" s="247" t="s">
        <v>419</v>
      </c>
      <c r="D33" s="246" t="s">
        <v>420</v>
      </c>
    </row>
    <row r="34" spans="1:5" ht="16.5" hidden="1" thickBot="1">
      <c r="A34" s="252">
        <v>2980</v>
      </c>
      <c r="B34" s="252" t="s">
        <v>421</v>
      </c>
      <c r="C34" s="247" t="s">
        <v>422</v>
      </c>
      <c r="D34" s="246" t="s">
        <v>420</v>
      </c>
    </row>
    <row r="35" spans="1:5" ht="16.5" hidden="1" thickBot="1">
      <c r="A35" s="252">
        <v>4811</v>
      </c>
      <c r="B35" s="252" t="s">
        <v>423</v>
      </c>
      <c r="C35" s="247" t="s">
        <v>424</v>
      </c>
      <c r="D35" s="246" t="s">
        <v>420</v>
      </c>
    </row>
    <row r="36" spans="1:5" ht="16.5" hidden="1" thickBot="1">
      <c r="A36" s="252" t="s">
        <v>425</v>
      </c>
      <c r="B36" s="252" t="s">
        <v>426</v>
      </c>
      <c r="C36" s="247" t="s">
        <v>427</v>
      </c>
      <c r="D36" s="246" t="s">
        <v>420</v>
      </c>
    </row>
    <row r="37" spans="1:5" ht="17.25" hidden="1" thickBot="1">
      <c r="A37" s="252">
        <v>4902</v>
      </c>
      <c r="B37" s="252" t="s">
        <v>428</v>
      </c>
      <c r="C37" s="247" t="s">
        <v>15</v>
      </c>
      <c r="D37" s="246" t="s">
        <v>420</v>
      </c>
      <c r="E37" s="15"/>
    </row>
    <row r="38" spans="1:5" ht="16.5" hidden="1" thickBot="1">
      <c r="A38" s="252" t="s">
        <v>429</v>
      </c>
      <c r="B38" s="252" t="s">
        <v>430</v>
      </c>
      <c r="C38" s="247" t="s">
        <v>431</v>
      </c>
      <c r="D38" s="246" t="s">
        <v>420</v>
      </c>
    </row>
    <row r="39" spans="1:5" ht="16.5" hidden="1" thickBot="1">
      <c r="A39" s="252" t="s">
        <v>432</v>
      </c>
      <c r="B39" s="252" t="s">
        <v>433</v>
      </c>
      <c r="C39" s="247" t="s">
        <v>434</v>
      </c>
      <c r="D39" s="246" t="s">
        <v>420</v>
      </c>
    </row>
    <row r="40" spans="1:5" ht="16.5" hidden="1" thickBot="1">
      <c r="A40" s="252">
        <v>4911</v>
      </c>
      <c r="B40" s="252" t="s">
        <v>435</v>
      </c>
      <c r="C40" s="247" t="s">
        <v>436</v>
      </c>
      <c r="D40" s="246" t="s">
        <v>420</v>
      </c>
    </row>
    <row r="41" spans="1:5" ht="16.5" hidden="1" thickBot="1">
      <c r="A41" s="252" t="s">
        <v>437</v>
      </c>
      <c r="B41" s="252" t="s">
        <v>438</v>
      </c>
      <c r="C41" s="247" t="s">
        <v>439</v>
      </c>
      <c r="D41" s="246" t="s">
        <v>440</v>
      </c>
    </row>
    <row r="42" spans="1:5" ht="16.5" hidden="1" thickBot="1">
      <c r="A42" s="252">
        <v>4920</v>
      </c>
      <c r="B42" s="252" t="s">
        <v>441</v>
      </c>
      <c r="C42" s="247" t="s">
        <v>15</v>
      </c>
      <c r="D42" s="246" t="s">
        <v>420</v>
      </c>
    </row>
    <row r="43" spans="1:5" ht="16.5" hidden="1" thickBot="1">
      <c r="A43" s="252">
        <v>541</v>
      </c>
      <c r="B43" s="252" t="s">
        <v>442</v>
      </c>
      <c r="C43" s="247" t="s">
        <v>443</v>
      </c>
      <c r="D43" s="246" t="s">
        <v>420</v>
      </c>
    </row>
    <row r="44" spans="1:5" ht="16.5" hidden="1" thickBot="1">
      <c r="A44" s="252">
        <v>550</v>
      </c>
      <c r="B44" s="252" t="s">
        <v>444</v>
      </c>
      <c r="C44" s="247" t="s">
        <v>445</v>
      </c>
      <c r="D44" s="246" t="s">
        <v>420</v>
      </c>
    </row>
    <row r="45" spans="1:5" ht="16.5" hidden="1" thickBot="1">
      <c r="A45" s="252">
        <v>553</v>
      </c>
      <c r="B45" s="252" t="s">
        <v>446</v>
      </c>
      <c r="C45" s="247" t="s">
        <v>447</v>
      </c>
      <c r="D45" s="246" t="s">
        <v>420</v>
      </c>
    </row>
    <row r="46" spans="1:5" ht="16.5" hidden="1" thickBot="1">
      <c r="A46" s="252">
        <v>583</v>
      </c>
      <c r="B46" s="252" t="s">
        <v>448</v>
      </c>
      <c r="C46" s="247" t="s">
        <v>449</v>
      </c>
      <c r="D46" s="246" t="s">
        <v>420</v>
      </c>
    </row>
    <row r="47" spans="1:5" ht="16.5" hidden="1" thickBot="1">
      <c r="A47" s="252">
        <v>5910</v>
      </c>
      <c r="B47" s="252" t="s">
        <v>450</v>
      </c>
      <c r="C47" s="247" t="s">
        <v>451</v>
      </c>
      <c r="D47" s="246" t="s">
        <v>420</v>
      </c>
    </row>
    <row r="48" spans="1:5" ht="16.5" hidden="1" thickBot="1">
      <c r="A48" s="252" t="s">
        <v>452</v>
      </c>
      <c r="B48" s="252" t="s">
        <v>453</v>
      </c>
      <c r="C48" s="247" t="s">
        <v>454</v>
      </c>
      <c r="D48" s="246" t="s">
        <v>420</v>
      </c>
    </row>
    <row r="49" spans="1:4" ht="16.5" hidden="1" thickBot="1">
      <c r="A49" s="252">
        <v>5980</v>
      </c>
      <c r="B49" s="252" t="s">
        <v>455</v>
      </c>
      <c r="C49" s="247" t="s">
        <v>110</v>
      </c>
      <c r="D49" s="246" t="s">
        <v>420</v>
      </c>
    </row>
    <row r="50" spans="1:4" ht="16.5" hidden="1" thickBot="1">
      <c r="A50" s="252">
        <v>5981</v>
      </c>
      <c r="B50" s="252" t="s">
        <v>109</v>
      </c>
      <c r="C50" s="247" t="s">
        <v>110</v>
      </c>
      <c r="D50" s="246" t="s">
        <v>420</v>
      </c>
    </row>
    <row r="51" spans="1:4" ht="16.5" hidden="1" thickBot="1">
      <c r="A51" s="252" t="s">
        <v>456</v>
      </c>
      <c r="B51" s="252" t="s">
        <v>457</v>
      </c>
      <c r="C51" s="247" t="s">
        <v>458</v>
      </c>
      <c r="D51" s="246" t="s">
        <v>420</v>
      </c>
    </row>
    <row r="52" spans="1:4" ht="16.5" hidden="1" thickBot="1">
      <c r="A52" s="252">
        <v>6901</v>
      </c>
      <c r="B52" s="252" t="s">
        <v>459</v>
      </c>
      <c r="C52" s="247" t="s">
        <v>19</v>
      </c>
      <c r="D52" s="246" t="s">
        <v>420</v>
      </c>
    </row>
    <row r="53" spans="1:4" ht="16.5" hidden="1" thickBot="1">
      <c r="A53" s="252">
        <v>1826580</v>
      </c>
      <c r="B53" s="252" t="s">
        <v>460</v>
      </c>
      <c r="C53" s="247" t="s">
        <v>105</v>
      </c>
      <c r="D53" s="246" t="s">
        <v>420</v>
      </c>
    </row>
    <row r="54" spans="1:4" ht="16.5" hidden="1" thickBot="1">
      <c r="A54" s="252">
        <v>6902</v>
      </c>
      <c r="B54" s="252" t="s">
        <v>461</v>
      </c>
      <c r="C54" s="247" t="s">
        <v>19</v>
      </c>
      <c r="D54" s="246" t="s">
        <v>420</v>
      </c>
    </row>
    <row r="55" spans="1:4" ht="16.5" hidden="1" thickBot="1">
      <c r="A55" s="252" t="s">
        <v>462</v>
      </c>
      <c r="B55" s="252" t="s">
        <v>17</v>
      </c>
      <c r="C55" s="247" t="s">
        <v>18</v>
      </c>
      <c r="D55" s="246" t="s">
        <v>420</v>
      </c>
    </row>
    <row r="56" spans="1:4" ht="16.5" hidden="1" thickBot="1">
      <c r="A56" s="252" t="s">
        <v>463</v>
      </c>
      <c r="B56" s="252" t="s">
        <v>464</v>
      </c>
      <c r="C56" s="247" t="s">
        <v>465</v>
      </c>
      <c r="D56" s="246" t="s">
        <v>420</v>
      </c>
    </row>
    <row r="57" spans="1:4" ht="16.5" hidden="1" thickBot="1">
      <c r="A57" s="252" t="s">
        <v>466</v>
      </c>
      <c r="B57" s="252" t="s">
        <v>467</v>
      </c>
      <c r="C57" s="247" t="s">
        <v>468</v>
      </c>
      <c r="D57" s="246" t="s">
        <v>420</v>
      </c>
    </row>
    <row r="58" spans="1:4" ht="16.5" hidden="1" thickBot="1">
      <c r="A58" s="252">
        <v>6910</v>
      </c>
      <c r="B58" s="252" t="s">
        <v>469</v>
      </c>
      <c r="C58" s="247" t="s">
        <v>470</v>
      </c>
      <c r="D58" s="246" t="s">
        <v>420</v>
      </c>
    </row>
    <row r="59" spans="1:4" ht="16.5" hidden="1" thickBot="1">
      <c r="A59" s="252">
        <v>6910</v>
      </c>
      <c r="B59" s="252" t="s">
        <v>471</v>
      </c>
      <c r="C59" s="247" t="s">
        <v>472</v>
      </c>
      <c r="D59" s="246" t="s">
        <v>420</v>
      </c>
    </row>
    <row r="60" spans="1:4" ht="16.5" hidden="1" thickBot="1">
      <c r="A60" s="252">
        <v>6911</v>
      </c>
      <c r="B60" s="252" t="s">
        <v>473</v>
      </c>
      <c r="C60" s="247" t="s">
        <v>18</v>
      </c>
      <c r="D60" s="246" t="s">
        <v>420</v>
      </c>
    </row>
    <row r="61" spans="1:4" ht="16.5" hidden="1" thickBot="1">
      <c r="A61" s="252" t="s">
        <v>474</v>
      </c>
      <c r="B61" s="252" t="s">
        <v>475</v>
      </c>
      <c r="C61" s="247" t="s">
        <v>465</v>
      </c>
      <c r="D61" s="246" t="s">
        <v>420</v>
      </c>
    </row>
    <row r="62" spans="1:4" ht="16.5" hidden="1" thickBot="1">
      <c r="A62" s="252" t="s">
        <v>476</v>
      </c>
      <c r="B62" s="252" t="s">
        <v>477</v>
      </c>
      <c r="C62" s="247" t="s">
        <v>478</v>
      </c>
      <c r="D62" s="246" t="s">
        <v>420</v>
      </c>
    </row>
    <row r="63" spans="1:4" ht="16.5" hidden="1" thickBot="1">
      <c r="A63" s="252">
        <v>6911</v>
      </c>
      <c r="B63" s="252" t="s">
        <v>479</v>
      </c>
      <c r="C63" s="247" t="s">
        <v>19</v>
      </c>
      <c r="D63" s="246" t="s">
        <v>420</v>
      </c>
    </row>
    <row r="64" spans="1:4" ht="16.5" hidden="1" thickBot="1">
      <c r="A64" s="252">
        <v>6911</v>
      </c>
      <c r="B64" s="252" t="s">
        <v>480</v>
      </c>
      <c r="C64" s="247" t="s">
        <v>481</v>
      </c>
      <c r="D64" s="246" t="s">
        <v>420</v>
      </c>
    </row>
    <row r="65" spans="1:4" ht="16.5" hidden="1" thickBot="1">
      <c r="A65" s="252">
        <v>6912</v>
      </c>
      <c r="B65" s="252" t="s">
        <v>102</v>
      </c>
      <c r="C65" s="247" t="s">
        <v>482</v>
      </c>
      <c r="D65" s="246" t="s">
        <v>420</v>
      </c>
    </row>
    <row r="66" spans="1:4" ht="16.5" hidden="1" thickBot="1">
      <c r="A66" s="252">
        <v>6915</v>
      </c>
      <c r="B66" s="252" t="s">
        <v>483</v>
      </c>
      <c r="C66" s="247" t="s">
        <v>20</v>
      </c>
      <c r="D66" s="246" t="s">
        <v>420</v>
      </c>
    </row>
    <row r="67" spans="1:4" ht="16.5" hidden="1" thickBot="1">
      <c r="A67" s="252">
        <v>6915</v>
      </c>
      <c r="B67" s="252" t="s">
        <v>21</v>
      </c>
      <c r="C67" s="247" t="s">
        <v>484</v>
      </c>
      <c r="D67" s="246" t="s">
        <v>420</v>
      </c>
    </row>
    <row r="68" spans="1:4" ht="16.5" hidden="1" thickBot="1">
      <c r="A68" s="252">
        <v>6920</v>
      </c>
      <c r="B68" s="252" t="s">
        <v>485</v>
      </c>
      <c r="C68" s="247" t="s">
        <v>486</v>
      </c>
      <c r="D68" s="246" t="s">
        <v>420</v>
      </c>
    </row>
    <row r="69" spans="1:4" ht="27.75" hidden="1" thickBot="1">
      <c r="A69" s="252">
        <v>6921</v>
      </c>
      <c r="B69" s="252" t="s">
        <v>487</v>
      </c>
      <c r="C69" s="247" t="s">
        <v>488</v>
      </c>
      <c r="D69" s="255" t="s">
        <v>878</v>
      </c>
    </row>
    <row r="70" spans="1:4" ht="16.5" hidden="1" thickBot="1">
      <c r="A70" s="252">
        <v>6922</v>
      </c>
      <c r="B70" s="252" t="s">
        <v>489</v>
      </c>
      <c r="C70" s="247" t="s">
        <v>490</v>
      </c>
      <c r="D70" s="246" t="s">
        <v>420</v>
      </c>
    </row>
    <row r="71" spans="1:4" ht="16.5" hidden="1" thickBot="1">
      <c r="A71" s="252">
        <v>8041</v>
      </c>
      <c r="B71" s="252" t="s">
        <v>97</v>
      </c>
      <c r="C71" s="247" t="s">
        <v>98</v>
      </c>
      <c r="D71" s="246" t="s">
        <v>420</v>
      </c>
    </row>
    <row r="72" spans="1:4" ht="16.5" hidden="1" thickBot="1">
      <c r="A72" s="252" t="s">
        <v>491</v>
      </c>
      <c r="B72" s="252" t="s">
        <v>89</v>
      </c>
      <c r="C72" s="247" t="s">
        <v>90</v>
      </c>
      <c r="D72" s="246" t="s">
        <v>492</v>
      </c>
    </row>
    <row r="73" spans="1:4" ht="16.5" hidden="1" thickBot="1">
      <c r="A73" s="252">
        <v>912</v>
      </c>
      <c r="B73" s="252" t="s">
        <v>493</v>
      </c>
      <c r="C73" s="247" t="s">
        <v>494</v>
      </c>
      <c r="D73" s="246" t="s">
        <v>420</v>
      </c>
    </row>
    <row r="74" spans="1:4" ht="16.5" hidden="1" thickBot="1">
      <c r="A74" s="252">
        <v>913</v>
      </c>
      <c r="B74" s="252" t="s">
        <v>495</v>
      </c>
      <c r="C74" s="247" t="s">
        <v>496</v>
      </c>
      <c r="D74" s="246" t="s">
        <v>420</v>
      </c>
    </row>
    <row r="75" spans="1:4" ht="16.5" hidden="1" thickBot="1">
      <c r="A75" s="252">
        <v>1211</v>
      </c>
      <c r="B75" s="252" t="s">
        <v>497</v>
      </c>
      <c r="C75" s="247" t="s">
        <v>498</v>
      </c>
      <c r="D75" s="246" t="s">
        <v>420</v>
      </c>
    </row>
    <row r="76" spans="1:4" ht="16.5" hidden="1" thickBot="1">
      <c r="A76" s="252">
        <v>2015</v>
      </c>
      <c r="B76" s="252" t="s">
        <v>499</v>
      </c>
      <c r="C76" s="247" t="s">
        <v>86</v>
      </c>
      <c r="D76" s="246" t="s">
        <v>420</v>
      </c>
    </row>
    <row r="77" spans="1:4" ht="16.5" hidden="1" thickBot="1">
      <c r="A77" s="252" t="s">
        <v>500</v>
      </c>
      <c r="B77" s="252" t="s">
        <v>501</v>
      </c>
      <c r="C77" s="247" t="s">
        <v>86</v>
      </c>
      <c r="D77" s="246" t="s">
        <v>420</v>
      </c>
    </row>
    <row r="78" spans="1:4" ht="16.5" hidden="1" thickBot="1">
      <c r="A78" s="252" t="s">
        <v>502</v>
      </c>
      <c r="B78" s="252" t="s">
        <v>503</v>
      </c>
      <c r="C78" s="247" t="s">
        <v>504</v>
      </c>
      <c r="D78" s="246" t="s">
        <v>420</v>
      </c>
    </row>
    <row r="79" spans="1:4" ht="16.5" hidden="1" thickBot="1">
      <c r="A79" s="252" t="s">
        <v>505</v>
      </c>
      <c r="B79" s="252" t="s">
        <v>85</v>
      </c>
      <c r="C79" s="247" t="s">
        <v>86</v>
      </c>
      <c r="D79" s="246" t="s">
        <v>420</v>
      </c>
    </row>
    <row r="80" spans="1:4" ht="16.5" hidden="1" thickBot="1">
      <c r="A80" s="252" t="s">
        <v>506</v>
      </c>
      <c r="B80" s="252" t="s">
        <v>507</v>
      </c>
      <c r="C80" s="247" t="s">
        <v>92</v>
      </c>
      <c r="D80" s="246" t="s">
        <v>420</v>
      </c>
    </row>
    <row r="81" spans="1:4" ht="16.5" hidden="1" thickBot="1">
      <c r="A81" s="252" t="s">
        <v>508</v>
      </c>
      <c r="B81" s="252" t="s">
        <v>107</v>
      </c>
      <c r="C81" s="247" t="s">
        <v>108</v>
      </c>
      <c r="D81" s="246" t="s">
        <v>420</v>
      </c>
    </row>
    <row r="82" spans="1:4" ht="16.5" hidden="1" thickBot="1">
      <c r="A82" s="252">
        <v>706</v>
      </c>
      <c r="B82" s="252" t="s">
        <v>509</v>
      </c>
      <c r="C82" s="247" t="s">
        <v>510</v>
      </c>
      <c r="D82" s="246" t="s">
        <v>420</v>
      </c>
    </row>
    <row r="83" spans="1:4" ht="16.5" hidden="1" thickBot="1">
      <c r="A83" s="252" t="s">
        <v>511</v>
      </c>
      <c r="B83" s="252" t="s">
        <v>91</v>
      </c>
      <c r="C83" s="247" t="s">
        <v>92</v>
      </c>
      <c r="D83" s="246" t="s">
        <v>420</v>
      </c>
    </row>
    <row r="84" spans="1:4" ht="16.5" hidden="1" thickBot="1">
      <c r="A84" s="252" t="s">
        <v>512</v>
      </c>
      <c r="B84" s="252" t="s">
        <v>513</v>
      </c>
      <c r="C84" s="247" t="s">
        <v>514</v>
      </c>
      <c r="D84" s="246" t="s">
        <v>420</v>
      </c>
    </row>
    <row r="85" spans="1:4" ht="16.5" hidden="1" thickBot="1">
      <c r="A85" s="252" t="s">
        <v>515</v>
      </c>
      <c r="B85" s="252" t="s">
        <v>516</v>
      </c>
      <c r="C85" s="247" t="s">
        <v>517</v>
      </c>
      <c r="D85" s="246" t="s">
        <v>420</v>
      </c>
    </row>
    <row r="86" spans="1:4" ht="16.5" hidden="1" thickBot="1">
      <c r="A86" s="252" t="s">
        <v>518</v>
      </c>
      <c r="B86" s="252" t="s">
        <v>519</v>
      </c>
      <c r="C86" s="247" t="s">
        <v>520</v>
      </c>
      <c r="D86" s="246" t="s">
        <v>420</v>
      </c>
    </row>
    <row r="87" spans="1:4" ht="16.5" hidden="1" thickBot="1">
      <c r="A87" s="252" t="s">
        <v>521</v>
      </c>
      <c r="B87" s="252" t="s">
        <v>522</v>
      </c>
      <c r="C87" s="247" t="s">
        <v>523</v>
      </c>
      <c r="D87" s="246" t="s">
        <v>420</v>
      </c>
    </row>
    <row r="88" spans="1:4" ht="16.5" hidden="1" thickBot="1">
      <c r="A88" s="252" t="s">
        <v>524</v>
      </c>
      <c r="B88" s="252" t="s">
        <v>525</v>
      </c>
      <c r="C88" s="247" t="s">
        <v>526</v>
      </c>
      <c r="D88" s="246" t="s">
        <v>420</v>
      </c>
    </row>
    <row r="89" spans="1:4" ht="16.5" hidden="1" thickBot="1">
      <c r="A89" s="252">
        <v>200</v>
      </c>
      <c r="B89" s="252" t="s">
        <v>527</v>
      </c>
      <c r="C89" s="247" t="s">
        <v>528</v>
      </c>
      <c r="D89" s="246" t="s">
        <v>420</v>
      </c>
    </row>
    <row r="90" spans="1:4" ht="16.5" hidden="1" thickBot="1">
      <c r="A90" s="252">
        <v>175</v>
      </c>
      <c r="B90" s="252" t="s">
        <v>529</v>
      </c>
      <c r="C90" s="247" t="s">
        <v>530</v>
      </c>
      <c r="D90" s="246" t="s">
        <v>420</v>
      </c>
    </row>
    <row r="91" spans="1:4" ht="16.5" hidden="1" thickBot="1">
      <c r="A91" s="252">
        <v>1751</v>
      </c>
      <c r="B91" s="252" t="s">
        <v>531</v>
      </c>
      <c r="C91" s="247" t="s">
        <v>530</v>
      </c>
      <c r="D91" s="246" t="s">
        <v>420</v>
      </c>
    </row>
    <row r="92" spans="1:4" ht="16.5" hidden="1" thickBot="1">
      <c r="A92" s="252">
        <v>1775</v>
      </c>
      <c r="B92" s="252" t="s">
        <v>22</v>
      </c>
      <c r="C92" s="247" t="s">
        <v>23</v>
      </c>
      <c r="D92" s="246" t="s">
        <v>420</v>
      </c>
    </row>
    <row r="93" spans="1:4" ht="16.5" hidden="1" thickBot="1">
      <c r="A93" s="252" t="s">
        <v>532</v>
      </c>
      <c r="B93" s="252" t="s">
        <v>24</v>
      </c>
      <c r="C93" s="247" t="s">
        <v>23</v>
      </c>
      <c r="D93" s="246" t="s">
        <v>420</v>
      </c>
    </row>
    <row r="94" spans="1:4" ht="16.5" hidden="1" thickBot="1">
      <c r="A94" s="252" t="s">
        <v>533</v>
      </c>
      <c r="B94" s="252" t="s">
        <v>25</v>
      </c>
      <c r="C94" s="247" t="s">
        <v>58</v>
      </c>
      <c r="D94" s="246" t="s">
        <v>420</v>
      </c>
    </row>
    <row r="95" spans="1:4" ht="16.5" hidden="1" thickBot="1">
      <c r="A95" s="252">
        <v>1775</v>
      </c>
      <c r="B95" s="252" t="s">
        <v>534</v>
      </c>
      <c r="C95" s="247" t="s">
        <v>535</v>
      </c>
      <c r="D95" s="246" t="s">
        <v>420</v>
      </c>
    </row>
    <row r="96" spans="1:4" ht="16.5" hidden="1" thickBot="1">
      <c r="A96" s="252">
        <v>1775</v>
      </c>
      <c r="B96" s="252" t="s">
        <v>536</v>
      </c>
      <c r="C96" s="247" t="s">
        <v>537</v>
      </c>
      <c r="D96" s="246" t="s">
        <v>420</v>
      </c>
    </row>
    <row r="97" spans="1:4" ht="16.5" hidden="1" thickBot="1">
      <c r="A97" s="252">
        <v>201</v>
      </c>
      <c r="B97" s="252" t="s">
        <v>538</v>
      </c>
      <c r="C97" s="247" t="s">
        <v>539</v>
      </c>
      <c r="D97" s="246" t="s">
        <v>420</v>
      </c>
    </row>
    <row r="98" spans="1:4" ht="16.5" hidden="1" thickBot="1">
      <c r="A98" s="252" t="s">
        <v>540</v>
      </c>
      <c r="B98" s="252" t="s">
        <v>541</v>
      </c>
      <c r="C98" s="247" t="s">
        <v>16</v>
      </c>
      <c r="D98" s="246" t="s">
        <v>420</v>
      </c>
    </row>
    <row r="99" spans="1:4" ht="16.5" hidden="1" thickBot="1">
      <c r="A99" s="252">
        <v>211</v>
      </c>
      <c r="B99" s="252" t="s">
        <v>542</v>
      </c>
      <c r="C99" s="247" t="s">
        <v>26</v>
      </c>
      <c r="D99" s="246" t="s">
        <v>420</v>
      </c>
    </row>
    <row r="100" spans="1:4" ht="16.5" hidden="1" thickBot="1">
      <c r="A100" s="252" t="s">
        <v>543</v>
      </c>
      <c r="B100" s="252" t="s">
        <v>27</v>
      </c>
      <c r="C100" s="247" t="s">
        <v>544</v>
      </c>
      <c r="D100" s="246" t="s">
        <v>420</v>
      </c>
    </row>
    <row r="101" spans="1:4" ht="16.5" hidden="1" thickBot="1">
      <c r="A101" s="252">
        <v>212</v>
      </c>
      <c r="B101" s="252" t="s">
        <v>545</v>
      </c>
      <c r="C101" s="247" t="s">
        <v>539</v>
      </c>
      <c r="D101" s="246" t="s">
        <v>420</v>
      </c>
    </row>
    <row r="102" spans="1:4" ht="16.5" hidden="1" thickBot="1">
      <c r="A102" s="252" t="s">
        <v>546</v>
      </c>
      <c r="B102" s="252" t="s">
        <v>547</v>
      </c>
      <c r="C102" s="247" t="s">
        <v>548</v>
      </c>
      <c r="D102" s="246" t="s">
        <v>420</v>
      </c>
    </row>
    <row r="103" spans="1:4" ht="16.5" hidden="1" thickBot="1">
      <c r="A103" s="252">
        <v>260</v>
      </c>
      <c r="B103" s="252" t="s">
        <v>549</v>
      </c>
      <c r="C103" s="247" t="s">
        <v>539</v>
      </c>
      <c r="D103" s="246" t="s">
        <v>420</v>
      </c>
    </row>
    <row r="104" spans="1:4" ht="16.5" hidden="1" thickBot="1">
      <c r="A104" s="252">
        <v>2754</v>
      </c>
      <c r="B104" s="252" t="s">
        <v>550</v>
      </c>
      <c r="C104" s="247" t="s">
        <v>551</v>
      </c>
      <c r="D104" s="246" t="s">
        <v>440</v>
      </c>
    </row>
    <row r="105" spans="1:4" ht="16.5" hidden="1" thickBot="1">
      <c r="A105" s="252" t="s">
        <v>552</v>
      </c>
      <c r="B105" s="252" t="s">
        <v>553</v>
      </c>
      <c r="C105" s="247" t="s">
        <v>554</v>
      </c>
      <c r="D105" s="246" t="s">
        <v>440</v>
      </c>
    </row>
    <row r="106" spans="1:4" ht="16.5" hidden="1" thickBot="1">
      <c r="A106" s="252">
        <v>372609</v>
      </c>
      <c r="B106" s="252" t="s">
        <v>28</v>
      </c>
      <c r="C106" s="247" t="s">
        <v>29</v>
      </c>
      <c r="D106" s="246" t="s">
        <v>420</v>
      </c>
    </row>
    <row r="107" spans="1:4" ht="16.5" hidden="1" thickBot="1">
      <c r="A107" s="252" t="s">
        <v>555</v>
      </c>
      <c r="B107" s="252" t="s">
        <v>556</v>
      </c>
      <c r="C107" s="247" t="s">
        <v>557</v>
      </c>
      <c r="D107" s="246" t="s">
        <v>420</v>
      </c>
    </row>
    <row r="108" spans="1:4" ht="16.5" hidden="1" thickBot="1">
      <c r="A108" s="252" t="s">
        <v>558</v>
      </c>
      <c r="B108" s="252" t="s">
        <v>559</v>
      </c>
      <c r="C108" s="247" t="s">
        <v>528</v>
      </c>
      <c r="D108" s="246" t="s">
        <v>420</v>
      </c>
    </row>
    <row r="109" spans="1:4" ht="16.5" hidden="1" thickBot="1">
      <c r="A109" s="252">
        <v>2935</v>
      </c>
      <c r="B109" s="252" t="s">
        <v>30</v>
      </c>
      <c r="C109" s="247" t="s">
        <v>29</v>
      </c>
      <c r="D109" s="246" t="s">
        <v>420</v>
      </c>
    </row>
    <row r="110" spans="1:4" ht="16.5" hidden="1" thickBot="1">
      <c r="A110" s="252" t="s">
        <v>560</v>
      </c>
      <c r="B110" s="252" t="s">
        <v>561</v>
      </c>
      <c r="C110" s="247" t="s">
        <v>562</v>
      </c>
      <c r="D110" s="246" t="s">
        <v>420</v>
      </c>
    </row>
    <row r="111" spans="1:4" ht="16.5" hidden="1" thickBot="1">
      <c r="A111" s="252" t="s">
        <v>563</v>
      </c>
      <c r="B111" s="252" t="s">
        <v>564</v>
      </c>
      <c r="C111" s="247" t="s">
        <v>565</v>
      </c>
      <c r="D111" s="246" t="s">
        <v>420</v>
      </c>
    </row>
    <row r="112" spans="1:4" ht="16.5" hidden="1" thickBot="1">
      <c r="A112" s="252" t="s">
        <v>566</v>
      </c>
      <c r="B112" s="252" t="s">
        <v>567</v>
      </c>
      <c r="C112" s="247" t="s">
        <v>568</v>
      </c>
      <c r="D112" s="246" t="s">
        <v>420</v>
      </c>
    </row>
    <row r="113" spans="1:4" ht="16.5" hidden="1" thickBot="1">
      <c r="A113" s="252" t="s">
        <v>560</v>
      </c>
      <c r="B113" s="252" t="s">
        <v>569</v>
      </c>
      <c r="C113" s="247" t="s">
        <v>570</v>
      </c>
      <c r="D113" s="246" t="s">
        <v>420</v>
      </c>
    </row>
    <row r="114" spans="1:4" ht="16.5" hidden="1" thickBot="1">
      <c r="A114" s="252">
        <v>2937</v>
      </c>
      <c r="B114" s="252" t="s">
        <v>571</v>
      </c>
      <c r="C114" s="247" t="s">
        <v>572</v>
      </c>
      <c r="D114" s="246" t="s">
        <v>420</v>
      </c>
    </row>
    <row r="115" spans="1:4" ht="16.5" hidden="1" thickBot="1">
      <c r="A115" s="252" t="s">
        <v>417</v>
      </c>
      <c r="B115" s="252" t="s">
        <v>573</v>
      </c>
      <c r="C115" s="247" t="s">
        <v>574</v>
      </c>
      <c r="D115" s="246" t="s">
        <v>420</v>
      </c>
    </row>
    <row r="116" spans="1:4" ht="16.5" hidden="1" thickBot="1">
      <c r="A116" s="252" t="s">
        <v>575</v>
      </c>
      <c r="B116" s="252" t="s">
        <v>576</v>
      </c>
      <c r="C116" s="247" t="s">
        <v>577</v>
      </c>
      <c r="D116" s="246" t="s">
        <v>420</v>
      </c>
    </row>
    <row r="117" spans="1:4" ht="16.5" hidden="1" thickBot="1">
      <c r="A117" s="252">
        <v>294</v>
      </c>
      <c r="B117" s="252" t="s">
        <v>578</v>
      </c>
      <c r="C117" s="247" t="s">
        <v>31</v>
      </c>
      <c r="D117" s="246" t="s">
        <v>420</v>
      </c>
    </row>
    <row r="118" spans="1:4" ht="16.5" hidden="1" thickBot="1">
      <c r="A118" s="252" t="s">
        <v>579</v>
      </c>
      <c r="B118" s="252" t="s">
        <v>580</v>
      </c>
      <c r="C118" s="247" t="s">
        <v>581</v>
      </c>
      <c r="D118" s="246" t="s">
        <v>420</v>
      </c>
    </row>
    <row r="119" spans="1:4" ht="16.5" hidden="1" thickBot="1">
      <c r="A119" s="252">
        <v>390871</v>
      </c>
      <c r="B119" s="252" t="s">
        <v>32</v>
      </c>
      <c r="C119" s="247" t="s">
        <v>29</v>
      </c>
      <c r="D119" s="246" t="s">
        <v>420</v>
      </c>
    </row>
    <row r="120" spans="1:4" ht="16.5" hidden="1" thickBot="1">
      <c r="A120" s="252" t="s">
        <v>582</v>
      </c>
      <c r="B120" s="252" t="s">
        <v>33</v>
      </c>
      <c r="C120" s="247" t="s">
        <v>34</v>
      </c>
      <c r="D120" s="246" t="s">
        <v>420</v>
      </c>
    </row>
    <row r="121" spans="1:4" ht="16.5" hidden="1" thickBot="1">
      <c r="A121" s="252">
        <v>2980</v>
      </c>
      <c r="B121" s="252" t="s">
        <v>583</v>
      </c>
      <c r="C121" s="247" t="s">
        <v>584</v>
      </c>
      <c r="D121" s="246" t="s">
        <v>420</v>
      </c>
    </row>
    <row r="122" spans="1:4" ht="16.5" hidden="1" thickBot="1">
      <c r="A122" s="252">
        <v>305</v>
      </c>
      <c r="B122" s="252" t="s">
        <v>87</v>
      </c>
      <c r="C122" s="247" t="s">
        <v>88</v>
      </c>
      <c r="D122" s="246" t="s">
        <v>420</v>
      </c>
    </row>
    <row r="123" spans="1:4" ht="16.5" hidden="1" thickBot="1">
      <c r="A123" s="252" t="s">
        <v>585</v>
      </c>
      <c r="B123" s="252" t="s">
        <v>35</v>
      </c>
      <c r="C123" s="247" t="s">
        <v>586</v>
      </c>
      <c r="D123" s="246" t="s">
        <v>420</v>
      </c>
    </row>
    <row r="124" spans="1:4" ht="16.5" hidden="1" thickBot="1">
      <c r="A124" s="252">
        <v>3381</v>
      </c>
      <c r="B124" s="252" t="s">
        <v>100</v>
      </c>
      <c r="C124" s="247" t="s">
        <v>101</v>
      </c>
      <c r="D124" s="246" t="s">
        <v>587</v>
      </c>
    </row>
    <row r="125" spans="1:4" ht="16.5" hidden="1" thickBot="1">
      <c r="A125" s="252" t="s">
        <v>588</v>
      </c>
      <c r="B125" s="252" t="s">
        <v>84</v>
      </c>
      <c r="C125" s="247" t="s">
        <v>38</v>
      </c>
      <c r="D125" s="246" t="s">
        <v>420</v>
      </c>
    </row>
    <row r="126" spans="1:4" ht="16.5" hidden="1" thickBot="1">
      <c r="A126" s="252" t="s">
        <v>589</v>
      </c>
      <c r="B126" s="252" t="s">
        <v>590</v>
      </c>
      <c r="C126" s="247" t="s">
        <v>36</v>
      </c>
      <c r="D126" s="246" t="s">
        <v>420</v>
      </c>
    </row>
    <row r="127" spans="1:4" ht="16.5" hidden="1" thickBot="1">
      <c r="A127" s="252" t="s">
        <v>591</v>
      </c>
      <c r="B127" s="252" t="s">
        <v>37</v>
      </c>
      <c r="C127" s="247" t="s">
        <v>38</v>
      </c>
      <c r="D127" s="246" t="s">
        <v>420</v>
      </c>
    </row>
    <row r="128" spans="1:4" ht="16.5" hidden="1" thickBot="1">
      <c r="A128" s="252" t="s">
        <v>592</v>
      </c>
      <c r="B128" s="252" t="s">
        <v>39</v>
      </c>
      <c r="C128" s="247" t="s">
        <v>38</v>
      </c>
      <c r="D128" s="246" t="s">
        <v>420</v>
      </c>
    </row>
    <row r="129" spans="1:4" ht="16.5" hidden="1" thickBot="1">
      <c r="A129" s="252">
        <v>3773</v>
      </c>
      <c r="B129" s="252" t="s">
        <v>593</v>
      </c>
      <c r="C129" s="247" t="s">
        <v>40</v>
      </c>
      <c r="D129" s="246" t="s">
        <v>420</v>
      </c>
    </row>
    <row r="130" spans="1:4" ht="16.5" hidden="1" thickBot="1">
      <c r="A130" s="252" t="s">
        <v>594</v>
      </c>
      <c r="B130" s="252" t="s">
        <v>595</v>
      </c>
      <c r="C130" s="247" t="s">
        <v>596</v>
      </c>
      <c r="D130" s="246" t="s">
        <v>420</v>
      </c>
    </row>
    <row r="131" spans="1:4" ht="16.5" hidden="1" thickBot="1">
      <c r="A131" s="252" t="s">
        <v>597</v>
      </c>
      <c r="B131" s="252" t="s">
        <v>598</v>
      </c>
      <c r="C131" s="247" t="s">
        <v>599</v>
      </c>
      <c r="D131" s="246" t="s">
        <v>420</v>
      </c>
    </row>
    <row r="132" spans="1:4" ht="16.5" hidden="1" thickBot="1">
      <c r="A132" s="252">
        <v>3811</v>
      </c>
      <c r="B132" s="252" t="s">
        <v>600</v>
      </c>
      <c r="C132" s="247" t="s">
        <v>60</v>
      </c>
      <c r="D132" s="246" t="s">
        <v>420</v>
      </c>
    </row>
    <row r="133" spans="1:4" ht="16.5" thickBot="1">
      <c r="A133" s="252" t="s">
        <v>883</v>
      </c>
      <c r="B133" s="252" t="s">
        <v>601</v>
      </c>
      <c r="C133" s="247" t="s">
        <v>602</v>
      </c>
      <c r="D133" s="246" t="s">
        <v>420</v>
      </c>
    </row>
    <row r="134" spans="1:4" ht="16.5" hidden="1" thickBot="1">
      <c r="A134" s="252" t="s">
        <v>603</v>
      </c>
      <c r="B134" s="252" t="s">
        <v>41</v>
      </c>
      <c r="C134" s="247" t="s">
        <v>604</v>
      </c>
      <c r="D134" s="246" t="s">
        <v>420</v>
      </c>
    </row>
    <row r="135" spans="1:4" ht="16.5" hidden="1" thickBot="1">
      <c r="A135" s="252" t="s">
        <v>605</v>
      </c>
      <c r="B135" s="252" t="s">
        <v>99</v>
      </c>
      <c r="C135" s="247" t="s">
        <v>16</v>
      </c>
      <c r="D135" s="246" t="s">
        <v>420</v>
      </c>
    </row>
    <row r="136" spans="1:4" ht="16.5" hidden="1" thickBot="1">
      <c r="A136" s="252">
        <v>864</v>
      </c>
      <c r="B136" s="252" t="s">
        <v>606</v>
      </c>
      <c r="C136" s="247" t="s">
        <v>42</v>
      </c>
      <c r="D136" s="246" t="s">
        <v>492</v>
      </c>
    </row>
    <row r="137" spans="1:4" ht="16.5" hidden="1" thickBot="1">
      <c r="A137" s="252">
        <v>869</v>
      </c>
      <c r="B137" s="252" t="s">
        <v>607</v>
      </c>
      <c r="C137" s="247" t="s">
        <v>608</v>
      </c>
      <c r="D137" s="246" t="s">
        <v>492</v>
      </c>
    </row>
    <row r="138" spans="1:4" ht="16.5" hidden="1" thickBot="1">
      <c r="A138" s="252">
        <v>274</v>
      </c>
      <c r="B138" s="252" t="s">
        <v>609</v>
      </c>
      <c r="C138" s="247" t="s">
        <v>610</v>
      </c>
      <c r="D138" s="246" t="s">
        <v>492</v>
      </c>
    </row>
    <row r="139" spans="1:4" ht="16.5" hidden="1" thickBot="1">
      <c r="A139" s="252" t="s">
        <v>611</v>
      </c>
      <c r="B139" s="252" t="s">
        <v>612</v>
      </c>
      <c r="C139" s="247" t="s">
        <v>613</v>
      </c>
      <c r="D139" s="246" t="s">
        <v>492</v>
      </c>
    </row>
    <row r="140" spans="1:4" ht="16.5" hidden="1" thickBot="1">
      <c r="A140" s="252">
        <v>300</v>
      </c>
      <c r="B140" s="252" t="s">
        <v>614</v>
      </c>
      <c r="C140" s="247" t="s">
        <v>43</v>
      </c>
      <c r="D140" s="246" t="s">
        <v>492</v>
      </c>
    </row>
    <row r="141" spans="1:4" ht="16.5" hidden="1" thickBot="1">
      <c r="A141" s="252">
        <v>308</v>
      </c>
      <c r="B141" s="252" t="s">
        <v>615</v>
      </c>
      <c r="C141" s="247" t="s">
        <v>616</v>
      </c>
      <c r="D141" s="246" t="s">
        <v>492</v>
      </c>
    </row>
    <row r="142" spans="1:4" ht="16.5" hidden="1" thickBot="1">
      <c r="A142" s="252">
        <v>351</v>
      </c>
      <c r="B142" s="252" t="s">
        <v>617</v>
      </c>
      <c r="C142" s="247" t="s">
        <v>618</v>
      </c>
      <c r="D142" s="246" t="s">
        <v>492</v>
      </c>
    </row>
    <row r="143" spans="1:4" ht="16.5" hidden="1" thickBot="1">
      <c r="A143" s="252">
        <v>388</v>
      </c>
      <c r="B143" s="252" t="s">
        <v>619</v>
      </c>
      <c r="C143" s="247" t="s">
        <v>616</v>
      </c>
      <c r="D143" s="246" t="s">
        <v>492</v>
      </c>
    </row>
    <row r="144" spans="1:4" ht="16.5" hidden="1" thickBot="1">
      <c r="A144" s="252" t="s">
        <v>620</v>
      </c>
      <c r="B144" s="252" t="s">
        <v>621</v>
      </c>
      <c r="C144" s="247" t="s">
        <v>43</v>
      </c>
      <c r="D144" s="246" t="s">
        <v>492</v>
      </c>
    </row>
    <row r="145" spans="1:4" ht="16.5" hidden="1" thickBot="1">
      <c r="A145" s="252">
        <v>510</v>
      </c>
      <c r="B145" s="252" t="s">
        <v>622</v>
      </c>
      <c r="C145" s="247" t="s">
        <v>623</v>
      </c>
      <c r="D145" s="246" t="s">
        <v>492</v>
      </c>
    </row>
    <row r="146" spans="1:4" ht="16.5" hidden="1" thickBot="1">
      <c r="A146" s="252">
        <v>628</v>
      </c>
      <c r="B146" s="252" t="s">
        <v>624</v>
      </c>
      <c r="C146" s="247" t="s">
        <v>44</v>
      </c>
      <c r="D146" s="246" t="s">
        <v>492</v>
      </c>
    </row>
    <row r="147" spans="1:4" ht="16.5" hidden="1" thickBot="1">
      <c r="A147" s="252" t="s">
        <v>625</v>
      </c>
      <c r="B147" s="252" t="s">
        <v>626</v>
      </c>
      <c r="C147" s="247" t="s">
        <v>627</v>
      </c>
      <c r="D147" s="246" t="s">
        <v>492</v>
      </c>
    </row>
    <row r="148" spans="1:4" ht="16.5" hidden="1" thickBot="1">
      <c r="A148" s="252">
        <v>822</v>
      </c>
      <c r="B148" s="252" t="s">
        <v>628</v>
      </c>
      <c r="C148" s="247" t="s">
        <v>629</v>
      </c>
      <c r="D148" s="246" t="s">
        <v>492</v>
      </c>
    </row>
    <row r="149" spans="1:4" ht="16.5" hidden="1" thickBot="1">
      <c r="A149" s="252">
        <v>375</v>
      </c>
      <c r="B149" s="252" t="s">
        <v>630</v>
      </c>
      <c r="C149" s="247" t="s">
        <v>631</v>
      </c>
      <c r="D149" s="246" t="s">
        <v>492</v>
      </c>
    </row>
    <row r="150" spans="1:4" ht="16.5" hidden="1" thickBot="1">
      <c r="A150" s="252">
        <v>376</v>
      </c>
      <c r="B150" s="252" t="s">
        <v>632</v>
      </c>
      <c r="C150" s="247" t="s">
        <v>631</v>
      </c>
      <c r="D150" s="246" t="s">
        <v>492</v>
      </c>
    </row>
    <row r="151" spans="1:4" ht="16.5" hidden="1" thickBot="1">
      <c r="A151" s="252">
        <v>378</v>
      </c>
      <c r="B151" s="252" t="s">
        <v>633</v>
      </c>
      <c r="C151" s="247" t="s">
        <v>631</v>
      </c>
      <c r="D151" s="246" t="s">
        <v>492</v>
      </c>
    </row>
    <row r="152" spans="1:4" ht="16.5" hidden="1" thickBot="1">
      <c r="A152" s="252">
        <v>830</v>
      </c>
      <c r="B152" s="252" t="s">
        <v>634</v>
      </c>
      <c r="C152" s="247" t="s">
        <v>631</v>
      </c>
      <c r="D152" s="246" t="s">
        <v>492</v>
      </c>
    </row>
    <row r="153" spans="1:4" ht="16.5" hidden="1" thickBot="1">
      <c r="A153" s="252">
        <v>710</v>
      </c>
      <c r="B153" s="252" t="s">
        <v>635</v>
      </c>
      <c r="C153" s="247" t="s">
        <v>636</v>
      </c>
      <c r="D153" s="246" t="s">
        <v>492</v>
      </c>
    </row>
    <row r="154" spans="1:4" ht="16.5" hidden="1" thickBot="1">
      <c r="A154" s="252">
        <v>3203</v>
      </c>
      <c r="B154" s="252" t="s">
        <v>637</v>
      </c>
      <c r="C154" s="247" t="s">
        <v>638</v>
      </c>
      <c r="D154" s="246" t="s">
        <v>440</v>
      </c>
    </row>
    <row r="155" spans="1:4" ht="16.5" hidden="1" thickBot="1">
      <c r="A155" s="252">
        <v>910</v>
      </c>
      <c r="B155" s="252" t="s">
        <v>639</v>
      </c>
      <c r="C155" s="247" t="s">
        <v>640</v>
      </c>
      <c r="D155" s="246" t="s">
        <v>492</v>
      </c>
    </row>
    <row r="156" spans="1:4" ht="16.5" hidden="1" thickBot="1">
      <c r="A156" s="252">
        <v>2020</v>
      </c>
      <c r="B156" s="252" t="s">
        <v>641</v>
      </c>
      <c r="C156" s="247" t="s">
        <v>642</v>
      </c>
      <c r="D156" s="246" t="s">
        <v>440</v>
      </c>
    </row>
    <row r="157" spans="1:4" ht="16.5" hidden="1" thickBot="1">
      <c r="A157" s="252" t="s">
        <v>643</v>
      </c>
      <c r="B157" s="252" t="s">
        <v>644</v>
      </c>
      <c r="C157" s="247" t="s">
        <v>642</v>
      </c>
      <c r="D157" s="246" t="s">
        <v>440</v>
      </c>
    </row>
    <row r="158" spans="1:4" ht="16.5" hidden="1" thickBot="1">
      <c r="A158" s="252" t="s">
        <v>645</v>
      </c>
      <c r="B158" s="252" t="s">
        <v>646</v>
      </c>
      <c r="C158" s="247" t="s">
        <v>642</v>
      </c>
      <c r="D158" s="246" t="s">
        <v>440</v>
      </c>
    </row>
    <row r="159" spans="1:4" ht="16.5" hidden="1" thickBot="1">
      <c r="A159" s="252">
        <v>120805</v>
      </c>
      <c r="B159" s="252" t="s">
        <v>647</v>
      </c>
      <c r="C159" s="247" t="s">
        <v>648</v>
      </c>
      <c r="D159" s="246" t="s">
        <v>440</v>
      </c>
    </row>
    <row r="160" spans="1:4" ht="16.5" hidden="1" thickBot="1">
      <c r="A160" s="252">
        <v>6172</v>
      </c>
      <c r="B160" s="252" t="s">
        <v>649</v>
      </c>
      <c r="C160" s="247" t="s">
        <v>650</v>
      </c>
      <c r="D160" s="246" t="s">
        <v>440</v>
      </c>
    </row>
    <row r="161" spans="1:4" ht="16.5" hidden="1" thickBot="1">
      <c r="A161" s="252">
        <v>2235711</v>
      </c>
      <c r="B161" s="252" t="s">
        <v>651</v>
      </c>
      <c r="C161" s="247" t="s">
        <v>652</v>
      </c>
      <c r="D161" s="246" t="s">
        <v>440</v>
      </c>
    </row>
    <row r="162" spans="1:4" ht="16.5" hidden="1" thickBot="1">
      <c r="A162" s="252">
        <v>194</v>
      </c>
      <c r="B162" s="252" t="s">
        <v>653</v>
      </c>
      <c r="C162" s="247" t="s">
        <v>45</v>
      </c>
      <c r="D162" s="246" t="s">
        <v>440</v>
      </c>
    </row>
    <row r="163" spans="1:4" ht="16.5" hidden="1" thickBot="1">
      <c r="A163" s="252" t="s">
        <v>654</v>
      </c>
      <c r="B163" s="252" t="s">
        <v>655</v>
      </c>
      <c r="C163" s="247" t="s">
        <v>656</v>
      </c>
      <c r="D163" s="246" t="s">
        <v>440</v>
      </c>
    </row>
    <row r="164" spans="1:4" ht="16.5" hidden="1" thickBot="1">
      <c r="A164" s="252">
        <v>3929</v>
      </c>
      <c r="B164" s="252" t="s">
        <v>657</v>
      </c>
      <c r="C164" s="247" t="s">
        <v>658</v>
      </c>
      <c r="D164" s="246" t="s">
        <v>440</v>
      </c>
    </row>
    <row r="165" spans="1:4" ht="16.5" hidden="1" thickBot="1">
      <c r="A165" s="252">
        <v>4533</v>
      </c>
      <c r="B165" s="252" t="s">
        <v>659</v>
      </c>
      <c r="C165" s="247" t="s">
        <v>660</v>
      </c>
      <c r="D165" s="246" t="s">
        <v>440</v>
      </c>
    </row>
    <row r="166" spans="1:4" ht="16.5" hidden="1" thickBot="1">
      <c r="A166" s="252">
        <v>557</v>
      </c>
      <c r="B166" s="252" t="s">
        <v>661</v>
      </c>
      <c r="C166" s="247" t="s">
        <v>46</v>
      </c>
      <c r="D166" s="246" t="s">
        <v>440</v>
      </c>
    </row>
    <row r="167" spans="1:4" ht="16.5" hidden="1" thickBot="1">
      <c r="A167" s="252">
        <v>810</v>
      </c>
      <c r="B167" s="252" t="s">
        <v>662</v>
      </c>
      <c r="C167" s="247" t="s">
        <v>663</v>
      </c>
      <c r="D167" s="246" t="s">
        <v>440</v>
      </c>
    </row>
    <row r="168" spans="1:4" ht="16.5" hidden="1" thickBot="1">
      <c r="A168" s="252">
        <v>1000</v>
      </c>
      <c r="B168" s="252" t="s">
        <v>664</v>
      </c>
      <c r="C168" s="247" t="s">
        <v>665</v>
      </c>
      <c r="D168" s="246" t="s">
        <v>440</v>
      </c>
    </row>
    <row r="169" spans="1:4" ht="16.5" hidden="1" thickBot="1">
      <c r="A169" s="252">
        <v>10000</v>
      </c>
      <c r="B169" s="252" t="s">
        <v>666</v>
      </c>
      <c r="C169" s="247" t="s">
        <v>667</v>
      </c>
      <c r="D169" s="246" t="s">
        <v>440</v>
      </c>
    </row>
    <row r="170" spans="1:4" ht="16.5" hidden="1" thickBot="1">
      <c r="A170" s="252">
        <v>3505</v>
      </c>
      <c r="B170" s="252" t="s">
        <v>668</v>
      </c>
      <c r="C170" s="247" t="s">
        <v>669</v>
      </c>
      <c r="D170" s="246" t="s">
        <v>492</v>
      </c>
    </row>
    <row r="171" spans="1:4" ht="16.5" hidden="1" thickBot="1">
      <c r="A171" s="252">
        <v>2517</v>
      </c>
      <c r="B171" s="252" t="s">
        <v>670</v>
      </c>
      <c r="C171" s="247" t="s">
        <v>671</v>
      </c>
      <c r="D171" s="246" t="s">
        <v>440</v>
      </c>
    </row>
    <row r="172" spans="1:4" ht="16.5" hidden="1" thickBot="1">
      <c r="A172" s="252">
        <v>249098</v>
      </c>
      <c r="B172" s="252" t="s">
        <v>672</v>
      </c>
      <c r="C172" s="247" t="s">
        <v>673</v>
      </c>
      <c r="D172" s="246" t="s">
        <v>440</v>
      </c>
    </row>
    <row r="173" spans="1:4" ht="16.5" hidden="1" thickBot="1">
      <c r="A173" s="252">
        <v>2584</v>
      </c>
      <c r="B173" s="252" t="s">
        <v>674</v>
      </c>
      <c r="C173" s="247" t="s">
        <v>673</v>
      </c>
      <c r="D173" s="246" t="s">
        <v>440</v>
      </c>
    </row>
    <row r="174" spans="1:4" ht="16.5" hidden="1" thickBot="1">
      <c r="A174" s="252">
        <v>3060</v>
      </c>
      <c r="B174" s="252" t="s">
        <v>675</v>
      </c>
      <c r="C174" s="247" t="s">
        <v>676</v>
      </c>
      <c r="D174" s="246" t="s">
        <v>440</v>
      </c>
    </row>
    <row r="175" spans="1:4" ht="16.5" hidden="1" thickBot="1">
      <c r="A175" s="252" t="s">
        <v>677</v>
      </c>
      <c r="B175" s="252" t="s">
        <v>678</v>
      </c>
      <c r="C175" s="247" t="s">
        <v>679</v>
      </c>
      <c r="D175" s="246" t="s">
        <v>440</v>
      </c>
    </row>
    <row r="176" spans="1:4" ht="16.5" hidden="1" thickBot="1">
      <c r="A176" s="252">
        <v>3802</v>
      </c>
      <c r="B176" s="252" t="s">
        <v>680</v>
      </c>
      <c r="C176" s="247" t="s">
        <v>47</v>
      </c>
      <c r="D176" s="246" t="s">
        <v>420</v>
      </c>
    </row>
    <row r="177" spans="1:4" ht="16.5" hidden="1" thickBot="1">
      <c r="A177" s="252" t="s">
        <v>681</v>
      </c>
      <c r="B177" s="252" t="s">
        <v>48</v>
      </c>
      <c r="C177" s="247" t="s">
        <v>682</v>
      </c>
      <c r="D177" s="246" t="s">
        <v>420</v>
      </c>
    </row>
    <row r="178" spans="1:4" ht="16.5" hidden="1" thickBot="1">
      <c r="A178" s="252">
        <v>9252</v>
      </c>
      <c r="B178" s="252" t="s">
        <v>683</v>
      </c>
      <c r="C178" s="247" t="s">
        <v>51</v>
      </c>
      <c r="D178" s="246" t="s">
        <v>440</v>
      </c>
    </row>
    <row r="179" spans="1:4" ht="16.5" hidden="1" thickBot="1">
      <c r="A179" s="252">
        <v>9318</v>
      </c>
      <c r="B179" s="252" t="s">
        <v>684</v>
      </c>
      <c r="C179" s="247" t="s">
        <v>685</v>
      </c>
      <c r="D179" s="246" t="s">
        <v>440</v>
      </c>
    </row>
    <row r="180" spans="1:4" ht="16.5" hidden="1" thickBot="1">
      <c r="A180" s="252">
        <v>9339</v>
      </c>
      <c r="B180" s="252" t="s">
        <v>686</v>
      </c>
      <c r="C180" s="247" t="s">
        <v>687</v>
      </c>
      <c r="D180" s="246" t="s">
        <v>440</v>
      </c>
    </row>
    <row r="181" spans="1:4" ht="16.5" hidden="1" thickBot="1">
      <c r="A181" s="252">
        <v>9348</v>
      </c>
      <c r="B181" s="252" t="s">
        <v>49</v>
      </c>
      <c r="C181" s="247" t="s">
        <v>50</v>
      </c>
      <c r="D181" s="246" t="s">
        <v>440</v>
      </c>
    </row>
    <row r="182" spans="1:4" ht="16.5" hidden="1" thickBot="1">
      <c r="A182" s="252">
        <v>9351</v>
      </c>
      <c r="B182" s="252" t="s">
        <v>688</v>
      </c>
      <c r="C182" s="247" t="s">
        <v>50</v>
      </c>
      <c r="D182" s="246" t="s">
        <v>440</v>
      </c>
    </row>
    <row r="183" spans="1:4" ht="16.5" hidden="1" thickBot="1">
      <c r="A183" s="252">
        <v>9355</v>
      </c>
      <c r="B183" s="252" t="s">
        <v>689</v>
      </c>
      <c r="C183" s="247" t="s">
        <v>50</v>
      </c>
      <c r="D183" s="246" t="s">
        <v>440</v>
      </c>
    </row>
    <row r="184" spans="1:4" ht="16.5" hidden="1" thickBot="1">
      <c r="A184" s="252">
        <v>9372</v>
      </c>
      <c r="B184" s="252" t="s">
        <v>690</v>
      </c>
      <c r="C184" s="247" t="s">
        <v>50</v>
      </c>
      <c r="D184" s="246" t="s">
        <v>440</v>
      </c>
    </row>
    <row r="185" spans="1:4" ht="16.5" hidden="1" thickBot="1">
      <c r="A185" s="252">
        <v>93919</v>
      </c>
      <c r="B185" s="252" t="s">
        <v>691</v>
      </c>
      <c r="C185" s="247" t="s">
        <v>692</v>
      </c>
      <c r="D185" s="246" t="s">
        <v>440</v>
      </c>
    </row>
    <row r="186" spans="1:4" ht="16.5" hidden="1" thickBot="1">
      <c r="A186" s="252">
        <v>9399</v>
      </c>
      <c r="B186" s="252" t="s">
        <v>693</v>
      </c>
      <c r="C186" s="247" t="s">
        <v>694</v>
      </c>
      <c r="D186" s="246" t="s">
        <v>440</v>
      </c>
    </row>
    <row r="187" spans="1:4" ht="16.5" hidden="1" thickBot="1">
      <c r="A187" s="252">
        <v>2857598</v>
      </c>
      <c r="B187" s="252" t="s">
        <v>695</v>
      </c>
      <c r="C187" s="247" t="s">
        <v>51</v>
      </c>
      <c r="D187" s="246" t="s">
        <v>440</v>
      </c>
    </row>
    <row r="188" spans="1:4" ht="16.5" hidden="1" thickBot="1">
      <c r="A188" s="252">
        <v>9743</v>
      </c>
      <c r="B188" s="252" t="s">
        <v>696</v>
      </c>
      <c r="C188" s="247" t="s">
        <v>51</v>
      </c>
      <c r="D188" s="246" t="s">
        <v>440</v>
      </c>
    </row>
    <row r="189" spans="1:4" ht="16.5" hidden="1" thickBot="1">
      <c r="A189" s="252">
        <v>4589</v>
      </c>
      <c r="B189" s="252" t="s">
        <v>697</v>
      </c>
      <c r="C189" s="247" t="s">
        <v>698</v>
      </c>
      <c r="D189" s="246" t="s">
        <v>492</v>
      </c>
    </row>
    <row r="190" spans="1:4" ht="16.5" hidden="1" thickBot="1">
      <c r="A190" s="252">
        <v>4722</v>
      </c>
      <c r="B190" s="252" t="s">
        <v>699</v>
      </c>
      <c r="C190" s="247" t="s">
        <v>698</v>
      </c>
      <c r="D190" s="246" t="s">
        <v>492</v>
      </c>
    </row>
    <row r="191" spans="1:4" ht="16.5" hidden="1" thickBot="1">
      <c r="A191" s="252">
        <v>1811</v>
      </c>
      <c r="B191" s="252" t="s">
        <v>700</v>
      </c>
      <c r="C191" s="247" t="s">
        <v>701</v>
      </c>
      <c r="D191" s="246" t="s">
        <v>440</v>
      </c>
    </row>
    <row r="192" spans="1:4" ht="16.5" hidden="1" thickBot="1">
      <c r="A192" s="252">
        <v>2041</v>
      </c>
      <c r="B192" s="252" t="s">
        <v>702</v>
      </c>
      <c r="C192" s="247" t="s">
        <v>703</v>
      </c>
      <c r="D192" s="246" t="s">
        <v>440</v>
      </c>
    </row>
    <row r="193" spans="1:4" ht="16.5" hidden="1" thickBot="1">
      <c r="A193" s="252">
        <v>2088</v>
      </c>
      <c r="B193" s="252" t="s">
        <v>704</v>
      </c>
      <c r="C193" s="247" t="s">
        <v>705</v>
      </c>
      <c r="D193" s="246" t="s">
        <v>440</v>
      </c>
    </row>
    <row r="194" spans="1:4" ht="16.5" hidden="1" thickBot="1">
      <c r="A194" s="252">
        <v>2607</v>
      </c>
      <c r="B194" s="252" t="s">
        <v>706</v>
      </c>
      <c r="C194" s="247" t="s">
        <v>52</v>
      </c>
      <c r="D194" s="246" t="s">
        <v>440</v>
      </c>
    </row>
    <row r="195" spans="1:4" ht="16.5" hidden="1" thickBot="1">
      <c r="A195" s="252">
        <v>659265</v>
      </c>
      <c r="B195" s="252" t="s">
        <v>707</v>
      </c>
      <c r="C195" s="247" t="s">
        <v>708</v>
      </c>
      <c r="D195" s="246" t="s">
        <v>440</v>
      </c>
    </row>
    <row r="196" spans="1:4" ht="16.5" hidden="1" thickBot="1">
      <c r="A196" s="252">
        <v>3765</v>
      </c>
      <c r="B196" s="252" t="s">
        <v>709</v>
      </c>
      <c r="C196" s="247" t="s">
        <v>703</v>
      </c>
      <c r="D196" s="246" t="s">
        <v>440</v>
      </c>
    </row>
    <row r="197" spans="1:4" ht="16.5" hidden="1" thickBot="1">
      <c r="A197" s="252">
        <v>6013</v>
      </c>
      <c r="B197" s="252" t="s">
        <v>710</v>
      </c>
      <c r="C197" s="247" t="s">
        <v>711</v>
      </c>
      <c r="D197" s="246" t="s">
        <v>492</v>
      </c>
    </row>
    <row r="198" spans="1:4" ht="16.5" hidden="1" thickBot="1">
      <c r="A198" s="252">
        <v>6053</v>
      </c>
      <c r="B198" s="252" t="s">
        <v>712</v>
      </c>
      <c r="C198" s="247" t="s">
        <v>713</v>
      </c>
      <c r="D198" s="246" t="s">
        <v>492</v>
      </c>
    </row>
    <row r="199" spans="1:4" ht="16.5" hidden="1" thickBot="1">
      <c r="A199" s="252">
        <v>6063</v>
      </c>
      <c r="B199" s="252" t="s">
        <v>714</v>
      </c>
      <c r="C199" s="247" t="s">
        <v>715</v>
      </c>
      <c r="D199" s="246" t="s">
        <v>492</v>
      </c>
    </row>
    <row r="200" spans="1:4" ht="16.5" hidden="1" thickBot="1">
      <c r="A200" s="252">
        <v>6073</v>
      </c>
      <c r="B200" s="252" t="s">
        <v>716</v>
      </c>
      <c r="C200" s="247" t="s">
        <v>717</v>
      </c>
      <c r="D200" s="246" t="s">
        <v>492</v>
      </c>
    </row>
    <row r="201" spans="1:4" ht="16.5" hidden="1" thickBot="1">
      <c r="A201" s="252" t="s">
        <v>718</v>
      </c>
      <c r="B201" s="252" t="s">
        <v>719</v>
      </c>
      <c r="C201" s="247" t="s">
        <v>720</v>
      </c>
      <c r="D201" s="246" t="s">
        <v>492</v>
      </c>
    </row>
    <row r="202" spans="1:4" ht="16.5" hidden="1" thickBot="1">
      <c r="A202" s="252">
        <v>6801</v>
      </c>
      <c r="B202" s="252" t="s">
        <v>721</v>
      </c>
      <c r="C202" s="247" t="s">
        <v>53</v>
      </c>
      <c r="D202" s="246" t="s">
        <v>492</v>
      </c>
    </row>
    <row r="203" spans="1:4" ht="16.5" hidden="1" thickBot="1">
      <c r="A203" s="252" t="s">
        <v>722</v>
      </c>
      <c r="B203" s="252" t="s">
        <v>723</v>
      </c>
      <c r="C203" s="247" t="s">
        <v>53</v>
      </c>
      <c r="D203" s="246" t="s">
        <v>492</v>
      </c>
    </row>
    <row r="204" spans="1:4" ht="16.5" hidden="1" thickBot="1">
      <c r="A204" s="252" t="s">
        <v>724</v>
      </c>
      <c r="B204" s="252" t="s">
        <v>725</v>
      </c>
      <c r="C204" s="247" t="s">
        <v>53</v>
      </c>
      <c r="D204" s="246" t="s">
        <v>492</v>
      </c>
    </row>
    <row r="205" spans="1:4" ht="16.5" hidden="1" thickBot="1">
      <c r="A205" s="252">
        <v>6803</v>
      </c>
      <c r="B205" s="252" t="s">
        <v>726</v>
      </c>
      <c r="C205" s="247" t="s">
        <v>727</v>
      </c>
      <c r="D205" s="246" t="s">
        <v>492</v>
      </c>
    </row>
    <row r="206" spans="1:4" ht="16.5" hidden="1" thickBot="1">
      <c r="A206" s="252">
        <v>6808</v>
      </c>
      <c r="B206" s="252" t="s">
        <v>728</v>
      </c>
      <c r="C206" s="247" t="s">
        <v>729</v>
      </c>
      <c r="D206" s="246" t="s">
        <v>492</v>
      </c>
    </row>
    <row r="207" spans="1:4" ht="16.5" hidden="1" thickBot="1">
      <c r="A207" s="252">
        <v>1809383</v>
      </c>
      <c r="B207" s="252" t="s">
        <v>730</v>
      </c>
      <c r="C207" s="247" t="s">
        <v>727</v>
      </c>
      <c r="D207" s="246" t="s">
        <v>492</v>
      </c>
    </row>
    <row r="208" spans="1:4" ht="16.5" hidden="1" thickBot="1">
      <c r="A208" s="252">
        <v>6856</v>
      </c>
      <c r="B208" s="252" t="s">
        <v>731</v>
      </c>
      <c r="C208" s="247" t="s">
        <v>727</v>
      </c>
      <c r="D208" s="246" t="s">
        <v>492</v>
      </c>
    </row>
    <row r="209" spans="1:4" ht="16.5" hidden="1" thickBot="1">
      <c r="A209" s="252" t="s">
        <v>732</v>
      </c>
      <c r="B209" s="252" t="s">
        <v>54</v>
      </c>
      <c r="C209" s="247" t="s">
        <v>727</v>
      </c>
      <c r="D209" s="246" t="s">
        <v>492</v>
      </c>
    </row>
    <row r="210" spans="1:4" ht="16.5" hidden="1" thickBot="1">
      <c r="A210" s="252">
        <v>6871</v>
      </c>
      <c r="B210" s="252" t="s">
        <v>55</v>
      </c>
      <c r="C210" s="247" t="s">
        <v>733</v>
      </c>
      <c r="D210" s="246" t="s">
        <v>492</v>
      </c>
    </row>
    <row r="211" spans="1:4" ht="16.5" hidden="1" thickBot="1">
      <c r="A211" s="252">
        <v>6897</v>
      </c>
      <c r="B211" s="252" t="s">
        <v>734</v>
      </c>
      <c r="C211" s="247" t="s">
        <v>727</v>
      </c>
      <c r="D211" s="246" t="s">
        <v>492</v>
      </c>
    </row>
    <row r="212" spans="1:4" ht="16.5" hidden="1" thickBot="1">
      <c r="A212" s="252">
        <v>8072</v>
      </c>
      <c r="B212" s="252" t="s">
        <v>735</v>
      </c>
      <c r="C212" s="247" t="s">
        <v>736</v>
      </c>
      <c r="D212" s="246" t="s">
        <v>492</v>
      </c>
    </row>
    <row r="213" spans="1:4" ht="16.5" hidden="1" thickBot="1">
      <c r="A213" s="252">
        <v>9033</v>
      </c>
      <c r="B213" s="252" t="s">
        <v>737</v>
      </c>
      <c r="C213" s="247" t="s">
        <v>738</v>
      </c>
      <c r="D213" s="246" t="s">
        <v>492</v>
      </c>
    </row>
    <row r="214" spans="1:4" ht="16.5" hidden="1" thickBot="1">
      <c r="A214" s="252">
        <v>9043</v>
      </c>
      <c r="B214" s="252" t="s">
        <v>739</v>
      </c>
      <c r="C214" s="247" t="s">
        <v>740</v>
      </c>
      <c r="D214" s="246" t="s">
        <v>492</v>
      </c>
    </row>
    <row r="215" spans="1:4" ht="16.5" hidden="1" thickBot="1">
      <c r="A215" s="252">
        <v>9053</v>
      </c>
      <c r="B215" s="252" t="s">
        <v>741</v>
      </c>
      <c r="C215" s="247" t="s">
        <v>742</v>
      </c>
      <c r="D215" s="246" t="s">
        <v>492</v>
      </c>
    </row>
    <row r="216" spans="1:4" ht="16.5" hidden="1" thickBot="1">
      <c r="A216" s="252" t="s">
        <v>743</v>
      </c>
      <c r="B216" s="252" t="s">
        <v>744</v>
      </c>
      <c r="C216" s="247" t="s">
        <v>711</v>
      </c>
      <c r="D216" s="246" t="s">
        <v>492</v>
      </c>
    </row>
    <row r="217" spans="1:4" ht="16.5" hidden="1" thickBot="1">
      <c r="A217" s="252">
        <v>9073</v>
      </c>
      <c r="B217" s="252" t="s">
        <v>745</v>
      </c>
      <c r="C217" s="247" t="s">
        <v>746</v>
      </c>
      <c r="D217" s="246" t="s">
        <v>492</v>
      </c>
    </row>
    <row r="218" spans="1:4" ht="16.5" hidden="1" thickBot="1">
      <c r="A218" s="252">
        <v>992</v>
      </c>
      <c r="B218" s="252" t="s">
        <v>747</v>
      </c>
      <c r="C218" s="247" t="s">
        <v>720</v>
      </c>
      <c r="D218" s="246" t="s">
        <v>492</v>
      </c>
    </row>
    <row r="219" spans="1:4" ht="16.5" hidden="1" thickBot="1">
      <c r="A219" s="252">
        <v>9924</v>
      </c>
      <c r="B219" s="252" t="s">
        <v>748</v>
      </c>
      <c r="C219" s="247" t="s">
        <v>733</v>
      </c>
      <c r="D219" s="246" t="s">
        <v>492</v>
      </c>
    </row>
    <row r="220" spans="1:4" ht="16.5" hidden="1" thickBot="1">
      <c r="A220" s="252">
        <v>9954</v>
      </c>
      <c r="B220" s="252" t="s">
        <v>749</v>
      </c>
      <c r="C220" s="247" t="s">
        <v>53</v>
      </c>
      <c r="D220" s="246" t="s">
        <v>492</v>
      </c>
    </row>
    <row r="221" spans="1:4" ht="16.5" hidden="1" thickBot="1">
      <c r="A221" s="252">
        <v>66049</v>
      </c>
      <c r="B221" s="252" t="s">
        <v>750</v>
      </c>
      <c r="C221" s="247" t="s">
        <v>751</v>
      </c>
      <c r="D221" s="246" t="s">
        <v>386</v>
      </c>
    </row>
    <row r="222" spans="1:4" ht="16.5" hidden="1" thickBot="1">
      <c r="A222" s="252">
        <v>66111</v>
      </c>
      <c r="B222" s="252" t="s">
        <v>752</v>
      </c>
      <c r="C222" s="247" t="s">
        <v>753</v>
      </c>
      <c r="D222" s="246" t="s">
        <v>386</v>
      </c>
    </row>
    <row r="223" spans="1:4" ht="16.5" hidden="1" thickBot="1">
      <c r="A223" s="252">
        <v>72017</v>
      </c>
      <c r="B223" s="252" t="s">
        <v>754</v>
      </c>
      <c r="C223" s="247" t="s">
        <v>56</v>
      </c>
      <c r="D223" s="246" t="s">
        <v>386</v>
      </c>
    </row>
    <row r="224" spans="1:4" ht="16.5" hidden="1" thickBot="1">
      <c r="A224" s="252">
        <v>580</v>
      </c>
      <c r="B224" s="252" t="s">
        <v>755</v>
      </c>
      <c r="C224" s="247" t="s">
        <v>756</v>
      </c>
      <c r="D224" s="246" t="s">
        <v>492</v>
      </c>
    </row>
    <row r="225" spans="1:4" ht="16.5" hidden="1" thickBot="1">
      <c r="A225" s="252">
        <v>5730</v>
      </c>
      <c r="B225" s="252" t="s">
        <v>757</v>
      </c>
      <c r="C225" s="247" t="s">
        <v>758</v>
      </c>
      <c r="D225" s="246" t="s">
        <v>492</v>
      </c>
    </row>
    <row r="226" spans="1:4" ht="16.5" hidden="1" thickBot="1">
      <c r="A226" s="252" t="s">
        <v>759</v>
      </c>
      <c r="B226" s="252" t="s">
        <v>760</v>
      </c>
      <c r="C226" s="247" t="s">
        <v>761</v>
      </c>
      <c r="D226" s="246" t="s">
        <v>492</v>
      </c>
    </row>
    <row r="227" spans="1:4" ht="16.5" hidden="1" thickBot="1">
      <c r="A227" s="252">
        <v>7720</v>
      </c>
      <c r="B227" s="252" t="s">
        <v>762</v>
      </c>
      <c r="C227" s="247" t="s">
        <v>763</v>
      </c>
      <c r="D227" s="246" t="s">
        <v>492</v>
      </c>
    </row>
    <row r="228" spans="1:4" ht="16.5" hidden="1" thickBot="1">
      <c r="A228" s="252">
        <v>5650</v>
      </c>
      <c r="B228" s="252" t="s">
        <v>764</v>
      </c>
      <c r="C228" s="247" t="s">
        <v>57</v>
      </c>
      <c r="D228" s="246" t="s">
        <v>492</v>
      </c>
    </row>
    <row r="229" spans="1:4" ht="16.5" hidden="1" thickBot="1">
      <c r="A229" s="252">
        <v>3650</v>
      </c>
      <c r="B229" s="252" t="s">
        <v>765</v>
      </c>
      <c r="C229" s="247" t="s">
        <v>766</v>
      </c>
      <c r="D229" s="246" t="s">
        <v>492</v>
      </c>
    </row>
    <row r="230" spans="1:4" ht="16.5" hidden="1" thickBot="1">
      <c r="A230" s="252">
        <v>3651</v>
      </c>
      <c r="B230" s="252" t="s">
        <v>767</v>
      </c>
      <c r="C230" s="247" t="s">
        <v>768</v>
      </c>
      <c r="D230" s="246" t="s">
        <v>492</v>
      </c>
    </row>
    <row r="231" spans="1:4" ht="16.5" hidden="1" thickBot="1">
      <c r="A231" s="252">
        <v>5650</v>
      </c>
      <c r="B231" s="252" t="s">
        <v>769</v>
      </c>
      <c r="C231" s="247" t="s">
        <v>766</v>
      </c>
      <c r="D231" s="246" t="s">
        <v>492</v>
      </c>
    </row>
    <row r="232" spans="1:4" ht="16.5" hidden="1" thickBot="1">
      <c r="A232" s="252">
        <v>9153</v>
      </c>
      <c r="B232" s="252" t="s">
        <v>770</v>
      </c>
      <c r="C232" s="247" t="s">
        <v>584</v>
      </c>
      <c r="D232" s="246" t="s">
        <v>420</v>
      </c>
    </row>
    <row r="233" spans="1:4" ht="16.5" hidden="1" thickBot="1">
      <c r="A233" s="252">
        <v>9154</v>
      </c>
      <c r="B233" s="252" t="s">
        <v>771</v>
      </c>
      <c r="C233" s="247" t="s">
        <v>584</v>
      </c>
      <c r="D233" s="246" t="s">
        <v>420</v>
      </c>
    </row>
    <row r="234" spans="1:4" ht="16.5" hidden="1" thickBot="1">
      <c r="A234" s="252">
        <v>9154</v>
      </c>
      <c r="B234" s="252" t="s">
        <v>772</v>
      </c>
      <c r="C234" s="247" t="s">
        <v>773</v>
      </c>
      <c r="D234" s="246" t="s">
        <v>420</v>
      </c>
    </row>
    <row r="235" spans="1:4" ht="16.5" hidden="1" thickBot="1">
      <c r="A235" s="252">
        <v>1301</v>
      </c>
      <c r="B235" s="252" t="s">
        <v>774</v>
      </c>
      <c r="C235" s="247" t="s">
        <v>775</v>
      </c>
      <c r="D235" s="246" t="s">
        <v>492</v>
      </c>
    </row>
    <row r="236" spans="1:4" ht="16.5" hidden="1" thickBot="1">
      <c r="A236" s="252">
        <v>301</v>
      </c>
      <c r="B236" s="252" t="s">
        <v>776</v>
      </c>
      <c r="C236" s="247" t="s">
        <v>775</v>
      </c>
      <c r="D236" s="246" t="s">
        <v>492</v>
      </c>
    </row>
    <row r="237" spans="1:4" ht="16.5" hidden="1" thickBot="1">
      <c r="A237" s="252" t="s">
        <v>777</v>
      </c>
      <c r="B237" s="252" t="s">
        <v>93</v>
      </c>
      <c r="C237" s="247" t="s">
        <v>94</v>
      </c>
      <c r="D237" s="246" t="s">
        <v>492</v>
      </c>
    </row>
    <row r="238" spans="1:4" ht="16.5" hidden="1" thickBot="1">
      <c r="A238" s="252" t="s">
        <v>778</v>
      </c>
      <c r="B238" s="252" t="s">
        <v>103</v>
      </c>
      <c r="C238" s="247" t="s">
        <v>104</v>
      </c>
      <c r="D238" s="246" t="s">
        <v>492</v>
      </c>
    </row>
    <row r="239" spans="1:4" ht="16.5" hidden="1" thickBot="1">
      <c r="A239" s="252">
        <v>4301</v>
      </c>
      <c r="B239" s="252" t="s">
        <v>779</v>
      </c>
      <c r="C239" s="247" t="s">
        <v>780</v>
      </c>
      <c r="D239" s="246" t="s">
        <v>492</v>
      </c>
    </row>
    <row r="240" spans="1:4" ht="16.5" hidden="1" thickBot="1">
      <c r="A240" s="252">
        <v>5301</v>
      </c>
      <c r="B240" s="252" t="s">
        <v>781</v>
      </c>
      <c r="C240" s="247" t="s">
        <v>782</v>
      </c>
      <c r="D240" s="246" t="s">
        <v>492</v>
      </c>
    </row>
    <row r="241" spans="1:4" ht="16.5" hidden="1" thickBot="1">
      <c r="A241" s="252">
        <v>6501</v>
      </c>
      <c r="B241" s="252" t="s">
        <v>95</v>
      </c>
      <c r="C241" s="247" t="s">
        <v>96</v>
      </c>
      <c r="D241" s="246" t="s">
        <v>492</v>
      </c>
    </row>
    <row r="242" spans="1:4" ht="16.5" hidden="1" thickBot="1">
      <c r="A242" s="252">
        <v>7303</v>
      </c>
      <c r="B242" s="252" t="s">
        <v>783</v>
      </c>
      <c r="C242" s="247" t="s">
        <v>106</v>
      </c>
      <c r="D242" s="246" t="s">
        <v>492</v>
      </c>
    </row>
    <row r="243" spans="1:4" ht="16.5" hidden="1" thickBot="1">
      <c r="A243" s="252">
        <v>7501</v>
      </c>
      <c r="B243" s="252" t="s">
        <v>784</v>
      </c>
      <c r="C243" s="247" t="s">
        <v>785</v>
      </c>
      <c r="D243" s="246" t="s">
        <v>492</v>
      </c>
    </row>
    <row r="244" spans="1:4" ht="16.5" hidden="1" thickBot="1">
      <c r="A244" s="252">
        <v>206</v>
      </c>
      <c r="B244" s="252" t="s">
        <v>786</v>
      </c>
      <c r="C244" s="247" t="s">
        <v>57</v>
      </c>
      <c r="D244" s="246" t="s">
        <v>492</v>
      </c>
    </row>
    <row r="245" spans="1:4" ht="16.5" hidden="1" thickBot="1">
      <c r="A245" s="252">
        <v>208</v>
      </c>
      <c r="B245" s="252" t="s">
        <v>787</v>
      </c>
      <c r="C245" s="247" t="s">
        <v>57</v>
      </c>
      <c r="D245" s="246" t="s">
        <v>492</v>
      </c>
    </row>
    <row r="246" spans="1:4" ht="16.5" hidden="1" thickBot="1">
      <c r="A246" s="252">
        <v>5298</v>
      </c>
      <c r="B246" s="252" t="s">
        <v>788</v>
      </c>
      <c r="C246" s="247" t="s">
        <v>789</v>
      </c>
      <c r="D246" s="246" t="s">
        <v>492</v>
      </c>
    </row>
    <row r="247" spans="1:4" ht="16.5" hidden="1" thickBot="1">
      <c r="A247" s="252">
        <v>1131</v>
      </c>
      <c r="B247" s="252" t="s">
        <v>790</v>
      </c>
      <c r="C247" s="247" t="s">
        <v>791</v>
      </c>
      <c r="D247" s="246" t="s">
        <v>492</v>
      </c>
    </row>
    <row r="248" spans="1:4" ht="16.5" hidden="1" thickBot="1">
      <c r="A248" s="252" t="s">
        <v>792</v>
      </c>
      <c r="B248" s="252" t="s">
        <v>793</v>
      </c>
      <c r="C248" s="247" t="s">
        <v>57</v>
      </c>
      <c r="D248" s="246" t="s">
        <v>492</v>
      </c>
    </row>
    <row r="249" spans="1:4" ht="16.5" hidden="1" thickBot="1">
      <c r="A249" s="252" t="s">
        <v>794</v>
      </c>
      <c r="B249" s="252" t="s">
        <v>795</v>
      </c>
      <c r="C249" s="247" t="s">
        <v>57</v>
      </c>
      <c r="D249" s="246" t="s">
        <v>492</v>
      </c>
    </row>
    <row r="250" spans="1:4" ht="16.5" hidden="1" thickBot="1">
      <c r="A250" s="252">
        <v>1231</v>
      </c>
      <c r="B250" s="252" t="s">
        <v>796</v>
      </c>
      <c r="C250" s="247" t="s">
        <v>791</v>
      </c>
      <c r="D250" s="246" t="s">
        <v>492</v>
      </c>
    </row>
    <row r="251" spans="1:4" ht="16.5" hidden="1" thickBot="1">
      <c r="A251" s="252" t="s">
        <v>797</v>
      </c>
      <c r="B251" s="252" t="s">
        <v>798</v>
      </c>
      <c r="C251" s="247" t="s">
        <v>799</v>
      </c>
      <c r="D251" s="246" t="s">
        <v>492</v>
      </c>
    </row>
    <row r="252" spans="1:4" ht="16.5" hidden="1" thickBot="1">
      <c r="A252" s="252">
        <v>3134151</v>
      </c>
      <c r="B252" s="252" t="s">
        <v>800</v>
      </c>
      <c r="C252" s="247" t="s">
        <v>801</v>
      </c>
      <c r="D252" s="246" t="s">
        <v>386</v>
      </c>
    </row>
    <row r="253" spans="1:4" ht="16.5" hidden="1" thickBot="1">
      <c r="A253" s="252">
        <v>3231</v>
      </c>
      <c r="B253" s="252" t="s">
        <v>802</v>
      </c>
      <c r="C253" s="247" t="s">
        <v>799</v>
      </c>
      <c r="D253" s="246" t="s">
        <v>492</v>
      </c>
    </row>
    <row r="254" spans="1:4" ht="16.5" hidden="1" thickBot="1">
      <c r="A254" s="252" t="s">
        <v>803</v>
      </c>
      <c r="B254" s="252" t="s">
        <v>804</v>
      </c>
      <c r="C254" s="247" t="s">
        <v>57</v>
      </c>
      <c r="D254" s="246" t="s">
        <v>492</v>
      </c>
    </row>
    <row r="255" spans="1:4" ht="16.5" hidden="1" thickBot="1">
      <c r="A255" s="252">
        <v>5586</v>
      </c>
      <c r="B255" s="252" t="s">
        <v>805</v>
      </c>
      <c r="C255" s="247" t="s">
        <v>799</v>
      </c>
      <c r="D255" s="246" t="s">
        <v>492</v>
      </c>
    </row>
    <row r="256" spans="1:4" ht="16.5" hidden="1" thickBot="1">
      <c r="A256" s="252" t="s">
        <v>806</v>
      </c>
      <c r="B256" s="252" t="s">
        <v>807</v>
      </c>
      <c r="C256" s="247" t="s">
        <v>57</v>
      </c>
      <c r="D256" s="246" t="s">
        <v>492</v>
      </c>
    </row>
    <row r="257" spans="1:4" ht="16.5" hidden="1" thickBot="1">
      <c r="A257" s="252">
        <v>1456497</v>
      </c>
      <c r="B257" s="252" t="s">
        <v>808</v>
      </c>
      <c r="C257" s="247" t="s">
        <v>57</v>
      </c>
      <c r="D257" s="246" t="s">
        <v>492</v>
      </c>
    </row>
    <row r="258" spans="1:4" ht="16.5" hidden="1" thickBot="1">
      <c r="A258" s="252">
        <v>6680</v>
      </c>
      <c r="B258" s="252" t="s">
        <v>809</v>
      </c>
      <c r="C258" s="247" t="s">
        <v>799</v>
      </c>
      <c r="D258" s="246" t="s">
        <v>492</v>
      </c>
    </row>
    <row r="259" spans="1:4" ht="16.5" hidden="1" thickBot="1">
      <c r="A259" s="252">
        <v>9860</v>
      </c>
      <c r="B259" s="252" t="s">
        <v>810</v>
      </c>
      <c r="C259" s="247" t="s">
        <v>811</v>
      </c>
      <c r="D259" s="246" t="s">
        <v>492</v>
      </c>
    </row>
    <row r="260" spans="1:4" ht="16.5" hidden="1" thickBot="1">
      <c r="A260" s="252" t="s">
        <v>812</v>
      </c>
      <c r="B260" s="252" t="s">
        <v>813</v>
      </c>
      <c r="C260" s="247" t="s">
        <v>814</v>
      </c>
      <c r="D260" s="246" t="s">
        <v>440</v>
      </c>
    </row>
    <row r="261" spans="1:4" ht="16.5" hidden="1" thickBot="1">
      <c r="A261" s="252" t="s">
        <v>815</v>
      </c>
      <c r="B261" s="252" t="s">
        <v>816</v>
      </c>
      <c r="C261" s="247" t="s">
        <v>814</v>
      </c>
      <c r="D261" s="246" t="s">
        <v>440</v>
      </c>
    </row>
    <row r="262" spans="1:4" ht="16.5" hidden="1" thickBot="1">
      <c r="A262" s="252">
        <v>21865</v>
      </c>
      <c r="B262" s="252" t="s">
        <v>817</v>
      </c>
      <c r="C262" s="247" t="s">
        <v>818</v>
      </c>
      <c r="D262" s="246" t="s">
        <v>386</v>
      </c>
    </row>
    <row r="263" spans="1:4" ht="16.5" hidden="1" thickBot="1">
      <c r="A263" s="252" t="s">
        <v>533</v>
      </c>
      <c r="B263" s="252" t="s">
        <v>819</v>
      </c>
      <c r="C263" s="247" t="s">
        <v>58</v>
      </c>
      <c r="D263" s="246" t="s">
        <v>420</v>
      </c>
    </row>
    <row r="264" spans="1:4" ht="16.5" hidden="1" thickBot="1">
      <c r="A264" s="252" t="s">
        <v>820</v>
      </c>
      <c r="B264" s="252" t="s">
        <v>821</v>
      </c>
      <c r="C264" s="247" t="s">
        <v>822</v>
      </c>
      <c r="D264" s="246" t="s">
        <v>420</v>
      </c>
    </row>
    <row r="265" spans="1:4" ht="16.5" hidden="1" thickBot="1">
      <c r="A265" s="252" t="s">
        <v>823</v>
      </c>
      <c r="B265" s="252" t="s">
        <v>59</v>
      </c>
      <c r="C265" s="247" t="s">
        <v>60</v>
      </c>
      <c r="D265" s="246" t="s">
        <v>420</v>
      </c>
    </row>
    <row r="266" spans="1:4" ht="16.5" hidden="1" thickBot="1">
      <c r="A266" s="252" t="s">
        <v>824</v>
      </c>
      <c r="B266" s="252" t="s">
        <v>825</v>
      </c>
      <c r="C266" s="247" t="s">
        <v>596</v>
      </c>
      <c r="D266" s="246" t="s">
        <v>420</v>
      </c>
    </row>
    <row r="267" spans="1:4" ht="16.5" hidden="1" thickBot="1">
      <c r="A267" s="252" t="s">
        <v>826</v>
      </c>
      <c r="B267" s="252" t="s">
        <v>827</v>
      </c>
      <c r="C267" s="247" t="s">
        <v>828</v>
      </c>
      <c r="D267" s="246" t="s">
        <v>420</v>
      </c>
    </row>
    <row r="268" spans="1:4" ht="16.5" hidden="1" thickBot="1">
      <c r="A268" s="252" t="s">
        <v>829</v>
      </c>
      <c r="B268" s="252" t="s">
        <v>830</v>
      </c>
      <c r="C268" s="247" t="s">
        <v>60</v>
      </c>
      <c r="D268" s="246" t="s">
        <v>420</v>
      </c>
    </row>
    <row r="269" spans="1:4" ht="16.5" hidden="1" thickBot="1">
      <c r="A269" s="252" t="s">
        <v>831</v>
      </c>
      <c r="B269" s="252" t="s">
        <v>832</v>
      </c>
      <c r="C269" s="247" t="s">
        <v>833</v>
      </c>
      <c r="D269" s="246" t="s">
        <v>420</v>
      </c>
    </row>
    <row r="270" spans="1:4" ht="16.5" hidden="1" thickBot="1">
      <c r="A270" s="252" t="s">
        <v>834</v>
      </c>
      <c r="B270" s="252" t="s">
        <v>61</v>
      </c>
      <c r="C270" s="247" t="s">
        <v>60</v>
      </c>
      <c r="D270" s="246" t="s">
        <v>420</v>
      </c>
    </row>
    <row r="271" spans="1:4" ht="16.5" hidden="1" thickBot="1">
      <c r="A271" s="252" t="s">
        <v>835</v>
      </c>
      <c r="B271" s="252" t="s">
        <v>836</v>
      </c>
      <c r="C271" s="247" t="s">
        <v>837</v>
      </c>
      <c r="D271" s="246" t="s">
        <v>420</v>
      </c>
    </row>
    <row r="272" spans="1:4" ht="16.5" hidden="1" thickBot="1">
      <c r="A272" s="252" t="s">
        <v>838</v>
      </c>
      <c r="B272" s="252" t="s">
        <v>839</v>
      </c>
      <c r="C272" s="247" t="s">
        <v>62</v>
      </c>
      <c r="D272" s="246" t="s">
        <v>420</v>
      </c>
    </row>
    <row r="273" spans="1:4" ht="16.5" hidden="1" thickBot="1">
      <c r="A273" s="252" t="s">
        <v>840</v>
      </c>
      <c r="B273" s="252" t="s">
        <v>63</v>
      </c>
      <c r="C273" s="247" t="s">
        <v>36</v>
      </c>
      <c r="D273" s="246" t="s">
        <v>420</v>
      </c>
    </row>
    <row r="274" spans="1:4" ht="16.5" hidden="1" thickBot="1">
      <c r="A274" s="252" t="s">
        <v>841</v>
      </c>
      <c r="B274" s="252" t="s">
        <v>64</v>
      </c>
      <c r="C274" s="247" t="s">
        <v>60</v>
      </c>
      <c r="D274" s="246" t="s">
        <v>420</v>
      </c>
    </row>
    <row r="275" spans="1:4" ht="16.5" hidden="1" thickBot="1">
      <c r="A275" s="252" t="s">
        <v>842</v>
      </c>
      <c r="B275" s="252" t="s">
        <v>843</v>
      </c>
      <c r="C275" s="247" t="s">
        <v>844</v>
      </c>
      <c r="D275" s="246" t="s">
        <v>420</v>
      </c>
    </row>
    <row r="276" spans="1:4" ht="16.5" hidden="1" thickBot="1">
      <c r="A276" s="252" t="s">
        <v>845</v>
      </c>
      <c r="B276" s="252" t="s">
        <v>65</v>
      </c>
      <c r="C276" s="247" t="s">
        <v>60</v>
      </c>
      <c r="D276" s="246" t="s">
        <v>420</v>
      </c>
    </row>
    <row r="277" spans="1:4" ht="16.5" hidden="1" thickBot="1">
      <c r="A277" s="252">
        <v>3861</v>
      </c>
      <c r="B277" s="252" t="s">
        <v>846</v>
      </c>
      <c r="C277" s="247" t="s">
        <v>60</v>
      </c>
      <c r="D277" s="246" t="s">
        <v>420</v>
      </c>
    </row>
    <row r="278" spans="1:4" ht="16.5" hidden="1" thickBot="1">
      <c r="A278" s="252" t="s">
        <v>847</v>
      </c>
      <c r="B278" s="252" t="s">
        <v>848</v>
      </c>
      <c r="C278" s="247" t="s">
        <v>828</v>
      </c>
      <c r="D278" s="246" t="s">
        <v>420</v>
      </c>
    </row>
    <row r="279" spans="1:4" ht="16.5" hidden="1" thickBot="1">
      <c r="A279" s="252">
        <v>38611</v>
      </c>
      <c r="B279" s="252" t="s">
        <v>849</v>
      </c>
      <c r="C279" s="247" t="s">
        <v>60</v>
      </c>
      <c r="D279" s="246" t="s">
        <v>420</v>
      </c>
    </row>
    <row r="280" spans="1:4" ht="16.5" hidden="1" thickBot="1">
      <c r="A280" s="252">
        <v>3870</v>
      </c>
      <c r="B280" s="252" t="s">
        <v>850</v>
      </c>
      <c r="C280" s="247" t="s">
        <v>66</v>
      </c>
      <c r="D280" s="246" t="s">
        <v>420</v>
      </c>
    </row>
    <row r="281" spans="1:4" ht="16.5" hidden="1" thickBot="1">
      <c r="A281" s="252">
        <v>3883</v>
      </c>
      <c r="B281" s="252" t="s">
        <v>851</v>
      </c>
      <c r="C281" s="247" t="s">
        <v>67</v>
      </c>
      <c r="D281" s="246" t="s">
        <v>420</v>
      </c>
    </row>
    <row r="282" spans="1:4" ht="16.5" hidden="1" thickBot="1">
      <c r="A282" s="252">
        <v>725739</v>
      </c>
      <c r="B282" s="252" t="s">
        <v>68</v>
      </c>
      <c r="C282" s="247" t="s">
        <v>69</v>
      </c>
      <c r="D282" s="246" t="s">
        <v>420</v>
      </c>
    </row>
    <row r="283" spans="1:4" ht="16.5" hidden="1" thickBot="1">
      <c r="A283" s="252">
        <v>3902</v>
      </c>
      <c r="B283" s="252" t="s">
        <v>852</v>
      </c>
      <c r="C283" s="247" t="s">
        <v>70</v>
      </c>
      <c r="D283" s="246" t="s">
        <v>420</v>
      </c>
    </row>
    <row r="284" spans="1:4" ht="16.5" hidden="1" thickBot="1">
      <c r="A284" s="252" t="s">
        <v>853</v>
      </c>
      <c r="B284" s="252" t="s">
        <v>71</v>
      </c>
      <c r="C284" s="247" t="s">
        <v>73</v>
      </c>
      <c r="D284" s="246" t="s">
        <v>420</v>
      </c>
    </row>
    <row r="285" spans="1:4" ht="16.5" hidden="1" thickBot="1">
      <c r="A285" s="252">
        <v>3911</v>
      </c>
      <c r="B285" s="252" t="s">
        <v>854</v>
      </c>
      <c r="C285" s="247" t="s">
        <v>855</v>
      </c>
      <c r="D285" s="246" t="s">
        <v>420</v>
      </c>
    </row>
    <row r="286" spans="1:4" ht="16.5" hidden="1" thickBot="1">
      <c r="A286" s="252" t="s">
        <v>856</v>
      </c>
      <c r="B286" s="252" t="s">
        <v>857</v>
      </c>
      <c r="C286" s="247" t="s">
        <v>858</v>
      </c>
      <c r="D286" s="246" t="s">
        <v>420</v>
      </c>
    </row>
    <row r="287" spans="1:4" ht="16.5" hidden="1" thickBot="1">
      <c r="A287" s="252">
        <v>3922</v>
      </c>
      <c r="B287" s="252" t="s">
        <v>72</v>
      </c>
      <c r="C287" s="247" t="s">
        <v>73</v>
      </c>
      <c r="D287" s="246" t="s">
        <v>420</v>
      </c>
    </row>
    <row r="288" spans="1:4" ht="16.5" hidden="1" thickBot="1">
      <c r="A288" s="252" t="s">
        <v>859</v>
      </c>
      <c r="B288" s="252" t="s">
        <v>74</v>
      </c>
      <c r="C288" s="247" t="s">
        <v>73</v>
      </c>
      <c r="D288" s="246" t="s">
        <v>420</v>
      </c>
    </row>
    <row r="289" spans="1:4" ht="16.5" hidden="1" thickBot="1">
      <c r="A289" s="252">
        <v>3922</v>
      </c>
      <c r="B289" s="252" t="s">
        <v>860</v>
      </c>
      <c r="C289" s="247" t="s">
        <v>855</v>
      </c>
      <c r="D289" s="246" t="s">
        <v>420</v>
      </c>
    </row>
    <row r="290" spans="1:4" ht="16.5" hidden="1" thickBot="1">
      <c r="A290" s="252" t="s">
        <v>861</v>
      </c>
      <c r="B290" s="252" t="s">
        <v>75</v>
      </c>
      <c r="C290" s="247" t="s">
        <v>73</v>
      </c>
      <c r="D290" s="246" t="s">
        <v>420</v>
      </c>
    </row>
    <row r="291" spans="1:4" ht="16.5" hidden="1" thickBot="1">
      <c r="A291" s="252">
        <v>3975</v>
      </c>
      <c r="B291" s="252" t="s">
        <v>862</v>
      </c>
      <c r="C291" s="247" t="s">
        <v>76</v>
      </c>
      <c r="D291" s="246" t="s">
        <v>420</v>
      </c>
    </row>
    <row r="292" spans="1:4" ht="16.5" hidden="1" thickBot="1">
      <c r="A292" s="252">
        <v>3976</v>
      </c>
      <c r="B292" s="252" t="s">
        <v>863</v>
      </c>
      <c r="C292" s="247" t="s">
        <v>76</v>
      </c>
      <c r="D292" s="246" t="s">
        <v>420</v>
      </c>
    </row>
    <row r="293" spans="1:4" ht="16.5" hidden="1" thickBot="1">
      <c r="A293" s="252">
        <v>3977</v>
      </c>
      <c r="B293" s="252" t="s">
        <v>864</v>
      </c>
      <c r="C293" s="247" t="s">
        <v>76</v>
      </c>
      <c r="D293" s="246" t="s">
        <v>420</v>
      </c>
    </row>
    <row r="294" spans="1:4" ht="16.5" thickBot="1">
      <c r="A294" s="252">
        <v>3983</v>
      </c>
      <c r="B294" s="252" t="s">
        <v>865</v>
      </c>
      <c r="C294" s="247" t="s">
        <v>866</v>
      </c>
      <c r="D294" s="246" t="s">
        <v>420</v>
      </c>
    </row>
    <row r="295" spans="1:4" ht="16.5" hidden="1" thickBot="1">
      <c r="A295" s="252">
        <v>3985</v>
      </c>
      <c r="B295" s="252" t="s">
        <v>867</v>
      </c>
      <c r="C295" s="247" t="s">
        <v>76</v>
      </c>
      <c r="D295" s="246" t="s">
        <v>420</v>
      </c>
    </row>
    <row r="296" spans="1:4" ht="16.5" hidden="1" thickBot="1">
      <c r="A296" s="252" t="s">
        <v>868</v>
      </c>
      <c r="B296" s="252" t="s">
        <v>77</v>
      </c>
      <c r="C296" s="247" t="s">
        <v>47</v>
      </c>
      <c r="D296" s="246" t="s">
        <v>420</v>
      </c>
    </row>
    <row r="297" spans="1:4" ht="16.5" hidden="1" thickBot="1">
      <c r="A297" s="252">
        <v>4141</v>
      </c>
      <c r="B297" s="252" t="s">
        <v>12</v>
      </c>
      <c r="C297" s="247" t="s">
        <v>78</v>
      </c>
      <c r="D297" s="246" t="s">
        <v>420</v>
      </c>
    </row>
    <row r="298" spans="1:4" ht="16.5" hidden="1" thickBot="1">
      <c r="A298" s="252" t="s">
        <v>869</v>
      </c>
      <c r="B298" s="252" t="s">
        <v>79</v>
      </c>
      <c r="C298" s="247" t="s">
        <v>47</v>
      </c>
      <c r="D298" s="246" t="s">
        <v>420</v>
      </c>
    </row>
    <row r="299" spans="1:4" ht="16.5" hidden="1" thickBot="1">
      <c r="A299" s="252" t="s">
        <v>870</v>
      </c>
      <c r="B299" s="252" t="s">
        <v>80</v>
      </c>
      <c r="C299" s="247" t="s">
        <v>871</v>
      </c>
      <c r="D299" s="246" t="s">
        <v>420</v>
      </c>
    </row>
    <row r="300" spans="1:4" ht="16.5" hidden="1" thickBot="1">
      <c r="A300" s="252">
        <v>825816</v>
      </c>
      <c r="B300" s="252" t="s">
        <v>81</v>
      </c>
      <c r="C300" s="247" t="s">
        <v>82</v>
      </c>
      <c r="D300" s="246" t="s">
        <v>420</v>
      </c>
    </row>
    <row r="301" spans="1:4" ht="16.5" hidden="1" thickBot="1">
      <c r="A301" s="252" t="s">
        <v>872</v>
      </c>
      <c r="B301" s="252" t="s">
        <v>83</v>
      </c>
      <c r="C301" s="247" t="s">
        <v>47</v>
      </c>
      <c r="D301" s="246" t="s">
        <v>420</v>
      </c>
    </row>
    <row r="302" spans="1:4" ht="16.5" hidden="1" thickBot="1">
      <c r="A302" s="252" t="s">
        <v>873</v>
      </c>
      <c r="B302" s="252" t="s">
        <v>874</v>
      </c>
      <c r="C302" s="247" t="s">
        <v>57</v>
      </c>
      <c r="D302" s="246" t="s">
        <v>492</v>
      </c>
    </row>
    <row r="303" spans="1:4" ht="16.5" hidden="1" thickBot="1">
      <c r="A303" s="252" t="s">
        <v>875</v>
      </c>
      <c r="B303" s="252" t="s">
        <v>876</v>
      </c>
      <c r="C303" s="247" t="s">
        <v>57</v>
      </c>
      <c r="D303" s="246" t="s">
        <v>492</v>
      </c>
    </row>
    <row r="304" spans="1:4" ht="16.5" hidden="1" thickBot="1">
      <c r="A304" s="252">
        <v>6601</v>
      </c>
      <c r="B304" s="252" t="s">
        <v>877</v>
      </c>
      <c r="C304" s="247" t="s">
        <v>57</v>
      </c>
      <c r="D304" s="246" t="s">
        <v>492</v>
      </c>
    </row>
    <row r="305" spans="1:4" ht="16.5" hidden="1" thickBot="1">
      <c r="A305" s="252" t="s">
        <v>111</v>
      </c>
      <c r="B305" s="252" t="s">
        <v>111</v>
      </c>
      <c r="C305" s="248" t="s">
        <v>250</v>
      </c>
      <c r="D305" s="246" t="s">
        <v>420</v>
      </c>
    </row>
    <row r="306" spans="1:4" ht="16.5" hidden="1" thickBot="1">
      <c r="A306" s="252">
        <v>6920</v>
      </c>
      <c r="B306" s="252" t="s">
        <v>879</v>
      </c>
      <c r="C306" s="256" t="s">
        <v>882</v>
      </c>
      <c r="D306" s="246" t="s">
        <v>420</v>
      </c>
    </row>
    <row r="307" spans="1:4" ht="16.5" hidden="1" thickBot="1">
      <c r="A307" s="252" t="s">
        <v>881</v>
      </c>
      <c r="B307" s="252" t="s">
        <v>880</v>
      </c>
      <c r="C307" s="256" t="s">
        <v>882</v>
      </c>
      <c r="D307" s="246" t="s">
        <v>420</v>
      </c>
    </row>
    <row r="308" spans="1:4" ht="16.5" hidden="1" thickBot="1">
      <c r="A308" s="252"/>
      <c r="B308" s="252"/>
      <c r="C308" s="249"/>
    </row>
    <row r="309" spans="1:4" ht="16.5" hidden="1" thickBot="1">
      <c r="A309" s="252"/>
      <c r="B309" s="252"/>
      <c r="C309" s="249"/>
    </row>
    <row r="310" spans="1:4" ht="16.5" hidden="1" thickBot="1">
      <c r="A310" s="252"/>
      <c r="B310" s="252"/>
      <c r="C310" s="249"/>
    </row>
    <row r="311" spans="1:4" ht="16.5" hidden="1" thickBot="1">
      <c r="A311" s="252"/>
      <c r="B311" s="252"/>
      <c r="C311" s="249"/>
    </row>
    <row r="312" spans="1:4" ht="16.5" hidden="1" thickBot="1">
      <c r="A312" s="252"/>
      <c r="B312" s="252"/>
      <c r="C312" s="250"/>
    </row>
    <row r="313" spans="1:4" ht="16.5" hidden="1" thickBot="1">
      <c r="A313" s="252"/>
      <c r="B313" s="252"/>
      <c r="C313" s="250"/>
    </row>
    <row r="314" spans="1:4" ht="16.5" hidden="1" thickBot="1">
      <c r="A314" s="252"/>
      <c r="B314" s="252"/>
      <c r="C314" s="250"/>
    </row>
    <row r="315" spans="1:4" ht="16.5" hidden="1" thickBot="1">
      <c r="A315" s="252"/>
      <c r="B315" s="252"/>
      <c r="C315" s="250"/>
    </row>
    <row r="316" spans="1:4" ht="16.5" hidden="1" thickBot="1">
      <c r="A316" s="252"/>
      <c r="B316" s="252"/>
      <c r="C316" s="250"/>
    </row>
    <row r="317" spans="1:4" ht="16.5" hidden="1" thickBot="1">
      <c r="A317" s="252"/>
      <c r="B317" s="252"/>
      <c r="C317" s="250"/>
    </row>
    <row r="318" spans="1:4" ht="16.5" hidden="1" thickBot="1">
      <c r="A318" s="252"/>
      <c r="B318" s="252"/>
      <c r="C318" s="250"/>
    </row>
    <row r="319" spans="1:4" ht="16.5" hidden="1" thickBot="1">
      <c r="A319" s="252"/>
      <c r="B319" s="252"/>
      <c r="C319" s="250"/>
    </row>
    <row r="320" spans="1:4" ht="16.5" hidden="1" thickBot="1">
      <c r="A320" s="252"/>
      <c r="B320" s="252"/>
      <c r="C320" s="250"/>
    </row>
    <row r="321" spans="1:3" ht="16.5" hidden="1" thickBot="1">
      <c r="A321" s="252"/>
      <c r="B321" s="252"/>
      <c r="C321" s="250"/>
    </row>
    <row r="322" spans="1:3" ht="16.5" hidden="1" thickBot="1">
      <c r="A322" s="252"/>
      <c r="B322" s="252"/>
      <c r="C322" s="250"/>
    </row>
    <row r="323" spans="1:3" ht="16.5" hidden="1" thickBot="1">
      <c r="A323" s="252"/>
      <c r="B323" s="252"/>
      <c r="C323" s="250"/>
    </row>
    <row r="324" spans="1:3" ht="16.5" hidden="1" thickBot="1">
      <c r="A324" s="252"/>
      <c r="B324" s="252"/>
      <c r="C324" s="250"/>
    </row>
    <row r="325" spans="1:3" hidden="1">
      <c r="A325" s="253"/>
      <c r="B325" s="253"/>
      <c r="C325" s="250"/>
    </row>
    <row r="326" spans="1:3" hidden="1">
      <c r="A326" s="253"/>
      <c r="B326" s="253"/>
      <c r="C326" s="250"/>
    </row>
    <row r="327" spans="1:3" hidden="1">
      <c r="A327" s="253"/>
      <c r="B327" s="253"/>
      <c r="C327" s="250"/>
    </row>
    <row r="328" spans="1:3" hidden="1">
      <c r="A328" s="253"/>
      <c r="B328" s="253"/>
      <c r="C328" s="250"/>
    </row>
  </sheetData>
  <phoneticPr fontId="4" type="noConversion"/>
  <conditionalFormatting sqref="A1">
    <cfRule type="duplicateValues" dxfId="17" priority="88"/>
  </conditionalFormatting>
  <conditionalFormatting sqref="A305:A310">
    <cfRule type="duplicateValues" dxfId="16" priority="331"/>
  </conditionalFormatting>
  <conditionalFormatting sqref="A311:A320 A322 A325 A329:A1048576">
    <cfRule type="duplicateValues" dxfId="15" priority="309"/>
  </conditionalFormatting>
  <conditionalFormatting sqref="A323">
    <cfRule type="duplicateValues" dxfId="14" priority="6"/>
  </conditionalFormatting>
  <conditionalFormatting sqref="A324">
    <cfRule type="duplicateValues" dxfId="13" priority="5"/>
  </conditionalFormatting>
  <conditionalFormatting sqref="A326:A328">
    <cfRule type="duplicateValues" dxfId="12" priority="2"/>
  </conditionalFormatting>
  <conditionalFormatting sqref="B1">
    <cfRule type="duplicateValues" dxfId="11" priority="89"/>
  </conditionalFormatting>
  <conditionalFormatting sqref="B305">
    <cfRule type="duplicateValues" dxfId="10" priority="310"/>
  </conditionalFormatting>
  <conditionalFormatting sqref="B306">
    <cfRule type="duplicateValues" dxfId="9" priority="14"/>
  </conditionalFormatting>
  <conditionalFormatting sqref="B307:B310">
    <cfRule type="duplicateValues" dxfId="8" priority="8"/>
  </conditionalFormatting>
  <conditionalFormatting sqref="B311">
    <cfRule type="duplicateValues" dxfId="7" priority="9"/>
  </conditionalFormatting>
  <conditionalFormatting sqref="B312:B317">
    <cfRule type="duplicateValues" dxfId="6" priority="11"/>
  </conditionalFormatting>
  <conditionalFormatting sqref="B318:B320">
    <cfRule type="duplicateValues" dxfId="5" priority="10"/>
  </conditionalFormatting>
  <conditionalFormatting sqref="B321:B322 B329:B1048576">
    <cfRule type="duplicateValues" dxfId="4" priority="330"/>
  </conditionalFormatting>
  <conditionalFormatting sqref="B323">
    <cfRule type="duplicateValues" dxfId="3" priority="7"/>
  </conditionalFormatting>
  <conditionalFormatting sqref="B324">
    <cfRule type="duplicateValues" dxfId="2" priority="4"/>
  </conditionalFormatting>
  <conditionalFormatting sqref="B325">
    <cfRule type="duplicateValues" dxfId="1" priority="3"/>
  </conditionalFormatting>
  <conditionalFormatting sqref="B326:B328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D916-D725-4317-8793-D4C0A1CECCC2}">
  <sheetPr>
    <pageSetUpPr fitToPage="1"/>
  </sheetPr>
  <dimension ref="A2:AI62"/>
  <sheetViews>
    <sheetView topLeftCell="P28" zoomScale="85" zoomScaleNormal="85" workbookViewId="0">
      <pane xSplit="12975" activePane="topRight"/>
      <selection activeCell="S56" sqref="S56"/>
      <selection pane="topRight" activeCell="G65" sqref="G65"/>
    </sheetView>
  </sheetViews>
  <sheetFormatPr defaultRowHeight="16.5"/>
  <cols>
    <col min="5" max="5" width="12" customWidth="1"/>
    <col min="6" max="6" width="9.5" customWidth="1"/>
    <col min="7" max="7" width="68.25" customWidth="1"/>
    <col min="9" max="9" width="10" customWidth="1"/>
    <col min="10" max="10" width="31" customWidth="1"/>
    <col min="11" max="11" width="9" customWidth="1"/>
    <col min="12" max="12" width="11.75" customWidth="1"/>
    <col min="13" max="13" width="9" customWidth="1"/>
    <col min="14" max="14" width="14" customWidth="1"/>
    <col min="15" max="15" width="19.625" customWidth="1"/>
    <col min="16" max="16" width="22.25" customWidth="1"/>
    <col min="17" max="17" width="12.875" customWidth="1"/>
    <col min="18" max="18" width="12.25" customWidth="1"/>
    <col min="19" max="19" width="9" customWidth="1"/>
    <col min="20" max="20" width="11.125" customWidth="1"/>
    <col min="21" max="21" width="13" customWidth="1"/>
    <col min="22" max="23" width="9" customWidth="1"/>
    <col min="24" max="24" width="18.625" bestFit="1" customWidth="1"/>
    <col min="25" max="26" width="9" customWidth="1"/>
    <col min="31" max="31" width="22.375" customWidth="1"/>
    <col min="32" max="32" width="56" customWidth="1"/>
    <col min="33" max="33" width="21.625" bestFit="1" customWidth="1"/>
    <col min="34" max="34" width="24.875" bestFit="1" customWidth="1"/>
    <col min="35" max="35" width="21" bestFit="1" customWidth="1"/>
  </cols>
  <sheetData>
    <row r="2" spans="1:35">
      <c r="A2" t="s">
        <v>258</v>
      </c>
      <c r="B2" t="s">
        <v>259</v>
      </c>
      <c r="C2" t="s">
        <v>206</v>
      </c>
      <c r="D2" t="s">
        <v>224</v>
      </c>
      <c r="E2" t="s">
        <v>304</v>
      </c>
      <c r="F2" t="s">
        <v>305</v>
      </c>
      <c r="G2" t="s">
        <v>306</v>
      </c>
      <c r="H2" t="s">
        <v>307</v>
      </c>
      <c r="I2" t="s">
        <v>308</v>
      </c>
      <c r="J2" t="s">
        <v>309</v>
      </c>
      <c r="K2" t="s">
        <v>310</v>
      </c>
      <c r="L2" t="s">
        <v>124</v>
      </c>
      <c r="M2" t="s">
        <v>125</v>
      </c>
      <c r="N2" t="s">
        <v>126</v>
      </c>
      <c r="O2" t="s">
        <v>311</v>
      </c>
      <c r="P2" t="s">
        <v>312</v>
      </c>
      <c r="Q2" t="s">
        <v>127</v>
      </c>
      <c r="R2" t="s">
        <v>128</v>
      </c>
      <c r="S2" t="s">
        <v>313</v>
      </c>
      <c r="T2" t="s">
        <v>129</v>
      </c>
      <c r="U2" t="s">
        <v>130</v>
      </c>
      <c r="V2" t="s">
        <v>314</v>
      </c>
      <c r="W2" t="s">
        <v>131</v>
      </c>
      <c r="X2" t="s">
        <v>132</v>
      </c>
      <c r="Y2" t="s">
        <v>133</v>
      </c>
      <c r="Z2" t="s">
        <v>315</v>
      </c>
      <c r="AH2" t="s">
        <v>316</v>
      </c>
    </row>
    <row r="3" spans="1:35">
      <c r="A3">
        <v>1</v>
      </c>
      <c r="B3">
        <v>1</v>
      </c>
      <c r="C3" t="s">
        <v>0</v>
      </c>
      <c r="D3" t="s">
        <v>219</v>
      </c>
      <c r="E3" t="s">
        <v>205</v>
      </c>
      <c r="F3">
        <v>20606</v>
      </c>
      <c r="G3" t="s">
        <v>317</v>
      </c>
      <c r="H3">
        <v>13</v>
      </c>
      <c r="I3">
        <v>104.5</v>
      </c>
      <c r="J3">
        <v>60</v>
      </c>
      <c r="K3">
        <v>6270</v>
      </c>
      <c r="L3">
        <v>110344.50000000003</v>
      </c>
      <c r="M3">
        <v>156</v>
      </c>
      <c r="N3">
        <v>3310.3350000000009</v>
      </c>
      <c r="P3">
        <v>0</v>
      </c>
      <c r="R3">
        <v>0</v>
      </c>
      <c r="X3">
        <v>9580.3350000000064</v>
      </c>
      <c r="Y3">
        <v>9580</v>
      </c>
      <c r="AE3" t="s">
        <v>304</v>
      </c>
      <c r="AF3" t="s">
        <v>306</v>
      </c>
      <c r="AG3" t="s">
        <v>206</v>
      </c>
      <c r="AH3" t="s">
        <v>318</v>
      </c>
      <c r="AI3" t="s">
        <v>319</v>
      </c>
    </row>
    <row r="4" spans="1:35">
      <c r="A4">
        <v>2</v>
      </c>
      <c r="B4">
        <v>2</v>
      </c>
      <c r="C4" t="s">
        <v>245</v>
      </c>
      <c r="D4" t="s">
        <v>227</v>
      </c>
      <c r="E4" t="s">
        <v>226</v>
      </c>
      <c r="F4" t="s">
        <v>320</v>
      </c>
      <c r="G4" t="s">
        <v>321</v>
      </c>
      <c r="H4">
        <v>19</v>
      </c>
      <c r="I4">
        <v>152</v>
      </c>
      <c r="J4">
        <v>60</v>
      </c>
      <c r="K4">
        <v>9120</v>
      </c>
      <c r="L4">
        <v>133512</v>
      </c>
      <c r="M4">
        <v>119</v>
      </c>
      <c r="N4">
        <v>4005.3599999999997</v>
      </c>
      <c r="P4">
        <v>0</v>
      </c>
      <c r="R4">
        <v>570</v>
      </c>
      <c r="X4">
        <v>13695.359999999986</v>
      </c>
      <c r="Y4">
        <v>13695</v>
      </c>
      <c r="AE4" t="s">
        <v>322</v>
      </c>
      <c r="AF4" t="s">
        <v>323</v>
      </c>
      <c r="AG4" t="s">
        <v>324</v>
      </c>
      <c r="AH4">
        <v>2</v>
      </c>
      <c r="AI4">
        <v>60</v>
      </c>
    </row>
    <row r="5" spans="1:35">
      <c r="A5">
        <v>3</v>
      </c>
      <c r="B5">
        <v>3</v>
      </c>
      <c r="C5" t="s">
        <v>246</v>
      </c>
      <c r="D5" t="s">
        <v>325</v>
      </c>
      <c r="E5" t="s">
        <v>326</v>
      </c>
      <c r="F5" t="s">
        <v>320</v>
      </c>
      <c r="G5" t="s">
        <v>327</v>
      </c>
      <c r="H5">
        <v>12</v>
      </c>
      <c r="I5">
        <v>96</v>
      </c>
      <c r="J5">
        <v>60</v>
      </c>
      <c r="K5">
        <v>5760</v>
      </c>
      <c r="L5">
        <v>110758</v>
      </c>
      <c r="M5">
        <v>106</v>
      </c>
      <c r="N5">
        <v>3322.74</v>
      </c>
      <c r="P5">
        <v>0</v>
      </c>
      <c r="R5">
        <v>0</v>
      </c>
      <c r="X5">
        <v>9082.7400000000052</v>
      </c>
      <c r="Y5">
        <v>9083</v>
      </c>
      <c r="AE5" s="245" t="s">
        <v>328</v>
      </c>
      <c r="AH5">
        <v>2</v>
      </c>
      <c r="AI5">
        <v>60</v>
      </c>
    </row>
    <row r="6" spans="1:35">
      <c r="A6">
        <v>4</v>
      </c>
      <c r="B6">
        <v>4</v>
      </c>
      <c r="C6" t="s">
        <v>329</v>
      </c>
      <c r="D6" t="s">
        <v>229</v>
      </c>
      <c r="E6" t="s">
        <v>228</v>
      </c>
      <c r="F6">
        <v>20607</v>
      </c>
      <c r="G6" t="s">
        <v>330</v>
      </c>
      <c r="H6">
        <v>16</v>
      </c>
      <c r="I6">
        <v>128</v>
      </c>
      <c r="J6">
        <v>55</v>
      </c>
      <c r="K6">
        <v>7040</v>
      </c>
      <c r="L6">
        <v>57611.599999999977</v>
      </c>
      <c r="M6">
        <v>130</v>
      </c>
      <c r="N6">
        <v>1728.3479999999993</v>
      </c>
      <c r="O6">
        <v>15671.900000000005</v>
      </c>
      <c r="P6">
        <v>313.4380000000001</v>
      </c>
      <c r="R6">
        <v>0</v>
      </c>
      <c r="X6">
        <v>9081.7859999999964</v>
      </c>
      <c r="Y6">
        <v>9082</v>
      </c>
    </row>
    <row r="7" spans="1:35">
      <c r="A7">
        <v>5</v>
      </c>
      <c r="B7">
        <v>5</v>
      </c>
      <c r="C7" t="s">
        <v>241</v>
      </c>
      <c r="D7" t="s">
        <v>232</v>
      </c>
      <c r="E7" t="s">
        <v>231</v>
      </c>
      <c r="F7">
        <v>20608</v>
      </c>
      <c r="G7" t="s">
        <v>331</v>
      </c>
      <c r="H7">
        <v>11</v>
      </c>
      <c r="I7">
        <v>89</v>
      </c>
      <c r="J7">
        <v>60</v>
      </c>
      <c r="K7">
        <v>5340</v>
      </c>
      <c r="L7">
        <v>128892.59999999999</v>
      </c>
      <c r="M7">
        <v>113</v>
      </c>
      <c r="N7">
        <v>3866.7779999999998</v>
      </c>
      <c r="P7">
        <v>0</v>
      </c>
      <c r="R7">
        <v>0</v>
      </c>
      <c r="X7">
        <v>9206.7779999999766</v>
      </c>
      <c r="Y7">
        <v>9207</v>
      </c>
      <c r="AE7" t="s">
        <v>254</v>
      </c>
      <c r="AF7" t="s">
        <v>332</v>
      </c>
      <c r="AG7" t="s">
        <v>333</v>
      </c>
      <c r="AH7">
        <v>10</v>
      </c>
      <c r="AI7">
        <v>60</v>
      </c>
    </row>
    <row r="8" spans="1:35">
      <c r="A8">
        <v>6</v>
      </c>
      <c r="B8">
        <v>6</v>
      </c>
      <c r="C8" t="s">
        <v>334</v>
      </c>
      <c r="D8" t="s">
        <v>335</v>
      </c>
      <c r="E8" t="s">
        <v>336</v>
      </c>
      <c r="F8" t="s">
        <v>320</v>
      </c>
      <c r="G8" t="s">
        <v>337</v>
      </c>
      <c r="H8">
        <v>7</v>
      </c>
      <c r="I8">
        <v>56</v>
      </c>
      <c r="J8">
        <v>60</v>
      </c>
      <c r="K8">
        <v>3360</v>
      </c>
      <c r="L8">
        <v>22992</v>
      </c>
      <c r="M8">
        <v>23</v>
      </c>
      <c r="N8">
        <v>574.80000000000007</v>
      </c>
      <c r="P8">
        <v>0</v>
      </c>
      <c r="R8">
        <v>0</v>
      </c>
      <c r="X8">
        <v>3934.7999999999993</v>
      </c>
      <c r="Y8">
        <v>3935</v>
      </c>
      <c r="AE8" s="245" t="s">
        <v>338</v>
      </c>
      <c r="AH8">
        <v>10</v>
      </c>
      <c r="AI8">
        <v>60</v>
      </c>
    </row>
    <row r="9" spans="1:35">
      <c r="A9">
        <v>7</v>
      </c>
      <c r="B9">
        <v>7</v>
      </c>
      <c r="C9" t="s">
        <v>339</v>
      </c>
      <c r="D9" t="s">
        <v>335</v>
      </c>
      <c r="E9" t="s">
        <v>336</v>
      </c>
      <c r="F9" t="s">
        <v>320</v>
      </c>
      <c r="G9" t="s">
        <v>340</v>
      </c>
      <c r="H9">
        <v>2</v>
      </c>
      <c r="I9">
        <v>16</v>
      </c>
      <c r="J9">
        <v>60</v>
      </c>
      <c r="K9">
        <v>960</v>
      </c>
      <c r="L9">
        <v>0</v>
      </c>
      <c r="M9">
        <v>0</v>
      </c>
      <c r="N9">
        <v>0</v>
      </c>
      <c r="P9">
        <v>0</v>
      </c>
      <c r="R9">
        <v>0</v>
      </c>
      <c r="X9">
        <v>960</v>
      </c>
      <c r="Y9">
        <v>960</v>
      </c>
    </row>
    <row r="10" spans="1:35">
      <c r="A10">
        <v>8</v>
      </c>
      <c r="B10">
        <v>8</v>
      </c>
      <c r="C10" t="s">
        <v>339</v>
      </c>
      <c r="D10" t="s">
        <v>248</v>
      </c>
      <c r="E10" t="s">
        <v>235</v>
      </c>
      <c r="F10" t="s">
        <v>320</v>
      </c>
      <c r="G10" t="s">
        <v>341</v>
      </c>
      <c r="H10">
        <v>4</v>
      </c>
      <c r="I10">
        <v>32</v>
      </c>
      <c r="J10">
        <v>60</v>
      </c>
      <c r="K10">
        <v>1920</v>
      </c>
      <c r="L10">
        <v>9102</v>
      </c>
      <c r="M10">
        <v>19</v>
      </c>
      <c r="N10">
        <v>273.06</v>
      </c>
      <c r="P10">
        <v>0</v>
      </c>
      <c r="R10">
        <v>0</v>
      </c>
      <c r="X10">
        <v>2193.0599999999995</v>
      </c>
      <c r="Y10">
        <v>2193</v>
      </c>
      <c r="AE10" t="s">
        <v>205</v>
      </c>
      <c r="AF10" t="s">
        <v>317</v>
      </c>
      <c r="AG10" t="s">
        <v>0</v>
      </c>
      <c r="AH10">
        <v>13</v>
      </c>
      <c r="AI10">
        <v>60</v>
      </c>
    </row>
    <row r="11" spans="1:35">
      <c r="A11">
        <v>9</v>
      </c>
      <c r="B11">
        <v>9</v>
      </c>
      <c r="C11" t="s">
        <v>333</v>
      </c>
      <c r="D11" t="s">
        <v>253</v>
      </c>
      <c r="E11" t="s">
        <v>254</v>
      </c>
      <c r="F11" t="s">
        <v>320</v>
      </c>
      <c r="G11" t="s">
        <v>332</v>
      </c>
      <c r="H11">
        <v>10</v>
      </c>
      <c r="I11">
        <v>90</v>
      </c>
      <c r="J11">
        <v>60</v>
      </c>
      <c r="K11">
        <v>5400</v>
      </c>
      <c r="L11">
        <v>61963</v>
      </c>
      <c r="M11">
        <v>50</v>
      </c>
      <c r="N11">
        <v>1858.8899999999999</v>
      </c>
      <c r="P11">
        <v>0</v>
      </c>
      <c r="R11">
        <v>0</v>
      </c>
      <c r="X11">
        <v>7258.8899999999994</v>
      </c>
      <c r="Y11">
        <v>7259</v>
      </c>
      <c r="AF11" t="s">
        <v>342</v>
      </c>
      <c r="AG11" t="s">
        <v>0</v>
      </c>
      <c r="AH11">
        <v>16</v>
      </c>
      <c r="AI11">
        <v>60</v>
      </c>
    </row>
    <row r="12" spans="1:35">
      <c r="A12">
        <v>1</v>
      </c>
      <c r="B12">
        <v>1</v>
      </c>
      <c r="C12" t="s">
        <v>0</v>
      </c>
      <c r="D12" t="s">
        <v>219</v>
      </c>
      <c r="E12" t="s">
        <v>205</v>
      </c>
      <c r="F12">
        <v>20703</v>
      </c>
      <c r="G12" t="s">
        <v>342</v>
      </c>
      <c r="H12">
        <v>16</v>
      </c>
      <c r="I12">
        <v>128.00000000000023</v>
      </c>
      <c r="J12">
        <v>60</v>
      </c>
      <c r="K12">
        <v>7680.0000000000136</v>
      </c>
      <c r="L12">
        <v>100677.09999999999</v>
      </c>
      <c r="M12">
        <v>154</v>
      </c>
      <c r="N12">
        <v>3020.3129999999996</v>
      </c>
      <c r="P12">
        <v>0</v>
      </c>
      <c r="R12">
        <v>0</v>
      </c>
      <c r="W12">
        <v>0</v>
      </c>
      <c r="X12">
        <v>10700.313000000009</v>
      </c>
      <c r="Y12">
        <v>10700</v>
      </c>
      <c r="Z12">
        <v>10700.313000000009</v>
      </c>
      <c r="AF12" t="s">
        <v>343</v>
      </c>
      <c r="AG12" t="s">
        <v>0</v>
      </c>
      <c r="AH12">
        <v>13</v>
      </c>
      <c r="AI12">
        <v>60</v>
      </c>
    </row>
    <row r="13" spans="1:35">
      <c r="A13">
        <v>2</v>
      </c>
      <c r="B13">
        <v>2</v>
      </c>
      <c r="C13" t="s">
        <v>245</v>
      </c>
      <c r="D13" t="s">
        <v>227</v>
      </c>
      <c r="E13" t="s">
        <v>226</v>
      </c>
      <c r="F13" t="s">
        <v>320</v>
      </c>
      <c r="G13" t="s">
        <v>344</v>
      </c>
      <c r="H13">
        <v>15</v>
      </c>
      <c r="I13">
        <v>121.50000000000024</v>
      </c>
      <c r="J13">
        <v>60</v>
      </c>
      <c r="K13">
        <v>7290.0000000000146</v>
      </c>
      <c r="L13">
        <v>120743</v>
      </c>
      <c r="M13">
        <v>107</v>
      </c>
      <c r="N13">
        <v>3622.29</v>
      </c>
      <c r="P13">
        <v>0</v>
      </c>
      <c r="R13">
        <v>0</v>
      </c>
      <c r="X13">
        <v>10912.290000000008</v>
      </c>
      <c r="Y13">
        <v>10912</v>
      </c>
      <c r="Z13">
        <v>10912.290000000008</v>
      </c>
      <c r="AE13" s="245" t="s">
        <v>345</v>
      </c>
      <c r="AH13">
        <v>42</v>
      </c>
      <c r="AI13">
        <v>180</v>
      </c>
    </row>
    <row r="14" spans="1:35">
      <c r="A14">
        <v>3</v>
      </c>
      <c r="B14">
        <v>3</v>
      </c>
      <c r="C14" t="s">
        <v>246</v>
      </c>
      <c r="D14" t="s">
        <v>249</v>
      </c>
      <c r="E14" t="s">
        <v>230</v>
      </c>
      <c r="F14" t="s">
        <v>320</v>
      </c>
      <c r="G14" t="s">
        <v>346</v>
      </c>
      <c r="H14">
        <v>8</v>
      </c>
      <c r="I14">
        <v>59</v>
      </c>
      <c r="J14">
        <v>65</v>
      </c>
      <c r="K14">
        <v>3835</v>
      </c>
      <c r="L14">
        <v>88345</v>
      </c>
      <c r="M14">
        <v>67</v>
      </c>
      <c r="N14">
        <v>2650.35</v>
      </c>
      <c r="P14">
        <v>0</v>
      </c>
      <c r="R14">
        <v>0</v>
      </c>
      <c r="W14">
        <v>0</v>
      </c>
      <c r="X14">
        <v>6485.3500000000058</v>
      </c>
      <c r="Y14">
        <v>6485</v>
      </c>
      <c r="Z14">
        <v>6485.3500000000058</v>
      </c>
    </row>
    <row r="15" spans="1:35">
      <c r="A15">
        <v>4</v>
      </c>
      <c r="B15">
        <v>4</v>
      </c>
      <c r="C15" t="s">
        <v>244</v>
      </c>
      <c r="D15" t="s">
        <v>229</v>
      </c>
      <c r="E15" t="s">
        <v>228</v>
      </c>
      <c r="F15">
        <v>20704</v>
      </c>
      <c r="G15" t="s">
        <v>347</v>
      </c>
      <c r="H15">
        <v>15</v>
      </c>
      <c r="I15">
        <v>120</v>
      </c>
      <c r="J15">
        <v>55</v>
      </c>
      <c r="K15">
        <v>6600</v>
      </c>
      <c r="L15">
        <v>57703.599999999991</v>
      </c>
      <c r="M15">
        <v>68</v>
      </c>
      <c r="N15">
        <v>1731.1079999999997</v>
      </c>
      <c r="O15">
        <v>57703.599999999991</v>
      </c>
      <c r="P15">
        <v>1154.0719999999999</v>
      </c>
      <c r="R15">
        <v>0</v>
      </c>
      <c r="W15">
        <v>0</v>
      </c>
      <c r="X15">
        <v>9485.179999999993</v>
      </c>
      <c r="Y15">
        <v>9485</v>
      </c>
      <c r="Z15">
        <v>67188.779999999984</v>
      </c>
      <c r="AE15" t="s">
        <v>348</v>
      </c>
      <c r="AF15" t="s">
        <v>349</v>
      </c>
      <c r="AG15" t="s">
        <v>324</v>
      </c>
      <c r="AH15">
        <v>1</v>
      </c>
      <c r="AI15">
        <v>60</v>
      </c>
    </row>
    <row r="16" spans="1:35">
      <c r="A16">
        <v>5</v>
      </c>
      <c r="B16">
        <v>5</v>
      </c>
      <c r="C16" t="s">
        <v>241</v>
      </c>
      <c r="D16" t="s">
        <v>232</v>
      </c>
      <c r="E16" t="s">
        <v>231</v>
      </c>
      <c r="F16">
        <v>20705</v>
      </c>
      <c r="G16" t="s">
        <v>350</v>
      </c>
      <c r="H16">
        <v>10</v>
      </c>
      <c r="I16">
        <v>75.5</v>
      </c>
      <c r="J16">
        <v>60</v>
      </c>
      <c r="K16">
        <v>4530</v>
      </c>
      <c r="L16">
        <v>75174.8</v>
      </c>
      <c r="M16">
        <v>86</v>
      </c>
      <c r="N16">
        <v>2255.2440000000001</v>
      </c>
      <c r="P16">
        <v>0</v>
      </c>
      <c r="R16">
        <v>0</v>
      </c>
      <c r="T16">
        <v>63</v>
      </c>
      <c r="W16">
        <v>0</v>
      </c>
      <c r="X16">
        <v>6848.2440000000061</v>
      </c>
      <c r="Y16">
        <v>6848</v>
      </c>
      <c r="Z16">
        <v>6848.2440000000061</v>
      </c>
      <c r="AE16" s="245" t="s">
        <v>351</v>
      </c>
      <c r="AH16">
        <v>1</v>
      </c>
      <c r="AI16">
        <v>60</v>
      </c>
    </row>
    <row r="17" spans="1:35">
      <c r="A17">
        <v>6</v>
      </c>
      <c r="B17">
        <v>6</v>
      </c>
      <c r="C17" t="s">
        <v>242</v>
      </c>
      <c r="D17" t="s">
        <v>352</v>
      </c>
      <c r="E17" t="s">
        <v>353</v>
      </c>
      <c r="F17">
        <v>20706</v>
      </c>
      <c r="G17" t="s">
        <v>354</v>
      </c>
      <c r="H17">
        <v>8</v>
      </c>
      <c r="I17">
        <v>58.99999999999995</v>
      </c>
      <c r="J17">
        <v>60</v>
      </c>
      <c r="K17">
        <v>3539.9999999999968</v>
      </c>
      <c r="L17">
        <v>11591.800000000001</v>
      </c>
      <c r="M17">
        <v>16</v>
      </c>
      <c r="N17">
        <v>347.75400000000002</v>
      </c>
      <c r="P17">
        <v>0</v>
      </c>
      <c r="R17">
        <v>0</v>
      </c>
      <c r="W17">
        <v>0</v>
      </c>
      <c r="X17">
        <v>3887.7539999999972</v>
      </c>
      <c r="Y17">
        <v>3888</v>
      </c>
      <c r="Z17">
        <v>3887.7539999999972</v>
      </c>
    </row>
    <row r="18" spans="1:35">
      <c r="A18">
        <v>7</v>
      </c>
      <c r="B18">
        <v>7</v>
      </c>
      <c r="C18" t="s">
        <v>355</v>
      </c>
      <c r="D18" t="s">
        <v>248</v>
      </c>
      <c r="E18" t="s">
        <v>235</v>
      </c>
      <c r="F18" t="s">
        <v>320</v>
      </c>
      <c r="G18" t="s">
        <v>356</v>
      </c>
      <c r="H18">
        <v>6</v>
      </c>
      <c r="I18">
        <v>47.999999999999957</v>
      </c>
      <c r="J18">
        <v>60</v>
      </c>
      <c r="K18">
        <v>2879.9999999999973</v>
      </c>
      <c r="L18">
        <v>15771.5</v>
      </c>
      <c r="M18">
        <v>15</v>
      </c>
      <c r="N18">
        <v>473.14499999999998</v>
      </c>
      <c r="P18">
        <v>0</v>
      </c>
      <c r="R18">
        <v>0</v>
      </c>
      <c r="W18">
        <v>0</v>
      </c>
      <c r="X18">
        <v>3353.1449999999968</v>
      </c>
      <c r="Y18">
        <v>3353</v>
      </c>
      <c r="Z18">
        <v>3353.1449999999968</v>
      </c>
      <c r="AE18" t="s">
        <v>353</v>
      </c>
      <c r="AF18" t="s">
        <v>357</v>
      </c>
      <c r="AG18" t="s">
        <v>334</v>
      </c>
      <c r="AH18">
        <v>7</v>
      </c>
      <c r="AI18">
        <v>60</v>
      </c>
    </row>
    <row r="19" spans="1:35">
      <c r="A19">
        <v>8</v>
      </c>
      <c r="B19">
        <v>8</v>
      </c>
      <c r="C19" t="s">
        <v>358</v>
      </c>
      <c r="D19" t="s">
        <v>325</v>
      </c>
      <c r="E19" t="s">
        <v>326</v>
      </c>
      <c r="F19" t="s">
        <v>320</v>
      </c>
      <c r="G19" t="s">
        <v>359</v>
      </c>
      <c r="H19">
        <v>1</v>
      </c>
      <c r="I19">
        <v>3</v>
      </c>
      <c r="J19">
        <v>60</v>
      </c>
      <c r="K19">
        <v>180</v>
      </c>
      <c r="L19">
        <v>0</v>
      </c>
      <c r="M19">
        <v>0</v>
      </c>
      <c r="N19">
        <v>0</v>
      </c>
      <c r="P19">
        <v>0</v>
      </c>
      <c r="R19">
        <v>0</v>
      </c>
      <c r="W19">
        <v>0</v>
      </c>
      <c r="X19">
        <v>180</v>
      </c>
      <c r="Y19">
        <v>180</v>
      </c>
      <c r="Z19">
        <v>180</v>
      </c>
      <c r="AF19" t="s">
        <v>354</v>
      </c>
      <c r="AG19" t="s">
        <v>242</v>
      </c>
      <c r="AH19">
        <v>8</v>
      </c>
      <c r="AI19">
        <v>60</v>
      </c>
    </row>
    <row r="20" spans="1:35">
      <c r="A20">
        <v>1</v>
      </c>
      <c r="B20">
        <v>1</v>
      </c>
      <c r="C20" t="s">
        <v>0</v>
      </c>
      <c r="D20" t="s">
        <v>219</v>
      </c>
      <c r="E20" t="s">
        <v>205</v>
      </c>
      <c r="F20">
        <v>20839</v>
      </c>
      <c r="G20" t="s">
        <v>343</v>
      </c>
      <c r="H20">
        <v>13</v>
      </c>
      <c r="I20">
        <v>104</v>
      </c>
      <c r="J20">
        <v>60</v>
      </c>
      <c r="K20">
        <v>6240</v>
      </c>
      <c r="L20">
        <v>60703.199999999983</v>
      </c>
      <c r="M20">
        <v>82</v>
      </c>
      <c r="N20">
        <v>1821.0959999999993</v>
      </c>
      <c r="P20">
        <v>0</v>
      </c>
      <c r="R20">
        <v>0</v>
      </c>
      <c r="W20">
        <v>0</v>
      </c>
      <c r="X20">
        <v>8061.096000000005</v>
      </c>
      <c r="Y20">
        <v>8061</v>
      </c>
      <c r="AE20" s="245" t="s">
        <v>360</v>
      </c>
      <c r="AH20">
        <v>15</v>
      </c>
      <c r="AI20">
        <v>120</v>
      </c>
    </row>
    <row r="21" spans="1:35">
      <c r="A21">
        <v>2</v>
      </c>
      <c r="B21">
        <v>2</v>
      </c>
      <c r="C21" t="s">
        <v>245</v>
      </c>
      <c r="D21" t="s">
        <v>227</v>
      </c>
      <c r="E21" t="s">
        <v>226</v>
      </c>
      <c r="F21" t="s">
        <v>320</v>
      </c>
      <c r="G21" t="s">
        <v>361</v>
      </c>
      <c r="H21">
        <v>17</v>
      </c>
      <c r="I21">
        <v>136</v>
      </c>
      <c r="J21">
        <v>60</v>
      </c>
      <c r="K21">
        <v>8160</v>
      </c>
      <c r="L21">
        <v>103892</v>
      </c>
      <c r="M21">
        <v>118</v>
      </c>
      <c r="N21">
        <v>3116.7599999999998</v>
      </c>
      <c r="P21">
        <v>0</v>
      </c>
      <c r="R21">
        <v>0</v>
      </c>
      <c r="W21">
        <v>-563.83800000000008</v>
      </c>
      <c r="X21">
        <v>10712.921999999991</v>
      </c>
      <c r="Y21">
        <v>10713</v>
      </c>
    </row>
    <row r="22" spans="1:35">
      <c r="A22">
        <v>3</v>
      </c>
      <c r="B22">
        <v>3</v>
      </c>
      <c r="C22" t="s">
        <v>246</v>
      </c>
      <c r="D22" t="s">
        <v>362</v>
      </c>
      <c r="E22" t="s">
        <v>230</v>
      </c>
      <c r="F22" t="s">
        <v>320</v>
      </c>
      <c r="G22" t="s">
        <v>363</v>
      </c>
      <c r="H22">
        <v>9</v>
      </c>
      <c r="I22">
        <v>68</v>
      </c>
      <c r="J22">
        <v>65</v>
      </c>
      <c r="K22">
        <v>4420</v>
      </c>
      <c r="L22">
        <v>70272</v>
      </c>
      <c r="M22">
        <v>74</v>
      </c>
      <c r="N22">
        <v>2108.16</v>
      </c>
      <c r="P22">
        <v>0</v>
      </c>
      <c r="R22">
        <v>0</v>
      </c>
      <c r="W22">
        <v>0</v>
      </c>
      <c r="X22">
        <v>6528.1600000000035</v>
      </c>
      <c r="Y22">
        <v>6528</v>
      </c>
      <c r="AE22" t="s">
        <v>235</v>
      </c>
      <c r="AF22" t="s">
        <v>364</v>
      </c>
      <c r="AG22" t="s">
        <v>324</v>
      </c>
      <c r="AH22">
        <v>5</v>
      </c>
      <c r="AI22">
        <v>60</v>
      </c>
    </row>
    <row r="23" spans="1:35">
      <c r="A23">
        <v>4</v>
      </c>
      <c r="B23">
        <v>4</v>
      </c>
      <c r="C23" t="s">
        <v>329</v>
      </c>
      <c r="D23" t="s">
        <v>229</v>
      </c>
      <c r="E23" t="s">
        <v>228</v>
      </c>
      <c r="F23">
        <v>20840</v>
      </c>
      <c r="G23" t="s">
        <v>365</v>
      </c>
      <c r="H23">
        <v>16</v>
      </c>
      <c r="I23">
        <v>128</v>
      </c>
      <c r="J23">
        <v>55</v>
      </c>
      <c r="K23">
        <v>7040</v>
      </c>
      <c r="L23">
        <v>32194.600000000002</v>
      </c>
      <c r="M23">
        <v>51</v>
      </c>
      <c r="N23">
        <v>965.83800000000008</v>
      </c>
      <c r="O23">
        <v>18282</v>
      </c>
      <c r="P23">
        <v>365.64</v>
      </c>
      <c r="R23">
        <v>0</v>
      </c>
      <c r="U23">
        <v>-786.27</v>
      </c>
      <c r="W23">
        <v>0</v>
      </c>
      <c r="X23">
        <v>7585.2080000000096</v>
      </c>
      <c r="Y23">
        <v>7585</v>
      </c>
      <c r="AF23" t="s">
        <v>341</v>
      </c>
      <c r="AG23" t="s">
        <v>324</v>
      </c>
      <c r="AH23">
        <v>4</v>
      </c>
      <c r="AI23">
        <v>60</v>
      </c>
    </row>
    <row r="24" spans="1:35">
      <c r="A24">
        <v>5</v>
      </c>
      <c r="B24">
        <v>5</v>
      </c>
      <c r="C24" t="s">
        <v>247</v>
      </c>
      <c r="D24" t="s">
        <v>232</v>
      </c>
      <c r="E24" t="s">
        <v>231</v>
      </c>
      <c r="F24">
        <v>20841</v>
      </c>
      <c r="G24" t="s">
        <v>366</v>
      </c>
      <c r="H24">
        <v>2</v>
      </c>
      <c r="I24">
        <v>18.5</v>
      </c>
      <c r="J24">
        <v>60</v>
      </c>
      <c r="K24">
        <v>1110</v>
      </c>
      <c r="L24">
        <v>23261.199999999997</v>
      </c>
      <c r="M24">
        <v>21</v>
      </c>
      <c r="N24">
        <v>697.8359999999999</v>
      </c>
      <c r="P24">
        <v>0</v>
      </c>
      <c r="R24">
        <v>0</v>
      </c>
      <c r="W24">
        <v>0</v>
      </c>
      <c r="X24">
        <v>1807.8359999999993</v>
      </c>
      <c r="Y24">
        <v>1808</v>
      </c>
      <c r="AF24" t="s">
        <v>356</v>
      </c>
      <c r="AG24" t="s">
        <v>355</v>
      </c>
      <c r="AH24">
        <v>6</v>
      </c>
      <c r="AI24">
        <v>60</v>
      </c>
    </row>
    <row r="25" spans="1:35">
      <c r="A25">
        <v>6</v>
      </c>
      <c r="B25">
        <v>6</v>
      </c>
      <c r="C25" t="s">
        <v>241</v>
      </c>
      <c r="D25" t="s">
        <v>232</v>
      </c>
      <c r="E25" t="s">
        <v>231</v>
      </c>
      <c r="F25">
        <v>20842</v>
      </c>
      <c r="G25" t="s">
        <v>367</v>
      </c>
      <c r="H25">
        <v>18</v>
      </c>
      <c r="I25">
        <v>169.5</v>
      </c>
      <c r="J25">
        <v>60</v>
      </c>
      <c r="K25">
        <v>10170</v>
      </c>
      <c r="L25">
        <v>167810.4</v>
      </c>
      <c r="M25">
        <v>154</v>
      </c>
      <c r="N25">
        <v>5034.3119999999999</v>
      </c>
      <c r="P25">
        <v>0</v>
      </c>
      <c r="R25">
        <v>0</v>
      </c>
      <c r="W25">
        <v>0</v>
      </c>
      <c r="X25">
        <v>15204.312000000005</v>
      </c>
      <c r="Y25">
        <v>15204</v>
      </c>
      <c r="AE25" s="245" t="s">
        <v>368</v>
      </c>
      <c r="AH25">
        <v>15</v>
      </c>
      <c r="AI25">
        <v>180</v>
      </c>
    </row>
    <row r="26" spans="1:35">
      <c r="A26">
        <v>7</v>
      </c>
      <c r="B26">
        <v>7</v>
      </c>
      <c r="C26" t="s">
        <v>369</v>
      </c>
      <c r="D26" t="s">
        <v>335</v>
      </c>
      <c r="E26" t="s">
        <v>336</v>
      </c>
      <c r="F26" t="s">
        <v>320</v>
      </c>
      <c r="G26" t="s">
        <v>370</v>
      </c>
      <c r="H26">
        <v>6</v>
      </c>
      <c r="I26">
        <v>55</v>
      </c>
      <c r="J26">
        <v>60</v>
      </c>
      <c r="K26">
        <v>3300</v>
      </c>
      <c r="L26">
        <v>42178</v>
      </c>
      <c r="M26">
        <v>55</v>
      </c>
      <c r="N26">
        <v>1054.45</v>
      </c>
      <c r="P26">
        <v>0</v>
      </c>
      <c r="R26">
        <v>0</v>
      </c>
      <c r="W26">
        <v>0</v>
      </c>
      <c r="X26">
        <v>4354.4499999999971</v>
      </c>
      <c r="Y26">
        <v>4354</v>
      </c>
    </row>
    <row r="27" spans="1:35">
      <c r="A27">
        <v>8</v>
      </c>
      <c r="B27">
        <v>8</v>
      </c>
      <c r="C27" t="s">
        <v>334</v>
      </c>
      <c r="D27" t="s">
        <v>352</v>
      </c>
      <c r="E27" t="s">
        <v>353</v>
      </c>
      <c r="F27">
        <v>20843</v>
      </c>
      <c r="G27" t="s">
        <v>357</v>
      </c>
      <c r="H27">
        <v>7</v>
      </c>
      <c r="I27">
        <v>56</v>
      </c>
      <c r="J27">
        <v>60</v>
      </c>
      <c r="K27">
        <v>3360</v>
      </c>
      <c r="L27">
        <v>15434.800000000003</v>
      </c>
      <c r="M27">
        <v>24</v>
      </c>
      <c r="N27">
        <v>463.0440000000001</v>
      </c>
      <c r="P27">
        <v>0</v>
      </c>
      <c r="R27">
        <v>0</v>
      </c>
      <c r="W27">
        <v>0</v>
      </c>
      <c r="X27">
        <v>3823.0440000000017</v>
      </c>
      <c r="Y27">
        <v>3823</v>
      </c>
      <c r="AE27" t="s">
        <v>226</v>
      </c>
      <c r="AF27" t="s">
        <v>321</v>
      </c>
      <c r="AG27" t="s">
        <v>245</v>
      </c>
      <c r="AH27">
        <v>19</v>
      </c>
      <c r="AI27">
        <v>60</v>
      </c>
    </row>
    <row r="28" spans="1:35">
      <c r="A28">
        <v>9</v>
      </c>
      <c r="B28">
        <v>9</v>
      </c>
      <c r="C28" t="s">
        <v>334</v>
      </c>
      <c r="D28" t="s">
        <v>371</v>
      </c>
      <c r="E28" t="s">
        <v>372</v>
      </c>
      <c r="F28" t="s">
        <v>320</v>
      </c>
      <c r="G28" t="s">
        <v>373</v>
      </c>
      <c r="H28">
        <v>2</v>
      </c>
      <c r="I28">
        <v>16</v>
      </c>
      <c r="J28">
        <v>60</v>
      </c>
      <c r="K28">
        <v>960</v>
      </c>
      <c r="L28">
        <v>996</v>
      </c>
      <c r="M28">
        <v>2</v>
      </c>
      <c r="N28">
        <v>29.88</v>
      </c>
      <c r="P28">
        <v>0</v>
      </c>
      <c r="R28">
        <v>0</v>
      </c>
      <c r="W28">
        <v>0</v>
      </c>
      <c r="X28">
        <v>989.88000000000011</v>
      </c>
      <c r="Y28">
        <v>990</v>
      </c>
      <c r="AF28" t="s">
        <v>344</v>
      </c>
      <c r="AG28" t="s">
        <v>245</v>
      </c>
      <c r="AH28">
        <v>15</v>
      </c>
      <c r="AI28">
        <v>60</v>
      </c>
    </row>
    <row r="29" spans="1:35">
      <c r="A29">
        <v>10</v>
      </c>
      <c r="B29">
        <v>10</v>
      </c>
      <c r="C29" t="s">
        <v>339</v>
      </c>
      <c r="D29" t="s">
        <v>248</v>
      </c>
      <c r="E29" t="s">
        <v>235</v>
      </c>
      <c r="F29" t="s">
        <v>320</v>
      </c>
      <c r="G29" t="s">
        <v>364</v>
      </c>
      <c r="H29">
        <v>5</v>
      </c>
      <c r="I29">
        <v>40</v>
      </c>
      <c r="J29">
        <v>60</v>
      </c>
      <c r="K29">
        <v>2400</v>
      </c>
      <c r="L29">
        <v>12148</v>
      </c>
      <c r="M29">
        <v>18</v>
      </c>
      <c r="N29">
        <v>364.44</v>
      </c>
      <c r="P29">
        <v>0</v>
      </c>
      <c r="R29">
        <v>0</v>
      </c>
      <c r="W29">
        <v>0</v>
      </c>
      <c r="X29">
        <v>2764.4400000000005</v>
      </c>
      <c r="Y29">
        <v>2764</v>
      </c>
      <c r="AF29" t="s">
        <v>361</v>
      </c>
      <c r="AG29" t="s">
        <v>245</v>
      </c>
      <c r="AH29">
        <v>17</v>
      </c>
      <c r="AI29">
        <v>60</v>
      </c>
    </row>
    <row r="30" spans="1:35">
      <c r="A30">
        <v>11</v>
      </c>
      <c r="B30">
        <v>11</v>
      </c>
      <c r="C30" t="s">
        <v>339</v>
      </c>
      <c r="D30" t="s">
        <v>374</v>
      </c>
      <c r="E30" t="s">
        <v>322</v>
      </c>
      <c r="F30">
        <v>20844</v>
      </c>
      <c r="G30" t="s">
        <v>323</v>
      </c>
      <c r="H30">
        <v>2</v>
      </c>
      <c r="I30">
        <v>16</v>
      </c>
      <c r="J30">
        <v>60</v>
      </c>
      <c r="K30">
        <v>960</v>
      </c>
      <c r="L30">
        <v>648</v>
      </c>
      <c r="M30">
        <v>1</v>
      </c>
      <c r="N30">
        <v>19.439999999999998</v>
      </c>
      <c r="P30">
        <v>0</v>
      </c>
      <c r="R30">
        <v>0</v>
      </c>
      <c r="T30">
        <v>30</v>
      </c>
      <c r="W30">
        <v>0</v>
      </c>
      <c r="X30">
        <v>1009.44</v>
      </c>
      <c r="Y30">
        <v>1009</v>
      </c>
      <c r="AE30" s="245" t="s">
        <v>375</v>
      </c>
      <c r="AH30">
        <v>51</v>
      </c>
      <c r="AI30">
        <v>180</v>
      </c>
    </row>
    <row r="31" spans="1:35">
      <c r="A31">
        <v>12</v>
      </c>
      <c r="B31">
        <v>12</v>
      </c>
      <c r="C31" t="s">
        <v>339</v>
      </c>
      <c r="D31" t="s">
        <v>234</v>
      </c>
      <c r="E31" t="s">
        <v>233</v>
      </c>
      <c r="F31" t="s">
        <v>320</v>
      </c>
      <c r="G31" t="s">
        <v>373</v>
      </c>
      <c r="H31">
        <v>2</v>
      </c>
      <c r="I31">
        <v>16</v>
      </c>
      <c r="J31">
        <v>60</v>
      </c>
      <c r="K31">
        <v>960</v>
      </c>
      <c r="L31">
        <v>4558</v>
      </c>
      <c r="M31">
        <v>6</v>
      </c>
      <c r="N31">
        <v>136.74</v>
      </c>
      <c r="P31">
        <v>0</v>
      </c>
      <c r="R31">
        <v>0</v>
      </c>
      <c r="T31">
        <v>30</v>
      </c>
      <c r="W31">
        <v>0</v>
      </c>
      <c r="X31">
        <v>1126.7399999999998</v>
      </c>
      <c r="Y31">
        <v>1127</v>
      </c>
    </row>
    <row r="32" spans="1:35">
      <c r="A32">
        <v>13</v>
      </c>
      <c r="B32">
        <v>13</v>
      </c>
      <c r="C32" t="s">
        <v>339</v>
      </c>
      <c r="D32" t="s">
        <v>376</v>
      </c>
      <c r="E32" t="s">
        <v>348</v>
      </c>
      <c r="F32" t="s">
        <v>320</v>
      </c>
      <c r="G32" t="s">
        <v>349</v>
      </c>
      <c r="H32">
        <v>1</v>
      </c>
      <c r="I32">
        <v>8</v>
      </c>
      <c r="J32">
        <v>60</v>
      </c>
      <c r="K32">
        <v>480</v>
      </c>
      <c r="L32">
        <v>0</v>
      </c>
      <c r="M32">
        <v>0</v>
      </c>
      <c r="X32">
        <v>480</v>
      </c>
      <c r="Y32">
        <v>480</v>
      </c>
      <c r="AE32" t="s">
        <v>228</v>
      </c>
      <c r="AF32" t="s">
        <v>365</v>
      </c>
      <c r="AG32" t="s">
        <v>329</v>
      </c>
      <c r="AH32">
        <v>16</v>
      </c>
      <c r="AI32">
        <v>55</v>
      </c>
    </row>
    <row r="33" spans="1:35">
      <c r="A33">
        <v>14</v>
      </c>
      <c r="B33">
        <v>14</v>
      </c>
      <c r="C33" t="s">
        <v>369</v>
      </c>
      <c r="D33" t="s">
        <v>335</v>
      </c>
      <c r="E33" t="s">
        <v>336</v>
      </c>
      <c r="F33">
        <v>20887</v>
      </c>
      <c r="L33">
        <v>42178</v>
      </c>
      <c r="M33">
        <v>55</v>
      </c>
      <c r="N33">
        <v>210.89000000000001</v>
      </c>
      <c r="P33">
        <v>0</v>
      </c>
      <c r="R33">
        <v>0</v>
      </c>
      <c r="W33">
        <v>0</v>
      </c>
      <c r="X33">
        <v>210.88999999999942</v>
      </c>
      <c r="Y33">
        <v>211</v>
      </c>
      <c r="AF33" t="s">
        <v>347</v>
      </c>
      <c r="AG33" t="s">
        <v>244</v>
      </c>
      <c r="AH33">
        <v>15</v>
      </c>
      <c r="AI33">
        <v>55</v>
      </c>
    </row>
    <row r="34" spans="1:35">
      <c r="A34">
        <v>15</v>
      </c>
      <c r="B34">
        <v>15</v>
      </c>
      <c r="C34" t="s">
        <v>246</v>
      </c>
      <c r="D34" t="s">
        <v>249</v>
      </c>
      <c r="E34" t="s">
        <v>230</v>
      </c>
      <c r="F34" t="s">
        <v>320</v>
      </c>
      <c r="G34" t="s">
        <v>914</v>
      </c>
      <c r="H34">
        <v>6</v>
      </c>
      <c r="I34">
        <v>48</v>
      </c>
      <c r="J34">
        <v>65</v>
      </c>
      <c r="K34">
        <v>3120</v>
      </c>
      <c r="L34">
        <v>47634</v>
      </c>
      <c r="M34">
        <v>46</v>
      </c>
      <c r="N34">
        <v>1429.02</v>
      </c>
      <c r="P34">
        <v>0</v>
      </c>
      <c r="R34">
        <v>0</v>
      </c>
      <c r="U34">
        <v>0</v>
      </c>
      <c r="X34">
        <v>4549.0199999999968</v>
      </c>
      <c r="Y34">
        <v>4549</v>
      </c>
      <c r="AF34" t="s">
        <v>330</v>
      </c>
      <c r="AG34" t="s">
        <v>329</v>
      </c>
      <c r="AH34">
        <v>16</v>
      </c>
      <c r="AI34">
        <v>55</v>
      </c>
    </row>
    <row r="35" spans="1:35">
      <c r="A35">
        <v>16</v>
      </c>
      <c r="B35">
        <v>16</v>
      </c>
      <c r="C35" t="s">
        <v>246</v>
      </c>
      <c r="D35" t="s">
        <v>900</v>
      </c>
      <c r="E35" t="s">
        <v>901</v>
      </c>
      <c r="F35">
        <v>20927</v>
      </c>
      <c r="G35" t="s">
        <v>915</v>
      </c>
      <c r="H35">
        <v>2</v>
      </c>
      <c r="I35">
        <v>16</v>
      </c>
      <c r="J35">
        <v>60</v>
      </c>
      <c r="K35">
        <v>960</v>
      </c>
      <c r="L35">
        <v>12302</v>
      </c>
      <c r="M35">
        <v>4</v>
      </c>
      <c r="N35">
        <v>369.06</v>
      </c>
      <c r="P35">
        <v>0</v>
      </c>
      <c r="R35">
        <v>0</v>
      </c>
      <c r="U35">
        <v>0</v>
      </c>
      <c r="X35">
        <v>1329.0599999999995</v>
      </c>
      <c r="Y35">
        <v>1329</v>
      </c>
      <c r="AE35" s="245" t="s">
        <v>377</v>
      </c>
      <c r="AH35">
        <v>47</v>
      </c>
      <c r="AI35">
        <v>165</v>
      </c>
    </row>
    <row r="36" spans="1:35">
      <c r="A36">
        <v>17</v>
      </c>
      <c r="B36">
        <v>17</v>
      </c>
      <c r="C36" t="s">
        <v>902</v>
      </c>
      <c r="D36" t="s">
        <v>376</v>
      </c>
      <c r="E36" t="s">
        <v>348</v>
      </c>
      <c r="F36" t="s">
        <v>320</v>
      </c>
      <c r="G36" t="s">
        <v>916</v>
      </c>
      <c r="H36">
        <v>12</v>
      </c>
      <c r="I36">
        <v>96</v>
      </c>
      <c r="J36">
        <v>60</v>
      </c>
      <c r="K36">
        <v>5760</v>
      </c>
      <c r="L36">
        <v>92452</v>
      </c>
      <c r="M36">
        <v>48</v>
      </c>
      <c r="N36">
        <v>2773.56</v>
      </c>
      <c r="P36">
        <v>0</v>
      </c>
      <c r="R36">
        <v>0</v>
      </c>
      <c r="U36">
        <v>0</v>
      </c>
      <c r="X36">
        <v>8533.5599999999977</v>
      </c>
      <c r="Y36">
        <v>8534</v>
      </c>
    </row>
    <row r="37" spans="1:35">
      <c r="A37">
        <v>18</v>
      </c>
      <c r="B37">
        <v>18</v>
      </c>
      <c r="C37" t="s">
        <v>903</v>
      </c>
      <c r="D37" t="s">
        <v>904</v>
      </c>
      <c r="E37" t="s">
        <v>905</v>
      </c>
      <c r="F37">
        <v>20929</v>
      </c>
      <c r="G37" t="s">
        <v>917</v>
      </c>
      <c r="H37">
        <v>17</v>
      </c>
      <c r="I37">
        <v>136</v>
      </c>
      <c r="J37">
        <v>60</v>
      </c>
      <c r="K37">
        <v>8160</v>
      </c>
      <c r="L37">
        <v>248132</v>
      </c>
      <c r="M37">
        <v>124</v>
      </c>
      <c r="N37">
        <v>7443.96</v>
      </c>
      <c r="P37">
        <v>0</v>
      </c>
      <c r="R37">
        <v>0</v>
      </c>
      <c r="U37">
        <v>0</v>
      </c>
      <c r="X37">
        <v>15603.960000000021</v>
      </c>
      <c r="Y37">
        <v>15604</v>
      </c>
      <c r="AE37" t="s">
        <v>378</v>
      </c>
      <c r="AF37" t="s">
        <v>373</v>
      </c>
      <c r="AG37" t="s">
        <v>334</v>
      </c>
      <c r="AH37">
        <v>2</v>
      </c>
      <c r="AI37">
        <v>60</v>
      </c>
    </row>
    <row r="38" spans="1:35">
      <c r="A38">
        <v>19</v>
      </c>
      <c r="B38">
        <v>19</v>
      </c>
      <c r="C38" t="s">
        <v>906</v>
      </c>
      <c r="D38" t="s">
        <v>907</v>
      </c>
      <c r="E38" t="s">
        <v>908</v>
      </c>
      <c r="F38">
        <v>20930</v>
      </c>
      <c r="G38" t="s">
        <v>918</v>
      </c>
      <c r="H38">
        <v>14</v>
      </c>
      <c r="I38">
        <v>112</v>
      </c>
      <c r="J38">
        <v>60</v>
      </c>
      <c r="K38">
        <v>6720</v>
      </c>
      <c r="L38">
        <v>184019</v>
      </c>
      <c r="M38">
        <v>113</v>
      </c>
      <c r="N38">
        <v>5520.57</v>
      </c>
      <c r="P38">
        <v>0</v>
      </c>
      <c r="R38">
        <v>0</v>
      </c>
      <c r="U38">
        <v>0</v>
      </c>
      <c r="X38">
        <v>12240.570000000007</v>
      </c>
      <c r="Y38">
        <v>12241</v>
      </c>
      <c r="AE38" s="245" t="s">
        <v>379</v>
      </c>
      <c r="AH38">
        <v>2</v>
      </c>
      <c r="AI38">
        <v>60</v>
      </c>
    </row>
    <row r="39" spans="1:35">
      <c r="A39">
        <v>20</v>
      </c>
      <c r="B39">
        <v>20</v>
      </c>
      <c r="C39" t="s">
        <v>909</v>
      </c>
      <c r="D39" t="s">
        <v>907</v>
      </c>
      <c r="E39" t="s">
        <v>908</v>
      </c>
      <c r="F39">
        <v>20931</v>
      </c>
      <c r="G39" t="s">
        <v>919</v>
      </c>
      <c r="H39">
        <v>3</v>
      </c>
      <c r="I39">
        <v>24</v>
      </c>
      <c r="J39">
        <v>60</v>
      </c>
      <c r="K39">
        <v>1440</v>
      </c>
      <c r="L39">
        <v>36486</v>
      </c>
      <c r="M39">
        <v>32</v>
      </c>
      <c r="N39">
        <v>1094.58</v>
      </c>
      <c r="P39">
        <v>0</v>
      </c>
      <c r="R39">
        <v>0</v>
      </c>
      <c r="U39">
        <v>0</v>
      </c>
      <c r="X39">
        <v>2534.5800000000017</v>
      </c>
      <c r="Y39">
        <v>2535</v>
      </c>
    </row>
    <row r="40" spans="1:35">
      <c r="A40">
        <v>21</v>
      </c>
      <c r="B40">
        <v>21</v>
      </c>
      <c r="C40" t="s">
        <v>329</v>
      </c>
      <c r="D40" t="s">
        <v>229</v>
      </c>
      <c r="E40" t="s">
        <v>228</v>
      </c>
      <c r="F40">
        <v>20932</v>
      </c>
      <c r="G40" t="s">
        <v>920</v>
      </c>
      <c r="H40">
        <v>19</v>
      </c>
      <c r="I40">
        <v>151.99999999999923</v>
      </c>
      <c r="J40">
        <v>60</v>
      </c>
      <c r="K40">
        <v>9119.9999999999545</v>
      </c>
      <c r="L40">
        <v>59364.19999999999</v>
      </c>
      <c r="M40">
        <v>81</v>
      </c>
      <c r="N40">
        <v>1780.9259999999997</v>
      </c>
      <c r="O40">
        <v>31733</v>
      </c>
      <c r="P40">
        <v>634.66</v>
      </c>
      <c r="R40">
        <v>0</v>
      </c>
      <c r="U40">
        <v>0</v>
      </c>
      <c r="X40">
        <v>11535.585999999959</v>
      </c>
      <c r="Y40">
        <v>11536</v>
      </c>
      <c r="AE40" t="s">
        <v>336</v>
      </c>
      <c r="AF40" t="s">
        <v>337</v>
      </c>
      <c r="AG40" t="s">
        <v>334</v>
      </c>
      <c r="AH40">
        <v>7</v>
      </c>
      <c r="AI40">
        <v>60</v>
      </c>
    </row>
    <row r="41" spans="1:35">
      <c r="A41">
        <v>22</v>
      </c>
      <c r="B41">
        <v>22</v>
      </c>
      <c r="C41" t="s">
        <v>241</v>
      </c>
      <c r="D41" t="s">
        <v>232</v>
      </c>
      <c r="E41" t="s">
        <v>231</v>
      </c>
      <c r="F41">
        <v>20933</v>
      </c>
      <c r="G41" t="s">
        <v>921</v>
      </c>
      <c r="H41">
        <v>9</v>
      </c>
      <c r="I41">
        <v>72.5</v>
      </c>
      <c r="J41">
        <v>60</v>
      </c>
      <c r="K41">
        <v>4350</v>
      </c>
      <c r="L41">
        <v>58768.2</v>
      </c>
      <c r="M41">
        <v>58</v>
      </c>
      <c r="N41">
        <v>1763.0459999999998</v>
      </c>
      <c r="P41">
        <v>0</v>
      </c>
      <c r="R41">
        <v>0</v>
      </c>
      <c r="U41">
        <v>0</v>
      </c>
      <c r="X41">
        <v>6113.0460000000021</v>
      </c>
      <c r="Y41">
        <v>6113</v>
      </c>
      <c r="AF41" t="s">
        <v>340</v>
      </c>
      <c r="AG41" t="s">
        <v>324</v>
      </c>
      <c r="AH41">
        <v>2</v>
      </c>
      <c r="AI41">
        <v>60</v>
      </c>
    </row>
    <row r="42" spans="1:35">
      <c r="A42">
        <v>23</v>
      </c>
      <c r="B42">
        <v>23</v>
      </c>
      <c r="C42" t="s">
        <v>241</v>
      </c>
      <c r="D42" t="s">
        <v>234</v>
      </c>
      <c r="E42" t="s">
        <v>233</v>
      </c>
      <c r="F42" t="s">
        <v>320</v>
      </c>
      <c r="G42" t="s">
        <v>922</v>
      </c>
      <c r="H42">
        <v>2</v>
      </c>
      <c r="I42">
        <v>16</v>
      </c>
      <c r="J42">
        <v>60</v>
      </c>
      <c r="K42">
        <v>960</v>
      </c>
      <c r="L42">
        <v>13451.500000000002</v>
      </c>
      <c r="M42">
        <v>11</v>
      </c>
      <c r="N42">
        <v>403.54500000000002</v>
      </c>
      <c r="P42">
        <v>0</v>
      </c>
      <c r="R42">
        <v>0</v>
      </c>
      <c r="S42">
        <v>30</v>
      </c>
      <c r="U42">
        <v>0</v>
      </c>
      <c r="X42">
        <v>1393.5450000000001</v>
      </c>
      <c r="Y42">
        <v>1394</v>
      </c>
      <c r="AF42" t="s">
        <v>370</v>
      </c>
      <c r="AG42" t="s">
        <v>369</v>
      </c>
      <c r="AH42">
        <v>6</v>
      </c>
      <c r="AI42">
        <v>60</v>
      </c>
    </row>
    <row r="43" spans="1:35">
      <c r="A43">
        <v>24</v>
      </c>
      <c r="B43">
        <v>24</v>
      </c>
      <c r="C43" t="s">
        <v>910</v>
      </c>
      <c r="D43" t="s">
        <v>335</v>
      </c>
      <c r="E43" t="s">
        <v>336</v>
      </c>
      <c r="F43" t="s">
        <v>320</v>
      </c>
      <c r="G43" t="s">
        <v>923</v>
      </c>
      <c r="H43">
        <v>15</v>
      </c>
      <c r="I43">
        <v>135</v>
      </c>
      <c r="J43">
        <v>60</v>
      </c>
      <c r="K43">
        <v>8100</v>
      </c>
      <c r="L43">
        <v>99255</v>
      </c>
      <c r="M43">
        <v>108</v>
      </c>
      <c r="N43">
        <v>2977.65</v>
      </c>
      <c r="P43">
        <v>0</v>
      </c>
      <c r="R43">
        <v>0</v>
      </c>
      <c r="U43">
        <v>0</v>
      </c>
      <c r="X43">
        <v>11077.649999999994</v>
      </c>
      <c r="Y43">
        <v>11078</v>
      </c>
      <c r="AE43" s="245" t="s">
        <v>380</v>
      </c>
      <c r="AH43">
        <v>15</v>
      </c>
      <c r="AI43">
        <v>180</v>
      </c>
    </row>
    <row r="44" spans="1:35">
      <c r="A44">
        <v>25</v>
      </c>
      <c r="B44">
        <v>25</v>
      </c>
      <c r="C44" t="s">
        <v>334</v>
      </c>
      <c r="D44" t="s">
        <v>371</v>
      </c>
      <c r="E44" t="s">
        <v>372</v>
      </c>
      <c r="F44" t="s">
        <v>320</v>
      </c>
      <c r="G44" t="s">
        <v>924</v>
      </c>
      <c r="H44">
        <v>8</v>
      </c>
      <c r="I44">
        <v>63.999999999999531</v>
      </c>
      <c r="J44">
        <v>60</v>
      </c>
      <c r="K44">
        <v>3839.9999999999718</v>
      </c>
      <c r="L44">
        <v>6674</v>
      </c>
      <c r="M44">
        <v>13</v>
      </c>
      <c r="N44">
        <v>200.22</v>
      </c>
      <c r="P44">
        <v>0</v>
      </c>
      <c r="R44">
        <v>0</v>
      </c>
      <c r="U44">
        <v>0</v>
      </c>
      <c r="X44">
        <v>4040.2199999999702</v>
      </c>
      <c r="Y44">
        <v>4040</v>
      </c>
    </row>
    <row r="45" spans="1:35">
      <c r="A45">
        <v>26</v>
      </c>
      <c r="B45">
        <v>26</v>
      </c>
      <c r="C45" t="s">
        <v>324</v>
      </c>
      <c r="D45" t="s">
        <v>248</v>
      </c>
      <c r="E45" t="s">
        <v>235</v>
      </c>
      <c r="F45" t="s">
        <v>320</v>
      </c>
      <c r="G45" t="s">
        <v>914</v>
      </c>
      <c r="H45">
        <v>6</v>
      </c>
      <c r="I45">
        <v>47.999999999999957</v>
      </c>
      <c r="J45">
        <v>60</v>
      </c>
      <c r="K45">
        <v>2879.9999999999973</v>
      </c>
      <c r="L45">
        <v>11310</v>
      </c>
      <c r="M45">
        <v>10</v>
      </c>
      <c r="N45">
        <v>339.3</v>
      </c>
      <c r="P45">
        <v>0</v>
      </c>
      <c r="R45">
        <v>0</v>
      </c>
      <c r="U45">
        <v>0</v>
      </c>
      <c r="X45">
        <v>3219.2999999999956</v>
      </c>
      <c r="Y45">
        <v>3219</v>
      </c>
      <c r="AE45" t="s">
        <v>231</v>
      </c>
      <c r="AF45" t="s">
        <v>350</v>
      </c>
      <c r="AG45" t="s">
        <v>241</v>
      </c>
      <c r="AH45">
        <v>10</v>
      </c>
      <c r="AI45">
        <v>60</v>
      </c>
    </row>
    <row r="46" spans="1:35">
      <c r="A46">
        <v>27</v>
      </c>
      <c r="B46">
        <v>27</v>
      </c>
      <c r="C46" t="s">
        <v>324</v>
      </c>
      <c r="D46" t="s">
        <v>234</v>
      </c>
      <c r="E46" t="s">
        <v>233</v>
      </c>
      <c r="F46" t="s">
        <v>320</v>
      </c>
      <c r="G46" t="s">
        <v>915</v>
      </c>
      <c r="H46">
        <v>2</v>
      </c>
      <c r="I46">
        <v>15.99999999999998</v>
      </c>
      <c r="J46">
        <v>60</v>
      </c>
      <c r="K46">
        <v>959.99999999999886</v>
      </c>
      <c r="L46">
        <v>3748</v>
      </c>
      <c r="M46">
        <v>6</v>
      </c>
      <c r="N46">
        <v>112.44</v>
      </c>
      <c r="P46">
        <v>0</v>
      </c>
      <c r="R46">
        <v>0</v>
      </c>
      <c r="S46">
        <v>30</v>
      </c>
      <c r="U46">
        <v>0</v>
      </c>
      <c r="X46">
        <v>1102.4399999999987</v>
      </c>
      <c r="Y46">
        <v>1102</v>
      </c>
      <c r="AF46" t="s">
        <v>367</v>
      </c>
      <c r="AG46" t="s">
        <v>241</v>
      </c>
      <c r="AH46">
        <v>18</v>
      </c>
      <c r="AI46">
        <v>60</v>
      </c>
    </row>
    <row r="47" spans="1:35">
      <c r="A47">
        <v>28</v>
      </c>
      <c r="B47">
        <v>28</v>
      </c>
      <c r="C47" t="s">
        <v>0</v>
      </c>
      <c r="D47" t="s">
        <v>234</v>
      </c>
      <c r="E47" t="s">
        <v>233</v>
      </c>
      <c r="G47" t="s">
        <v>925</v>
      </c>
      <c r="H47">
        <v>5</v>
      </c>
      <c r="I47">
        <v>40</v>
      </c>
      <c r="J47">
        <v>60</v>
      </c>
      <c r="K47">
        <v>2400</v>
      </c>
      <c r="L47">
        <v>16834</v>
      </c>
      <c r="M47">
        <v>26</v>
      </c>
      <c r="N47">
        <v>505.02</v>
      </c>
      <c r="P47">
        <v>0</v>
      </c>
      <c r="R47">
        <v>0</v>
      </c>
      <c r="U47">
        <v>0</v>
      </c>
      <c r="X47">
        <v>2905.02</v>
      </c>
      <c r="Y47">
        <v>2905</v>
      </c>
      <c r="AF47" t="s">
        <v>331</v>
      </c>
      <c r="AG47" t="s">
        <v>241</v>
      </c>
      <c r="AH47">
        <v>11</v>
      </c>
      <c r="AI47">
        <v>60</v>
      </c>
    </row>
    <row r="48" spans="1:35">
      <c r="A48">
        <v>29</v>
      </c>
      <c r="B48">
        <v>29</v>
      </c>
      <c r="C48" t="s">
        <v>0</v>
      </c>
      <c r="D48" t="s">
        <v>898</v>
      </c>
      <c r="E48" t="s">
        <v>895</v>
      </c>
      <c r="G48" t="s">
        <v>926</v>
      </c>
      <c r="H48">
        <v>25</v>
      </c>
      <c r="I48">
        <v>200.50000000000023</v>
      </c>
      <c r="J48">
        <v>60</v>
      </c>
      <c r="K48">
        <v>12030.000000000015</v>
      </c>
      <c r="L48">
        <v>223522.80000000005</v>
      </c>
      <c r="M48">
        <v>155</v>
      </c>
      <c r="N48">
        <v>6705.6840000000011</v>
      </c>
      <c r="P48">
        <v>0</v>
      </c>
      <c r="R48">
        <v>0</v>
      </c>
      <c r="U48">
        <v>0</v>
      </c>
      <c r="X48">
        <v>18735.684000000008</v>
      </c>
      <c r="Y48">
        <v>18736</v>
      </c>
      <c r="AF48" t="s">
        <v>366</v>
      </c>
      <c r="AG48" t="s">
        <v>247</v>
      </c>
      <c r="AH48">
        <v>2</v>
      </c>
      <c r="AI48">
        <v>60</v>
      </c>
    </row>
    <row r="49" spans="1:35">
      <c r="A49">
        <v>30</v>
      </c>
      <c r="B49">
        <v>30</v>
      </c>
      <c r="C49" t="s">
        <v>245</v>
      </c>
      <c r="D49" t="s">
        <v>227</v>
      </c>
      <c r="E49" t="s">
        <v>226</v>
      </c>
      <c r="G49" t="s">
        <v>927</v>
      </c>
      <c r="H49">
        <v>20</v>
      </c>
      <c r="I49">
        <v>160.5</v>
      </c>
      <c r="J49">
        <v>60</v>
      </c>
      <c r="K49">
        <v>9630</v>
      </c>
      <c r="L49">
        <v>183491</v>
      </c>
      <c r="M49">
        <v>138</v>
      </c>
      <c r="N49">
        <v>5504.73</v>
      </c>
      <c r="P49">
        <v>0</v>
      </c>
      <c r="Q49">
        <v>960</v>
      </c>
      <c r="R49">
        <v>0</v>
      </c>
      <c r="U49">
        <v>-804.73649999999998</v>
      </c>
      <c r="X49">
        <v>15289.993500000011</v>
      </c>
      <c r="Y49">
        <v>15290</v>
      </c>
      <c r="AE49" s="245" t="s">
        <v>381</v>
      </c>
      <c r="AH49">
        <v>41</v>
      </c>
      <c r="AI49">
        <v>240</v>
      </c>
    </row>
    <row r="50" spans="1:35">
      <c r="A50">
        <v>31</v>
      </c>
      <c r="B50">
        <v>31</v>
      </c>
      <c r="C50" t="s">
        <v>329</v>
      </c>
      <c r="D50" t="s">
        <v>229</v>
      </c>
      <c r="E50" t="s">
        <v>228</v>
      </c>
      <c r="G50" t="s">
        <v>928</v>
      </c>
      <c r="H50">
        <v>19</v>
      </c>
      <c r="I50">
        <v>152</v>
      </c>
      <c r="J50">
        <v>60</v>
      </c>
      <c r="K50">
        <v>9120</v>
      </c>
      <c r="L50">
        <v>56644.899999999994</v>
      </c>
      <c r="M50">
        <v>64</v>
      </c>
      <c r="N50">
        <v>1699.3469999999998</v>
      </c>
      <c r="O50">
        <v>29822</v>
      </c>
      <c r="P50">
        <v>596.44000000000005</v>
      </c>
      <c r="Q50">
        <v>960</v>
      </c>
      <c r="R50">
        <v>0</v>
      </c>
      <c r="U50">
        <v>0</v>
      </c>
      <c r="X50">
        <v>12375.786999999997</v>
      </c>
      <c r="Y50">
        <v>12376</v>
      </c>
    </row>
    <row r="51" spans="1:35">
      <c r="A51">
        <v>32</v>
      </c>
      <c r="B51">
        <v>32</v>
      </c>
      <c r="C51" t="s">
        <v>929</v>
      </c>
      <c r="D51" t="s">
        <v>930</v>
      </c>
      <c r="E51" t="s">
        <v>931</v>
      </c>
      <c r="G51" t="s">
        <v>932</v>
      </c>
      <c r="H51">
        <v>12</v>
      </c>
      <c r="I51">
        <v>144.5</v>
      </c>
      <c r="J51">
        <v>60</v>
      </c>
      <c r="K51">
        <v>8670</v>
      </c>
      <c r="L51">
        <v>195876</v>
      </c>
      <c r="M51">
        <v>234</v>
      </c>
      <c r="N51">
        <v>5876.28</v>
      </c>
      <c r="P51">
        <v>0</v>
      </c>
      <c r="R51">
        <v>0</v>
      </c>
      <c r="U51">
        <v>0</v>
      </c>
      <c r="X51">
        <v>14546.279999999999</v>
      </c>
      <c r="Y51">
        <v>14546</v>
      </c>
      <c r="AE51" t="s">
        <v>230</v>
      </c>
      <c r="AF51" t="s">
        <v>346</v>
      </c>
      <c r="AG51" t="s">
        <v>246</v>
      </c>
      <c r="AH51">
        <v>8</v>
      </c>
      <c r="AI51">
        <v>65</v>
      </c>
    </row>
    <row r="52" spans="1:35">
      <c r="A52">
        <v>33</v>
      </c>
      <c r="B52">
        <v>33</v>
      </c>
      <c r="C52" t="s">
        <v>334</v>
      </c>
      <c r="D52" t="s">
        <v>371</v>
      </c>
      <c r="E52" t="s">
        <v>372</v>
      </c>
      <c r="G52" t="s">
        <v>933</v>
      </c>
      <c r="H52">
        <v>6</v>
      </c>
      <c r="I52">
        <v>48</v>
      </c>
      <c r="J52">
        <v>60</v>
      </c>
      <c r="K52">
        <v>2880</v>
      </c>
      <c r="L52">
        <v>11220</v>
      </c>
      <c r="M52">
        <v>10</v>
      </c>
      <c r="N52">
        <v>336.59999999999997</v>
      </c>
      <c r="P52">
        <v>0</v>
      </c>
      <c r="R52">
        <v>0</v>
      </c>
      <c r="U52">
        <v>0</v>
      </c>
      <c r="X52">
        <v>3216.6000000000004</v>
      </c>
      <c r="Y52">
        <v>3217</v>
      </c>
      <c r="AF52" t="s">
        <v>363</v>
      </c>
      <c r="AG52" t="s">
        <v>246</v>
      </c>
      <c r="AH52">
        <v>9</v>
      </c>
      <c r="AI52">
        <v>65</v>
      </c>
    </row>
    <row r="53" spans="1:35">
      <c r="A53">
        <v>34</v>
      </c>
      <c r="B53">
        <v>34</v>
      </c>
      <c r="C53" t="s">
        <v>241</v>
      </c>
      <c r="D53" t="s">
        <v>232</v>
      </c>
      <c r="E53" t="s">
        <v>231</v>
      </c>
      <c r="G53" t="s">
        <v>934</v>
      </c>
      <c r="H53">
        <v>24</v>
      </c>
      <c r="I53">
        <v>222</v>
      </c>
      <c r="J53">
        <v>60</v>
      </c>
      <c r="K53">
        <v>13320</v>
      </c>
      <c r="L53">
        <v>419737.80000000016</v>
      </c>
      <c r="M53">
        <v>215</v>
      </c>
      <c r="N53">
        <v>12592.134000000004</v>
      </c>
      <c r="P53">
        <v>0</v>
      </c>
      <c r="R53">
        <v>0</v>
      </c>
      <c r="U53">
        <v>0</v>
      </c>
      <c r="X53">
        <v>25912.13400000002</v>
      </c>
      <c r="Y53">
        <v>25912</v>
      </c>
      <c r="AE53" s="245" t="s">
        <v>382</v>
      </c>
      <c r="AH53">
        <v>17</v>
      </c>
      <c r="AI53">
        <v>130</v>
      </c>
    </row>
    <row r="54" spans="1:35">
      <c r="A54">
        <v>35</v>
      </c>
      <c r="B54">
        <v>35</v>
      </c>
      <c r="C54" t="s">
        <v>903</v>
      </c>
      <c r="D54" t="s">
        <v>904</v>
      </c>
      <c r="E54" t="s">
        <v>905</v>
      </c>
      <c r="G54" t="s">
        <v>935</v>
      </c>
      <c r="H54">
        <v>18</v>
      </c>
      <c r="I54">
        <v>144</v>
      </c>
      <c r="J54">
        <v>56.25</v>
      </c>
      <c r="K54">
        <v>8100</v>
      </c>
      <c r="L54">
        <v>246274</v>
      </c>
      <c r="M54">
        <v>132</v>
      </c>
      <c r="N54">
        <v>7388.2199999999993</v>
      </c>
      <c r="P54">
        <v>0</v>
      </c>
      <c r="R54">
        <v>0</v>
      </c>
      <c r="T54">
        <v>-510</v>
      </c>
      <c r="U54">
        <v>0</v>
      </c>
      <c r="X54">
        <v>14978.220000000001</v>
      </c>
      <c r="Y54">
        <v>14978</v>
      </c>
    </row>
    <row r="55" spans="1:35">
      <c r="A55">
        <v>36</v>
      </c>
      <c r="B55">
        <v>36</v>
      </c>
      <c r="C55" t="s">
        <v>246</v>
      </c>
      <c r="D55" t="s">
        <v>249</v>
      </c>
      <c r="E55" t="s">
        <v>230</v>
      </c>
      <c r="G55" t="s">
        <v>936</v>
      </c>
      <c r="H55">
        <v>9</v>
      </c>
      <c r="I55">
        <v>71</v>
      </c>
      <c r="J55">
        <v>65</v>
      </c>
      <c r="K55">
        <v>4615</v>
      </c>
      <c r="L55">
        <v>45790</v>
      </c>
      <c r="M55">
        <v>55</v>
      </c>
      <c r="N55">
        <v>1373.7</v>
      </c>
      <c r="P55">
        <v>0</v>
      </c>
      <c r="R55">
        <v>0</v>
      </c>
      <c r="U55">
        <v>0</v>
      </c>
      <c r="X55">
        <v>5988.6999999999971</v>
      </c>
      <c r="Y55">
        <v>5989</v>
      </c>
      <c r="AE55" t="s">
        <v>326</v>
      </c>
      <c r="AF55" t="s">
        <v>327</v>
      </c>
      <c r="AG55" t="s">
        <v>246</v>
      </c>
      <c r="AH55">
        <v>12</v>
      </c>
      <c r="AI55">
        <v>60</v>
      </c>
    </row>
    <row r="56" spans="1:35">
      <c r="A56">
        <v>37</v>
      </c>
      <c r="B56">
        <v>37</v>
      </c>
      <c r="C56" t="s">
        <v>902</v>
      </c>
      <c r="D56" t="s">
        <v>937</v>
      </c>
      <c r="E56" t="s">
        <v>348</v>
      </c>
      <c r="G56" t="s">
        <v>938</v>
      </c>
      <c r="H56">
        <v>6</v>
      </c>
      <c r="I56">
        <v>48</v>
      </c>
      <c r="J56">
        <v>60</v>
      </c>
      <c r="K56">
        <v>2880</v>
      </c>
      <c r="L56">
        <v>59221</v>
      </c>
      <c r="M56">
        <v>27</v>
      </c>
      <c r="N56">
        <v>1776.6299999999999</v>
      </c>
      <c r="P56">
        <v>0</v>
      </c>
      <c r="R56">
        <v>0</v>
      </c>
      <c r="U56">
        <v>0</v>
      </c>
      <c r="X56">
        <v>4656.6299999999974</v>
      </c>
      <c r="Y56">
        <v>4657</v>
      </c>
      <c r="AF56" t="s">
        <v>359</v>
      </c>
      <c r="AG56" t="s">
        <v>358</v>
      </c>
      <c r="AH56">
        <v>1</v>
      </c>
      <c r="AI56">
        <v>60</v>
      </c>
    </row>
    <row r="57" spans="1:35">
      <c r="A57">
        <v>38</v>
      </c>
      <c r="B57">
        <v>38</v>
      </c>
      <c r="C57" t="s">
        <v>939</v>
      </c>
      <c r="D57" t="s">
        <v>937</v>
      </c>
      <c r="E57" t="s">
        <v>348</v>
      </c>
      <c r="G57" t="s">
        <v>940</v>
      </c>
      <c r="H57">
        <v>6</v>
      </c>
      <c r="I57">
        <v>48</v>
      </c>
      <c r="J57">
        <v>60</v>
      </c>
      <c r="K57">
        <v>2880</v>
      </c>
      <c r="L57">
        <v>29627</v>
      </c>
      <c r="M57">
        <v>22</v>
      </c>
      <c r="N57">
        <v>888.81</v>
      </c>
      <c r="P57">
        <v>0</v>
      </c>
      <c r="R57">
        <v>0</v>
      </c>
      <c r="U57">
        <v>0</v>
      </c>
      <c r="X57">
        <v>3768.8099999999977</v>
      </c>
      <c r="Y57">
        <v>3769</v>
      </c>
      <c r="AE57" s="245" t="s">
        <v>383</v>
      </c>
      <c r="AH57">
        <v>13</v>
      </c>
      <c r="AI57">
        <v>120</v>
      </c>
    </row>
    <row r="58" spans="1:35">
      <c r="A58">
        <v>39</v>
      </c>
      <c r="B58">
        <v>39</v>
      </c>
      <c r="C58" t="s">
        <v>941</v>
      </c>
      <c r="D58" t="s">
        <v>907</v>
      </c>
      <c r="E58" t="s">
        <v>908</v>
      </c>
      <c r="G58" t="s">
        <v>942</v>
      </c>
      <c r="H58">
        <v>16</v>
      </c>
      <c r="I58">
        <v>128</v>
      </c>
      <c r="J58">
        <v>56.25</v>
      </c>
      <c r="K58">
        <v>7200</v>
      </c>
      <c r="L58">
        <v>222004</v>
      </c>
      <c r="M58">
        <v>133</v>
      </c>
      <c r="N58">
        <v>6660.12</v>
      </c>
      <c r="P58">
        <v>0</v>
      </c>
      <c r="R58">
        <v>0</v>
      </c>
      <c r="T58">
        <v>-420</v>
      </c>
      <c r="U58">
        <v>0</v>
      </c>
      <c r="X58">
        <v>13440.119999999995</v>
      </c>
      <c r="Y58">
        <v>13440</v>
      </c>
    </row>
    <row r="59" spans="1:35">
      <c r="A59">
        <v>40</v>
      </c>
      <c r="B59">
        <v>40</v>
      </c>
      <c r="C59" t="s">
        <v>943</v>
      </c>
      <c r="D59" t="s">
        <v>907</v>
      </c>
      <c r="E59" t="s">
        <v>908</v>
      </c>
      <c r="G59" t="s">
        <v>944</v>
      </c>
      <c r="H59">
        <v>4</v>
      </c>
      <c r="I59">
        <v>32</v>
      </c>
      <c r="J59">
        <v>56.25</v>
      </c>
      <c r="K59">
        <v>1800</v>
      </c>
      <c r="L59">
        <v>36600</v>
      </c>
      <c r="M59">
        <v>30</v>
      </c>
      <c r="N59">
        <v>1098</v>
      </c>
      <c r="P59">
        <v>0</v>
      </c>
      <c r="R59">
        <v>0</v>
      </c>
      <c r="T59">
        <v>-90</v>
      </c>
      <c r="U59">
        <v>0</v>
      </c>
      <c r="X59">
        <v>2808</v>
      </c>
      <c r="Y59">
        <v>2808</v>
      </c>
      <c r="AE59" t="s">
        <v>233</v>
      </c>
      <c r="AF59" t="s">
        <v>373</v>
      </c>
      <c r="AG59" t="s">
        <v>324</v>
      </c>
      <c r="AH59">
        <v>2</v>
      </c>
      <c r="AI59">
        <v>60</v>
      </c>
    </row>
    <row r="60" spans="1:35">
      <c r="A60">
        <v>41</v>
      </c>
      <c r="B60">
        <v>41</v>
      </c>
      <c r="C60" t="s">
        <v>339</v>
      </c>
      <c r="D60" t="s">
        <v>335</v>
      </c>
      <c r="E60" t="s">
        <v>336</v>
      </c>
      <c r="G60" t="s">
        <v>945</v>
      </c>
      <c r="H60">
        <v>19</v>
      </c>
      <c r="I60">
        <v>179</v>
      </c>
      <c r="J60">
        <v>60</v>
      </c>
      <c r="K60">
        <v>10740</v>
      </c>
      <c r="L60">
        <v>78807.600000000006</v>
      </c>
      <c r="M60">
        <v>99</v>
      </c>
      <c r="N60">
        <v>2364.2280000000001</v>
      </c>
      <c r="O60">
        <v>176093.8</v>
      </c>
      <c r="P60">
        <v>2641.4069999999997</v>
      </c>
      <c r="R60">
        <v>0</v>
      </c>
      <c r="X60">
        <v>15745.635000000038</v>
      </c>
      <c r="Y60">
        <v>15746</v>
      </c>
      <c r="AE60" s="245" t="s">
        <v>384</v>
      </c>
      <c r="AH60">
        <v>2</v>
      </c>
      <c r="AI60">
        <v>60</v>
      </c>
    </row>
    <row r="61" spans="1:35">
      <c r="A61">
        <v>42</v>
      </c>
      <c r="B61">
        <v>42</v>
      </c>
      <c r="C61" t="s">
        <v>339</v>
      </c>
      <c r="D61" t="s">
        <v>248</v>
      </c>
      <c r="E61" t="s">
        <v>235</v>
      </c>
      <c r="G61" t="s">
        <v>946</v>
      </c>
      <c r="H61">
        <v>14</v>
      </c>
      <c r="I61">
        <v>112</v>
      </c>
      <c r="J61">
        <v>60</v>
      </c>
      <c r="K61">
        <v>6720</v>
      </c>
      <c r="L61">
        <v>8380</v>
      </c>
      <c r="M61">
        <v>15</v>
      </c>
      <c r="N61">
        <v>251.39999999999998</v>
      </c>
      <c r="O61">
        <v>176093.8</v>
      </c>
      <c r="P61">
        <v>2641.4069999999997</v>
      </c>
      <c r="R61">
        <v>0</v>
      </c>
      <c r="U61">
        <v>0</v>
      </c>
      <c r="X61">
        <v>9612.8070000000007</v>
      </c>
      <c r="Y61">
        <v>9613</v>
      </c>
    </row>
    <row r="62" spans="1:35">
      <c r="AE62" s="245" t="s">
        <v>220</v>
      </c>
      <c r="AH62">
        <v>273</v>
      </c>
      <c r="AI62">
        <v>1795</v>
      </c>
    </row>
  </sheetData>
  <phoneticPr fontId="4" type="noConversion"/>
  <pageMargins left="0.7" right="0.7" top="0.75" bottom="0.75" header="0.3" footer="0.3"/>
  <pageSetup paperSize="9" scale="18" orientation="portrait"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A284-F2A7-47AF-8C9A-FC6F4B15677D}">
  <dimension ref="A2:S24"/>
  <sheetViews>
    <sheetView workbookViewId="0">
      <selection activeCell="I25" sqref="I25"/>
    </sheetView>
  </sheetViews>
  <sheetFormatPr defaultRowHeight="16.5"/>
  <cols>
    <col min="1" max="1" width="17.875" customWidth="1"/>
    <col min="2" max="3" width="17.625" customWidth="1"/>
    <col min="4" max="4" width="21.125" hidden="1" customWidth="1"/>
    <col min="5" max="18" width="17.625" customWidth="1"/>
    <col min="19" max="19" width="20.5" customWidth="1"/>
  </cols>
  <sheetData>
    <row r="2" spans="1:19" ht="17.25">
      <c r="A2" s="258"/>
      <c r="B2" s="258" t="s">
        <v>226</v>
      </c>
      <c r="C2" s="259" t="s">
        <v>948</v>
      </c>
      <c r="D2" s="259" t="s">
        <v>953</v>
      </c>
      <c r="E2" s="259" t="s">
        <v>949</v>
      </c>
      <c r="F2" s="259" t="s">
        <v>950</v>
      </c>
      <c r="G2" s="259" t="s">
        <v>951</v>
      </c>
      <c r="H2" s="258" t="s">
        <v>228</v>
      </c>
      <c r="I2" s="259" t="s">
        <v>948</v>
      </c>
      <c r="J2" s="259" t="s">
        <v>953</v>
      </c>
      <c r="K2" s="259" t="s">
        <v>949</v>
      </c>
      <c r="L2" s="259" t="s">
        <v>950</v>
      </c>
      <c r="M2" s="259" t="s">
        <v>951</v>
      </c>
      <c r="N2" s="258" t="s">
        <v>895</v>
      </c>
      <c r="O2" s="259" t="s">
        <v>948</v>
      </c>
      <c r="P2" s="259" t="s">
        <v>952</v>
      </c>
      <c r="Q2" s="259" t="s">
        <v>949</v>
      </c>
      <c r="R2" s="259" t="s">
        <v>950</v>
      </c>
      <c r="S2" s="259" t="s">
        <v>951</v>
      </c>
    </row>
    <row r="3" spans="1:19" ht="17.25">
      <c r="A3" s="257">
        <v>45778</v>
      </c>
      <c r="B3" s="258">
        <v>9600</v>
      </c>
      <c r="C3" s="259">
        <v>4277.3</v>
      </c>
      <c r="D3" s="259"/>
      <c r="E3" s="259">
        <v>20</v>
      </c>
      <c r="F3" s="259">
        <v>160</v>
      </c>
      <c r="G3" s="258">
        <f>B3+C3+D3</f>
        <v>13877.3</v>
      </c>
      <c r="H3" s="258">
        <v>6720</v>
      </c>
      <c r="I3" s="259">
        <v>1307.8</v>
      </c>
      <c r="J3" s="259"/>
      <c r="K3" s="259">
        <v>14</v>
      </c>
      <c r="L3" s="259">
        <v>112</v>
      </c>
      <c r="M3" s="258">
        <f>H3+I3+J3</f>
        <v>8027.8</v>
      </c>
      <c r="N3" s="258"/>
      <c r="O3" s="259"/>
      <c r="P3" s="259"/>
      <c r="Q3" s="259"/>
      <c r="R3" s="259"/>
      <c r="S3" s="258">
        <f>N3+O3+P3</f>
        <v>0</v>
      </c>
    </row>
    <row r="4" spans="1:19">
      <c r="A4" s="257">
        <v>45809</v>
      </c>
      <c r="B4" s="258">
        <v>8160</v>
      </c>
      <c r="C4" s="258">
        <v>5362.7</v>
      </c>
      <c r="D4" s="258"/>
      <c r="E4" s="258">
        <v>17</v>
      </c>
      <c r="F4" s="258">
        <v>136</v>
      </c>
      <c r="G4" s="258">
        <f t="shared" ref="G4:G24" si="0">B4+C4+D4</f>
        <v>13522.7</v>
      </c>
      <c r="H4" s="258">
        <v>6240</v>
      </c>
      <c r="I4" s="258">
        <v>1817.8</v>
      </c>
      <c r="J4" s="258"/>
      <c r="K4" s="258">
        <v>13</v>
      </c>
      <c r="L4" s="258">
        <v>104</v>
      </c>
      <c r="M4" s="258">
        <f t="shared" ref="M4:M24" si="1">H4+I4+J4</f>
        <v>8057.8</v>
      </c>
      <c r="N4" s="258"/>
      <c r="O4" s="258"/>
      <c r="P4" s="258"/>
      <c r="Q4" s="258"/>
      <c r="R4" s="258"/>
      <c r="S4" s="258">
        <f t="shared" ref="S4:S24" si="2">N4+O4+P4</f>
        <v>0</v>
      </c>
    </row>
    <row r="5" spans="1:19">
      <c r="A5" s="257">
        <v>45839</v>
      </c>
      <c r="B5" s="258">
        <v>8160</v>
      </c>
      <c r="C5" s="258">
        <f>4594.2+39.9</f>
        <v>4634.0999999999995</v>
      </c>
      <c r="D5" s="258"/>
      <c r="E5" s="258">
        <v>17</v>
      </c>
      <c r="F5" s="258">
        <v>136</v>
      </c>
      <c r="G5" s="258">
        <f t="shared" si="0"/>
        <v>12794.099999999999</v>
      </c>
      <c r="H5" s="258">
        <v>5280</v>
      </c>
      <c r="I5" s="258">
        <f>137.2+1358.7</f>
        <v>1495.9</v>
      </c>
      <c r="J5" s="258"/>
      <c r="K5" s="258">
        <v>11</v>
      </c>
      <c r="L5" s="258">
        <v>88</v>
      </c>
      <c r="M5" s="258">
        <f t="shared" si="1"/>
        <v>6775.9</v>
      </c>
      <c r="N5" s="258"/>
      <c r="O5" s="258"/>
      <c r="P5" s="258"/>
      <c r="Q5" s="258"/>
      <c r="R5" s="258"/>
      <c r="S5" s="258">
        <f t="shared" si="2"/>
        <v>0</v>
      </c>
    </row>
    <row r="6" spans="1:19">
      <c r="A6" s="257">
        <v>45870</v>
      </c>
      <c r="B6" s="258">
        <v>9120</v>
      </c>
      <c r="C6" s="258">
        <v>6044.6</v>
      </c>
      <c r="D6" s="258"/>
      <c r="E6" s="258">
        <v>19</v>
      </c>
      <c r="F6" s="258">
        <v>152</v>
      </c>
      <c r="G6" s="258">
        <f t="shared" si="0"/>
        <v>15164.6</v>
      </c>
      <c r="H6" s="258">
        <v>7200</v>
      </c>
      <c r="I6" s="258">
        <f>239+1932.5</f>
        <v>2171.5</v>
      </c>
      <c r="J6" s="258"/>
      <c r="K6" s="258">
        <v>15</v>
      </c>
      <c r="L6" s="258">
        <v>120</v>
      </c>
      <c r="M6" s="258">
        <f t="shared" si="1"/>
        <v>9371.5</v>
      </c>
      <c r="N6" s="258"/>
      <c r="O6" s="258"/>
      <c r="P6" s="258"/>
      <c r="Q6" s="258"/>
      <c r="R6" s="258"/>
      <c r="S6" s="258">
        <f t="shared" si="2"/>
        <v>0</v>
      </c>
    </row>
    <row r="7" spans="1:19">
      <c r="A7" s="257">
        <v>45901</v>
      </c>
      <c r="B7" s="258">
        <v>7680</v>
      </c>
      <c r="C7" s="258">
        <v>3920.1</v>
      </c>
      <c r="D7" s="258"/>
      <c r="E7" s="258">
        <v>16</v>
      </c>
      <c r="F7" s="258">
        <v>128</v>
      </c>
      <c r="G7" s="258">
        <f t="shared" si="0"/>
        <v>11600.1</v>
      </c>
      <c r="H7" s="258">
        <v>5760</v>
      </c>
      <c r="I7" s="258">
        <f>175.8+1537</f>
        <v>1712.8</v>
      </c>
      <c r="J7" s="258"/>
      <c r="K7" s="258">
        <v>12</v>
      </c>
      <c r="L7" s="258">
        <v>96</v>
      </c>
      <c r="M7" s="258">
        <f t="shared" si="1"/>
        <v>7472.8</v>
      </c>
      <c r="N7" s="258"/>
      <c r="O7" s="258"/>
      <c r="P7" s="258"/>
      <c r="Q7" s="258"/>
      <c r="R7" s="258"/>
      <c r="S7" s="258">
        <f t="shared" si="2"/>
        <v>0</v>
      </c>
    </row>
    <row r="8" spans="1:19">
      <c r="A8" s="257">
        <v>45931</v>
      </c>
      <c r="B8" s="258">
        <v>10260</v>
      </c>
      <c r="C8" s="258">
        <f>3568.2+38.9</f>
        <v>3607.1</v>
      </c>
      <c r="D8" s="258"/>
      <c r="E8" s="258">
        <v>21</v>
      </c>
      <c r="F8" s="258">
        <v>171</v>
      </c>
      <c r="G8" s="258">
        <f t="shared" si="0"/>
        <v>13867.1</v>
      </c>
      <c r="H8" s="258">
        <v>6420</v>
      </c>
      <c r="I8" s="258">
        <f>243.4+1286.9</f>
        <v>1530.3000000000002</v>
      </c>
      <c r="J8" s="258"/>
      <c r="K8" s="258">
        <v>13</v>
      </c>
      <c r="L8" s="258">
        <v>107</v>
      </c>
      <c r="M8" s="258">
        <f t="shared" si="1"/>
        <v>7950.3</v>
      </c>
      <c r="N8" s="258"/>
      <c r="O8" s="258"/>
      <c r="P8" s="258"/>
      <c r="Q8" s="258"/>
      <c r="R8" s="258"/>
      <c r="S8" s="258">
        <f t="shared" si="2"/>
        <v>0</v>
      </c>
    </row>
    <row r="9" spans="1:19">
      <c r="A9" s="257">
        <v>45962</v>
      </c>
      <c r="B9" s="258">
        <v>8640</v>
      </c>
      <c r="C9" s="258">
        <v>4539</v>
      </c>
      <c r="D9" s="258"/>
      <c r="E9" s="258">
        <v>18</v>
      </c>
      <c r="F9" s="258">
        <v>144</v>
      </c>
      <c r="G9" s="258">
        <f t="shared" si="0"/>
        <v>13179</v>
      </c>
      <c r="H9" s="258">
        <v>6720</v>
      </c>
      <c r="I9" s="258">
        <f>325.4+856.9</f>
        <v>1182.3</v>
      </c>
      <c r="J9" s="258"/>
      <c r="K9" s="258">
        <v>14</v>
      </c>
      <c r="L9" s="258">
        <v>112</v>
      </c>
      <c r="M9" s="258">
        <f t="shared" si="1"/>
        <v>7902.3</v>
      </c>
      <c r="N9" s="258"/>
      <c r="O9" s="258"/>
      <c r="P9" s="258"/>
      <c r="Q9" s="258"/>
      <c r="R9" s="258"/>
      <c r="S9" s="258">
        <f t="shared" si="2"/>
        <v>0</v>
      </c>
    </row>
    <row r="10" spans="1:19">
      <c r="A10" s="257">
        <v>45992</v>
      </c>
      <c r="B10" s="258">
        <v>7680</v>
      </c>
      <c r="C10" s="258">
        <v>4909.1000000000004</v>
      </c>
      <c r="D10" s="258"/>
      <c r="E10" s="258">
        <v>16</v>
      </c>
      <c r="F10" s="258">
        <v>128</v>
      </c>
      <c r="G10" s="258">
        <f t="shared" si="0"/>
        <v>12589.1</v>
      </c>
      <c r="H10" s="258">
        <v>5760</v>
      </c>
      <c r="I10" s="258">
        <f>331.4+1676.5</f>
        <v>2007.9</v>
      </c>
      <c r="J10" s="258"/>
      <c r="K10" s="258">
        <v>12</v>
      </c>
      <c r="L10" s="258">
        <v>96</v>
      </c>
      <c r="M10" s="258">
        <f t="shared" si="1"/>
        <v>7767.9</v>
      </c>
      <c r="N10" s="258"/>
      <c r="O10" s="258"/>
      <c r="P10" s="258"/>
      <c r="Q10" s="258"/>
      <c r="R10" s="258"/>
      <c r="S10" s="258">
        <f t="shared" si="2"/>
        <v>0</v>
      </c>
    </row>
    <row r="11" spans="1:19">
      <c r="A11" s="257">
        <v>46023</v>
      </c>
      <c r="B11" s="258">
        <v>9120</v>
      </c>
      <c r="C11" s="258">
        <v>4005.4</v>
      </c>
      <c r="D11" s="258"/>
      <c r="E11" s="258">
        <v>12</v>
      </c>
      <c r="F11" s="258">
        <v>96</v>
      </c>
      <c r="G11" s="258">
        <f t="shared" si="0"/>
        <v>13125.4</v>
      </c>
      <c r="H11" s="258">
        <v>7680</v>
      </c>
      <c r="I11" s="258">
        <f>313.4+1774.1</f>
        <v>2087.5</v>
      </c>
      <c r="J11" s="258"/>
      <c r="K11" s="258">
        <v>16</v>
      </c>
      <c r="L11" s="258">
        <v>128</v>
      </c>
      <c r="M11" s="258">
        <f t="shared" si="1"/>
        <v>9767.5</v>
      </c>
      <c r="N11" s="258"/>
      <c r="O11" s="258"/>
      <c r="P11" s="258"/>
      <c r="Q11" s="258"/>
      <c r="R11" s="258"/>
      <c r="S11" s="258">
        <f t="shared" si="2"/>
        <v>0</v>
      </c>
    </row>
    <row r="12" spans="1:19">
      <c r="A12" s="257">
        <v>46054</v>
      </c>
      <c r="B12" s="258">
        <v>7290</v>
      </c>
      <c r="C12" s="258">
        <v>3622.3</v>
      </c>
      <c r="D12" s="258"/>
      <c r="E12" s="258">
        <v>15</v>
      </c>
      <c r="F12" s="258">
        <v>121.5</v>
      </c>
      <c r="G12" s="258">
        <f t="shared" si="0"/>
        <v>10912.3</v>
      </c>
      <c r="H12" s="258">
        <v>7260</v>
      </c>
      <c r="I12" s="258">
        <f>1154.1+1731.1</f>
        <v>2885.2</v>
      </c>
      <c r="J12" s="258"/>
      <c r="K12" s="258">
        <v>15</v>
      </c>
      <c r="L12" s="258">
        <v>121</v>
      </c>
      <c r="M12" s="258">
        <f t="shared" si="1"/>
        <v>10145.200000000001</v>
      </c>
      <c r="N12" s="258"/>
      <c r="O12" s="258"/>
      <c r="P12" s="258"/>
      <c r="Q12" s="258"/>
      <c r="R12" s="258"/>
      <c r="S12" s="258">
        <f t="shared" si="2"/>
        <v>0</v>
      </c>
    </row>
    <row r="13" spans="1:19">
      <c r="A13" s="257">
        <v>46082</v>
      </c>
      <c r="B13" s="258">
        <v>8160</v>
      </c>
      <c r="C13" s="258">
        <v>3116.8</v>
      </c>
      <c r="D13" s="258"/>
      <c r="E13" s="258">
        <v>17</v>
      </c>
      <c r="F13" s="258">
        <v>136</v>
      </c>
      <c r="G13" s="258">
        <f t="shared" si="0"/>
        <v>11276.8</v>
      </c>
      <c r="H13" s="258">
        <v>7680</v>
      </c>
      <c r="I13" s="258">
        <f>365.6+965.8</f>
        <v>1331.4</v>
      </c>
      <c r="J13" s="258"/>
      <c r="K13" s="258">
        <v>16</v>
      </c>
      <c r="L13" s="258">
        <v>128</v>
      </c>
      <c r="M13" s="258">
        <f t="shared" si="1"/>
        <v>9011.4</v>
      </c>
      <c r="N13" s="258"/>
      <c r="O13" s="258"/>
      <c r="P13" s="258"/>
      <c r="Q13" s="258"/>
      <c r="R13" s="258"/>
      <c r="S13" s="258">
        <f t="shared" si="2"/>
        <v>0</v>
      </c>
    </row>
    <row r="14" spans="1:19">
      <c r="A14" s="257">
        <v>46113</v>
      </c>
      <c r="B14" s="258">
        <v>9120</v>
      </c>
      <c r="C14" s="258">
        <v>4351.5</v>
      </c>
      <c r="D14" s="258"/>
      <c r="E14" s="258">
        <v>19</v>
      </c>
      <c r="F14" s="258">
        <v>152</v>
      </c>
      <c r="G14" s="258">
        <f t="shared" si="0"/>
        <v>13471.5</v>
      </c>
      <c r="H14" s="258">
        <v>9120</v>
      </c>
      <c r="I14" s="258">
        <f>634.7+1780.9</f>
        <v>2415.6000000000004</v>
      </c>
      <c r="J14" s="258"/>
      <c r="K14" s="258">
        <v>19</v>
      </c>
      <c r="L14" s="258">
        <v>152</v>
      </c>
      <c r="M14" s="258">
        <f t="shared" si="1"/>
        <v>11535.6</v>
      </c>
      <c r="N14" s="258">
        <v>9360</v>
      </c>
      <c r="O14" s="258">
        <f>751.7+2290.5</f>
        <v>3042.2</v>
      </c>
      <c r="P14" s="258"/>
      <c r="Q14" s="258">
        <v>20</v>
      </c>
      <c r="R14" s="258">
        <v>156</v>
      </c>
      <c r="S14" s="258">
        <f t="shared" si="2"/>
        <v>12402.2</v>
      </c>
    </row>
    <row r="15" spans="1:19">
      <c r="A15" s="257">
        <v>46143</v>
      </c>
      <c r="B15" s="258">
        <v>9630</v>
      </c>
      <c r="C15" s="258">
        <v>5504.7</v>
      </c>
      <c r="D15" s="258">
        <v>1501.2</v>
      </c>
      <c r="E15" s="258">
        <v>20</v>
      </c>
      <c r="F15" s="258">
        <v>160.5</v>
      </c>
      <c r="G15" s="258">
        <f t="shared" si="0"/>
        <v>16635.900000000001</v>
      </c>
      <c r="H15" s="258">
        <v>9120</v>
      </c>
      <c r="I15" s="258">
        <f>596.4+1699.3</f>
        <v>2295.6999999999998</v>
      </c>
      <c r="J15" s="258">
        <v>1221</v>
      </c>
      <c r="K15" s="258">
        <v>19</v>
      </c>
      <c r="L15" s="258">
        <v>152</v>
      </c>
      <c r="M15" s="258">
        <f t="shared" si="1"/>
        <v>12636.7</v>
      </c>
      <c r="N15" s="258">
        <v>12030</v>
      </c>
      <c r="O15" s="258">
        <v>6705.7</v>
      </c>
      <c r="P15" s="258"/>
      <c r="Q15" s="258">
        <v>25</v>
      </c>
      <c r="R15" s="258">
        <v>200.5</v>
      </c>
      <c r="S15" s="258">
        <f t="shared" si="2"/>
        <v>18735.7</v>
      </c>
    </row>
    <row r="16" spans="1:19">
      <c r="A16" s="257">
        <v>46174</v>
      </c>
      <c r="B16" s="258"/>
      <c r="C16" s="258"/>
      <c r="D16" s="258"/>
      <c r="E16" s="258"/>
      <c r="F16" s="258"/>
      <c r="G16" s="258">
        <f t="shared" si="0"/>
        <v>0</v>
      </c>
      <c r="H16" s="258"/>
      <c r="I16" s="258"/>
      <c r="J16" s="258"/>
      <c r="K16" s="258"/>
      <c r="L16" s="258"/>
      <c r="M16" s="258">
        <f t="shared" si="1"/>
        <v>0</v>
      </c>
      <c r="N16" s="258"/>
      <c r="O16" s="258"/>
      <c r="P16" s="258"/>
      <c r="Q16" s="258"/>
      <c r="R16" s="258"/>
      <c r="S16" s="258">
        <f t="shared" si="2"/>
        <v>0</v>
      </c>
    </row>
    <row r="17" spans="1:19">
      <c r="A17" s="257">
        <v>46204</v>
      </c>
      <c r="B17" s="258"/>
      <c r="C17" s="258"/>
      <c r="D17" s="258"/>
      <c r="E17" s="258"/>
      <c r="F17" s="258"/>
      <c r="G17" s="258">
        <f t="shared" si="0"/>
        <v>0</v>
      </c>
      <c r="H17" s="258"/>
      <c r="I17" s="258"/>
      <c r="J17" s="258"/>
      <c r="K17" s="258"/>
      <c r="L17" s="258"/>
      <c r="M17" s="258">
        <f t="shared" si="1"/>
        <v>0</v>
      </c>
      <c r="N17" s="258"/>
      <c r="O17" s="258"/>
      <c r="P17" s="258"/>
      <c r="Q17" s="258"/>
      <c r="R17" s="258"/>
      <c r="S17" s="258">
        <f t="shared" si="2"/>
        <v>0</v>
      </c>
    </row>
    <row r="18" spans="1:19">
      <c r="A18" s="257">
        <v>46235</v>
      </c>
      <c r="B18" s="258"/>
      <c r="C18" s="258"/>
      <c r="D18" s="258"/>
      <c r="E18" s="258"/>
      <c r="F18" s="258"/>
      <c r="G18" s="258">
        <f t="shared" si="0"/>
        <v>0</v>
      </c>
      <c r="H18" s="258"/>
      <c r="I18" s="258"/>
      <c r="J18" s="258"/>
      <c r="K18" s="258"/>
      <c r="L18" s="258"/>
      <c r="M18" s="258">
        <f t="shared" si="1"/>
        <v>0</v>
      </c>
      <c r="N18" s="258"/>
      <c r="O18" s="258"/>
      <c r="P18" s="258"/>
      <c r="Q18" s="258"/>
      <c r="R18" s="258"/>
      <c r="S18" s="258">
        <f t="shared" si="2"/>
        <v>0</v>
      </c>
    </row>
    <row r="19" spans="1:19">
      <c r="A19" s="257">
        <v>46266</v>
      </c>
      <c r="B19" s="258"/>
      <c r="C19" s="258"/>
      <c r="D19" s="258"/>
      <c r="E19" s="258"/>
      <c r="F19" s="258"/>
      <c r="G19" s="258">
        <f t="shared" si="0"/>
        <v>0</v>
      </c>
      <c r="H19" s="258"/>
      <c r="I19" s="258"/>
      <c r="J19" s="258"/>
      <c r="K19" s="258"/>
      <c r="L19" s="258"/>
      <c r="M19" s="258">
        <f t="shared" si="1"/>
        <v>0</v>
      </c>
      <c r="N19" s="258"/>
      <c r="O19" s="258"/>
      <c r="P19" s="258"/>
      <c r="Q19" s="258"/>
      <c r="R19" s="258"/>
      <c r="S19" s="258">
        <f t="shared" si="2"/>
        <v>0</v>
      </c>
    </row>
    <row r="20" spans="1:19">
      <c r="A20" s="257">
        <v>46296</v>
      </c>
      <c r="B20" s="258"/>
      <c r="C20" s="258"/>
      <c r="D20" s="258"/>
      <c r="E20" s="258"/>
      <c r="F20" s="258"/>
      <c r="G20" s="258">
        <f t="shared" si="0"/>
        <v>0</v>
      </c>
      <c r="H20" s="258"/>
      <c r="I20" s="258"/>
      <c r="J20" s="258"/>
      <c r="K20" s="258"/>
      <c r="L20" s="258"/>
      <c r="M20" s="258">
        <f t="shared" si="1"/>
        <v>0</v>
      </c>
      <c r="N20" s="258"/>
      <c r="O20" s="258"/>
      <c r="P20" s="258"/>
      <c r="Q20" s="258"/>
      <c r="R20" s="258"/>
      <c r="S20" s="258">
        <f t="shared" si="2"/>
        <v>0</v>
      </c>
    </row>
    <row r="21" spans="1:19">
      <c r="A21" s="257">
        <v>46327</v>
      </c>
      <c r="B21" s="258"/>
      <c r="C21" s="258"/>
      <c r="D21" s="258"/>
      <c r="E21" s="258"/>
      <c r="F21" s="258"/>
      <c r="G21" s="258">
        <f t="shared" si="0"/>
        <v>0</v>
      </c>
      <c r="H21" s="258"/>
      <c r="I21" s="258"/>
      <c r="J21" s="258"/>
      <c r="K21" s="258"/>
      <c r="L21" s="258"/>
      <c r="M21" s="258">
        <f t="shared" si="1"/>
        <v>0</v>
      </c>
      <c r="N21" s="258"/>
      <c r="O21" s="258"/>
      <c r="P21" s="258"/>
      <c r="Q21" s="258"/>
      <c r="R21" s="258"/>
      <c r="S21" s="258">
        <f t="shared" si="2"/>
        <v>0</v>
      </c>
    </row>
    <row r="22" spans="1:19">
      <c r="A22" s="257">
        <v>46357</v>
      </c>
      <c r="B22" s="258"/>
      <c r="C22" s="258"/>
      <c r="D22" s="258"/>
      <c r="E22" s="258"/>
      <c r="F22" s="258"/>
      <c r="G22" s="258">
        <f t="shared" si="0"/>
        <v>0</v>
      </c>
      <c r="H22" s="258"/>
      <c r="I22" s="258"/>
      <c r="J22" s="258"/>
      <c r="K22" s="258"/>
      <c r="L22" s="258"/>
      <c r="M22" s="258">
        <f t="shared" si="1"/>
        <v>0</v>
      </c>
      <c r="N22" s="258"/>
      <c r="O22" s="258"/>
      <c r="P22" s="258"/>
      <c r="Q22" s="258"/>
      <c r="R22" s="258"/>
      <c r="S22" s="258">
        <f t="shared" si="2"/>
        <v>0</v>
      </c>
    </row>
    <row r="23" spans="1:19">
      <c r="A23" s="257">
        <v>46388</v>
      </c>
      <c r="B23" s="258"/>
      <c r="C23" s="258"/>
      <c r="D23" s="258"/>
      <c r="E23" s="258"/>
      <c r="F23" s="258"/>
      <c r="G23" s="258">
        <f t="shared" si="0"/>
        <v>0</v>
      </c>
      <c r="H23" s="258"/>
      <c r="I23" s="258"/>
      <c r="J23" s="258"/>
      <c r="K23" s="258"/>
      <c r="L23" s="258"/>
      <c r="M23" s="258">
        <f t="shared" si="1"/>
        <v>0</v>
      </c>
      <c r="N23" s="258"/>
      <c r="O23" s="258"/>
      <c r="P23" s="258"/>
      <c r="Q23" s="258"/>
      <c r="R23" s="258"/>
      <c r="S23" s="258">
        <f t="shared" si="2"/>
        <v>0</v>
      </c>
    </row>
    <row r="24" spans="1:19">
      <c r="A24" s="257">
        <v>46419</v>
      </c>
      <c r="B24" s="258"/>
      <c r="C24" s="258"/>
      <c r="D24" s="258"/>
      <c r="E24" s="258"/>
      <c r="F24" s="258"/>
      <c r="G24" s="258">
        <f t="shared" si="0"/>
        <v>0</v>
      </c>
      <c r="H24" s="258"/>
      <c r="I24" s="258"/>
      <c r="J24" s="258"/>
      <c r="K24" s="258"/>
      <c r="L24" s="258"/>
      <c r="M24" s="258">
        <f t="shared" si="1"/>
        <v>0</v>
      </c>
      <c r="N24" s="258"/>
      <c r="O24" s="258"/>
      <c r="P24" s="258"/>
      <c r="Q24" s="258"/>
      <c r="R24" s="258"/>
      <c r="S24" s="258">
        <f t="shared" si="2"/>
        <v>0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3834-0FA9-4A35-8D51-CF64D1836BA7}">
  <dimension ref="A3:H17"/>
  <sheetViews>
    <sheetView workbookViewId="0">
      <selection activeCell="O33" sqref="O33"/>
    </sheetView>
  </sheetViews>
  <sheetFormatPr defaultRowHeight="16.5"/>
  <cols>
    <col min="1" max="1" width="16.5" customWidth="1"/>
    <col min="2" max="3" width="12.125" customWidth="1"/>
    <col min="6" max="6" width="15.125" customWidth="1"/>
  </cols>
  <sheetData>
    <row r="3" spans="1:8">
      <c r="A3" s="262" t="s">
        <v>268</v>
      </c>
      <c r="B3" s="262"/>
      <c r="C3" s="262"/>
      <c r="F3" s="262" t="s">
        <v>889</v>
      </c>
      <c r="G3" s="262"/>
      <c r="H3" s="262"/>
    </row>
    <row r="4" spans="1:8">
      <c r="A4" s="260">
        <v>45778</v>
      </c>
      <c r="B4" s="261">
        <v>13877.3</v>
      </c>
      <c r="C4" s="261">
        <v>20</v>
      </c>
      <c r="F4" s="260">
        <v>45778</v>
      </c>
      <c r="G4" s="261">
        <v>8027.8</v>
      </c>
      <c r="H4" s="261">
        <v>14</v>
      </c>
    </row>
    <row r="5" spans="1:8">
      <c r="A5" s="257">
        <v>45809</v>
      </c>
      <c r="B5" s="258">
        <v>13522.7</v>
      </c>
      <c r="C5" s="258">
        <v>17</v>
      </c>
      <c r="F5" s="257">
        <v>45809</v>
      </c>
      <c r="G5" s="258">
        <v>8057.8</v>
      </c>
      <c r="H5" s="258">
        <v>13</v>
      </c>
    </row>
    <row r="6" spans="1:8">
      <c r="A6" s="260">
        <v>45839</v>
      </c>
      <c r="B6" s="261">
        <v>12794.099999999999</v>
      </c>
      <c r="C6" s="261">
        <v>17</v>
      </c>
      <c r="F6" s="260">
        <v>45839</v>
      </c>
      <c r="G6" s="261">
        <v>6775.9</v>
      </c>
      <c r="H6" s="261">
        <v>11</v>
      </c>
    </row>
    <row r="7" spans="1:8">
      <c r="A7" s="257">
        <v>45870</v>
      </c>
      <c r="B7" s="258">
        <v>15164.6</v>
      </c>
      <c r="C7" s="258">
        <v>19</v>
      </c>
      <c r="F7" s="257">
        <v>45870</v>
      </c>
      <c r="G7" s="258">
        <v>9371.5</v>
      </c>
      <c r="H7" s="258">
        <v>15</v>
      </c>
    </row>
    <row r="8" spans="1:8">
      <c r="A8" s="260">
        <v>45901</v>
      </c>
      <c r="B8" s="261">
        <v>11600.1</v>
      </c>
      <c r="C8" s="261">
        <v>16</v>
      </c>
      <c r="F8" s="260">
        <v>45901</v>
      </c>
      <c r="G8" s="261">
        <v>7472.8</v>
      </c>
      <c r="H8" s="261">
        <v>12</v>
      </c>
    </row>
    <row r="9" spans="1:8">
      <c r="A9" s="257">
        <v>45931</v>
      </c>
      <c r="B9" s="258">
        <v>13867.1</v>
      </c>
      <c r="C9" s="258">
        <v>21</v>
      </c>
      <c r="F9" s="257">
        <v>45931</v>
      </c>
      <c r="G9" s="258">
        <v>7950.3</v>
      </c>
      <c r="H9" s="258">
        <v>13</v>
      </c>
    </row>
    <row r="10" spans="1:8">
      <c r="A10" s="260">
        <v>45962</v>
      </c>
      <c r="B10" s="261">
        <v>13179</v>
      </c>
      <c r="C10" s="261">
        <v>18</v>
      </c>
      <c r="F10" s="260">
        <v>45962</v>
      </c>
      <c r="G10" s="261">
        <v>7902.3</v>
      </c>
      <c r="H10" s="261">
        <v>14</v>
      </c>
    </row>
    <row r="11" spans="1:8">
      <c r="A11" s="257">
        <v>45992</v>
      </c>
      <c r="B11" s="258">
        <v>12589.1</v>
      </c>
      <c r="C11" s="258">
        <v>16</v>
      </c>
      <c r="F11" s="257">
        <v>45992</v>
      </c>
      <c r="G11" s="258">
        <v>7767.9</v>
      </c>
      <c r="H11" s="258">
        <v>12</v>
      </c>
    </row>
    <row r="12" spans="1:8">
      <c r="A12" s="260">
        <v>46023</v>
      </c>
      <c r="B12" s="261">
        <v>13125.4</v>
      </c>
      <c r="C12" s="261">
        <v>12</v>
      </c>
      <c r="F12" s="260">
        <v>46023</v>
      </c>
      <c r="G12" s="261">
        <v>9767.5</v>
      </c>
      <c r="H12" s="261">
        <v>16</v>
      </c>
    </row>
    <row r="13" spans="1:8">
      <c r="A13" s="257">
        <v>46054</v>
      </c>
      <c r="B13" s="258">
        <v>10912.3</v>
      </c>
      <c r="C13" s="258">
        <v>15</v>
      </c>
      <c r="F13" s="257">
        <v>46054</v>
      </c>
      <c r="G13" s="258">
        <v>10145.200000000001</v>
      </c>
      <c r="H13" s="258">
        <v>15</v>
      </c>
    </row>
    <row r="14" spans="1:8">
      <c r="A14" s="260">
        <v>46082</v>
      </c>
      <c r="B14" s="261">
        <v>11276.8</v>
      </c>
      <c r="C14" s="261">
        <v>17</v>
      </c>
      <c r="F14" s="260">
        <v>46082</v>
      </c>
      <c r="G14" s="261">
        <v>9011.4</v>
      </c>
      <c r="H14" s="261">
        <v>16</v>
      </c>
    </row>
    <row r="15" spans="1:8">
      <c r="A15" s="260">
        <v>46113</v>
      </c>
      <c r="B15" s="261">
        <v>13471.5</v>
      </c>
      <c r="C15" s="261">
        <v>19</v>
      </c>
      <c r="F15" s="260">
        <v>46113</v>
      </c>
      <c r="G15" s="261">
        <v>11535.6</v>
      </c>
      <c r="H15" s="261">
        <v>19</v>
      </c>
    </row>
    <row r="16" spans="1:8">
      <c r="A16" s="257" t="s">
        <v>132</v>
      </c>
      <c r="B16" s="258">
        <v>155380</v>
      </c>
      <c r="C16" s="258">
        <v>207</v>
      </c>
      <c r="F16" s="257" t="s">
        <v>132</v>
      </c>
      <c r="G16" s="258">
        <v>103786.00000000001</v>
      </c>
      <c r="H16" s="258">
        <v>170</v>
      </c>
    </row>
    <row r="17" spans="1:8">
      <c r="A17" s="260" t="s">
        <v>954</v>
      </c>
      <c r="B17" s="261"/>
      <c r="C17" s="261">
        <v>750.62801932367154</v>
      </c>
      <c r="F17" s="260" t="s">
        <v>954</v>
      </c>
      <c r="G17" s="261"/>
      <c r="H17" s="261">
        <v>610.50588235294128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2</vt:i4>
      </vt:variant>
    </vt:vector>
  </HeadingPairs>
  <TitlesOfParts>
    <vt:vector size="14" baseType="lpstr">
      <vt:lpstr>1-10</vt:lpstr>
      <vt:lpstr>11-20</vt:lpstr>
      <vt:lpstr>Roster</vt:lpstr>
      <vt:lpstr>工作表1</vt:lpstr>
      <vt:lpstr>Total</vt:lpstr>
      <vt:lpstr>店鋪</vt:lpstr>
      <vt:lpstr>Name List</vt:lpstr>
      <vt:lpstr>editable-sales-form</vt:lpstr>
      <vt:lpstr>Ref-List</vt:lpstr>
      <vt:lpstr>202601~Now</vt:lpstr>
      <vt:lpstr>Holiady Allowance</vt:lpstr>
      <vt:lpstr>工作表3</vt:lpstr>
      <vt:lpstr>'1-10'!Print_Area</vt:lpstr>
      <vt:lpstr>'11-20'!Print_Area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A5413</dc:creator>
  <cp:lastModifiedBy>a1334</cp:lastModifiedBy>
  <cp:lastPrinted>2025-11-12T05:13:19Z</cp:lastPrinted>
  <dcterms:created xsi:type="dcterms:W3CDTF">2025-10-16T08:06:11Z</dcterms:created>
  <dcterms:modified xsi:type="dcterms:W3CDTF">2026-07-13T02:01:45Z</dcterms:modified>
</cp:coreProperties>
</file>