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  <sheet name="Product List" sheetId="2" state="visible" r:id="rId2"/>
    <sheet name="editable-sales-form" sheetId="3" state="visible" r:id="rId3"/>
    <sheet name="To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Nick Name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In-Time</t>
        </is>
      </c>
      <c r="F1" s="1" t="inlineStr">
        <is>
          <t>Out-Time</t>
        </is>
      </c>
      <c r="G1" s="1" t="inlineStr">
        <is>
          <t>Hours</t>
        </is>
      </c>
      <c r="H1" s="1" t="inlineStr">
        <is>
          <t>OT Hours</t>
        </is>
      </c>
      <c r="I1" s="1" t="inlineStr">
        <is>
          <t>In-Time2</t>
        </is>
      </c>
      <c r="J1" s="1" t="inlineStr">
        <is>
          <t>Out-Time2</t>
        </is>
      </c>
      <c r="K1" s="1" t="inlineStr">
        <is>
          <t>Normal working hours</t>
        </is>
      </c>
    </row>
    <row r="2">
      <c r="A2" t="inlineStr">
        <is>
          <t>2026-06-04</t>
        </is>
      </c>
      <c r="B2" t="inlineStr">
        <is>
          <t>Wah</t>
        </is>
      </c>
      <c r="C2" t="inlineStr">
        <is>
          <t>Kowloon Bay Fortress</t>
        </is>
      </c>
      <c r="D2" t="inlineStr">
        <is>
          <t>Wah</t>
        </is>
      </c>
      <c r="E2" t="inlineStr">
        <is>
          <t>12:00:00</t>
        </is>
      </c>
      <c r="F2" t="inlineStr">
        <is>
          <t>20:00:00</t>
        </is>
      </c>
      <c r="G2" t="n">
        <v>8</v>
      </c>
      <c r="H2" t="n">
        <v>0</v>
      </c>
      <c r="K2" t="n">
        <v>8</v>
      </c>
    </row>
    <row r="3">
      <c r="A3" t="inlineStr">
        <is>
          <t>2026-06-05</t>
        </is>
      </c>
      <c r="B3" t="inlineStr">
        <is>
          <t>Wah</t>
        </is>
      </c>
      <c r="C3" t="inlineStr">
        <is>
          <t>Kowloon Bay Fortress</t>
        </is>
      </c>
      <c r="D3" t="inlineStr">
        <is>
          <t>Wah</t>
        </is>
      </c>
      <c r="E3" t="inlineStr">
        <is>
          <t>12:00:00</t>
        </is>
      </c>
      <c r="F3" t="inlineStr">
        <is>
          <t>20:00:00</t>
        </is>
      </c>
      <c r="G3" t="n">
        <v>8</v>
      </c>
      <c r="H3" t="n">
        <v>0</v>
      </c>
      <c r="K3" t="n">
        <v>8</v>
      </c>
    </row>
    <row r="4">
      <c r="A4" t="inlineStr">
        <is>
          <t>2026-06-06</t>
        </is>
      </c>
      <c r="B4" t="inlineStr">
        <is>
          <t>Wah</t>
        </is>
      </c>
      <c r="C4" t="inlineStr">
        <is>
          <t>Kowloon Bay Fortress</t>
        </is>
      </c>
      <c r="D4" t="inlineStr">
        <is>
          <t>Wah</t>
        </is>
      </c>
      <c r="E4" t="inlineStr">
        <is>
          <t>12:00:00</t>
        </is>
      </c>
      <c r="F4" t="inlineStr">
        <is>
          <t>20:00:00</t>
        </is>
      </c>
      <c r="G4" t="n">
        <v>8</v>
      </c>
      <c r="H4" t="n">
        <v>0</v>
      </c>
      <c r="K4" t="n">
        <v>8</v>
      </c>
    </row>
    <row r="5">
      <c r="A5" t="inlineStr">
        <is>
          <t>2026-06-07</t>
        </is>
      </c>
      <c r="B5" t="inlineStr">
        <is>
          <t>Wah</t>
        </is>
      </c>
      <c r="C5" t="inlineStr">
        <is>
          <t>Kowloon Bay Fortress</t>
        </is>
      </c>
      <c r="D5" t="inlineStr">
        <is>
          <t>Wah</t>
        </is>
      </c>
      <c r="E5" t="inlineStr">
        <is>
          <t>12:00:00</t>
        </is>
      </c>
      <c r="F5" t="inlineStr">
        <is>
          <t>20:00:00</t>
        </is>
      </c>
      <c r="G5" t="n">
        <v>8</v>
      </c>
      <c r="H5" t="n">
        <v>0</v>
      </c>
      <c r="K5" t="n">
        <v>8</v>
      </c>
    </row>
    <row r="6">
      <c r="A6" t="inlineStr">
        <is>
          <t>2026-06-11</t>
        </is>
      </c>
      <c r="B6" t="inlineStr">
        <is>
          <t>Wah</t>
        </is>
      </c>
      <c r="C6" t="inlineStr">
        <is>
          <t>Kowloon Bay Fortress</t>
        </is>
      </c>
      <c r="D6" t="inlineStr">
        <is>
          <t>Wah</t>
        </is>
      </c>
      <c r="E6" t="inlineStr">
        <is>
          <t>12:00:00</t>
        </is>
      </c>
      <c r="F6" t="inlineStr">
        <is>
          <t>20:00:00</t>
        </is>
      </c>
      <c r="G6" t="n">
        <v>8</v>
      </c>
      <c r="H6" t="n">
        <v>0</v>
      </c>
      <c r="K6" t="n">
        <v>8</v>
      </c>
    </row>
    <row r="7">
      <c r="A7" t="inlineStr">
        <is>
          <t>2026-06-12</t>
        </is>
      </c>
      <c r="B7" t="inlineStr">
        <is>
          <t>Wah</t>
        </is>
      </c>
      <c r="C7" t="inlineStr">
        <is>
          <t>Kowloon Bay Fortress</t>
        </is>
      </c>
      <c r="D7" t="inlineStr">
        <is>
          <t>Wah</t>
        </is>
      </c>
      <c r="E7" t="inlineStr">
        <is>
          <t>12:00:00</t>
        </is>
      </c>
      <c r="F7" t="inlineStr">
        <is>
          <t>20:00:00</t>
        </is>
      </c>
      <c r="G7" t="n">
        <v>7.999999999999993</v>
      </c>
      <c r="H7" t="n">
        <v>0</v>
      </c>
      <c r="K7" t="n">
        <v>7.999999999999993</v>
      </c>
    </row>
    <row r="8">
      <c r="A8" t="inlineStr">
        <is>
          <t>2026-06-13</t>
        </is>
      </c>
      <c r="B8" t="inlineStr">
        <is>
          <t>Wah</t>
        </is>
      </c>
      <c r="C8" t="inlineStr">
        <is>
          <t>Kowloon Bay Fortress</t>
        </is>
      </c>
      <c r="D8" t="inlineStr">
        <is>
          <t>Wah</t>
        </is>
      </c>
      <c r="E8" t="inlineStr">
        <is>
          <t>12:00:00</t>
        </is>
      </c>
      <c r="F8" t="inlineStr">
        <is>
          <t>20:00:00</t>
        </is>
      </c>
      <c r="G8" t="n">
        <v>7.999999999999993</v>
      </c>
      <c r="H8" t="n">
        <v>0</v>
      </c>
      <c r="K8" t="n">
        <v>7.999999999999993</v>
      </c>
    </row>
    <row r="9">
      <c r="A9" t="inlineStr">
        <is>
          <t>2026-06-14</t>
        </is>
      </c>
      <c r="B9" t="inlineStr">
        <is>
          <t>Wah</t>
        </is>
      </c>
      <c r="C9" t="inlineStr">
        <is>
          <t>Kowloon Bay Fortress</t>
        </is>
      </c>
      <c r="D9" t="inlineStr">
        <is>
          <t>Wah</t>
        </is>
      </c>
      <c r="E9" t="inlineStr">
        <is>
          <t>12:00:00</t>
        </is>
      </c>
      <c r="F9" t="inlineStr">
        <is>
          <t>20:00:00</t>
        </is>
      </c>
      <c r="G9" t="n">
        <v>7.999999999999993</v>
      </c>
      <c r="H9" t="n">
        <v>0</v>
      </c>
      <c r="K9" t="n">
        <v>7.999999999999993</v>
      </c>
    </row>
    <row r="10">
      <c r="A10" t="inlineStr">
        <is>
          <t>2026-06-18</t>
        </is>
      </c>
      <c r="B10" t="inlineStr">
        <is>
          <t>Wah</t>
        </is>
      </c>
      <c r="C10" t="inlineStr">
        <is>
          <t>Kowloon Bay Fortress</t>
        </is>
      </c>
      <c r="D10" t="inlineStr">
        <is>
          <t>Wah</t>
        </is>
      </c>
      <c r="E10" t="inlineStr">
        <is>
          <t>12:00:00</t>
        </is>
      </c>
      <c r="F10" t="inlineStr">
        <is>
          <t>20:00:00</t>
        </is>
      </c>
      <c r="G10" t="n">
        <v>7.999999999999993</v>
      </c>
      <c r="H10" t="n">
        <v>0</v>
      </c>
      <c r="K10" t="n">
        <v>7.999999999999993</v>
      </c>
    </row>
    <row r="11">
      <c r="A11" t="inlineStr">
        <is>
          <t>2026-06-19</t>
        </is>
      </c>
      <c r="B11" t="inlineStr">
        <is>
          <t>Wah</t>
        </is>
      </c>
      <c r="C11" t="inlineStr">
        <is>
          <t>Kowloon Bay Fortress</t>
        </is>
      </c>
      <c r="D11" t="inlineStr">
        <is>
          <t>Wah</t>
        </is>
      </c>
      <c r="E11" t="inlineStr">
        <is>
          <t>12:00:00</t>
        </is>
      </c>
      <c r="F11" t="inlineStr">
        <is>
          <t>20:00:00</t>
        </is>
      </c>
      <c r="G11" t="n">
        <v>7.999999999999993</v>
      </c>
      <c r="H11" t="n">
        <v>0</v>
      </c>
      <c r="K11" t="n">
        <v>7.999999999999993</v>
      </c>
    </row>
    <row r="12">
      <c r="A12" t="inlineStr">
        <is>
          <t>2026-06-20</t>
        </is>
      </c>
      <c r="B12" t="inlineStr">
        <is>
          <t>Wah</t>
        </is>
      </c>
      <c r="C12" t="inlineStr">
        <is>
          <t>Kowloon Bay Fortress</t>
        </is>
      </c>
      <c r="D12" t="inlineStr">
        <is>
          <t>Wah</t>
        </is>
      </c>
      <c r="E12" t="inlineStr">
        <is>
          <t>12:00:00</t>
        </is>
      </c>
      <c r="F12" t="inlineStr">
        <is>
          <t>20:00:00</t>
        </is>
      </c>
      <c r="G12" t="n">
        <v>7.999999999999993</v>
      </c>
      <c r="H12" t="n">
        <v>0</v>
      </c>
      <c r="K12" t="n">
        <v>7.999999999999993</v>
      </c>
    </row>
    <row r="13">
      <c r="A13" t="inlineStr">
        <is>
          <t>2026-06-21</t>
        </is>
      </c>
      <c r="B13" t="inlineStr">
        <is>
          <t>Wah</t>
        </is>
      </c>
      <c r="C13" t="inlineStr">
        <is>
          <t>Kowloon Bay Fortress</t>
        </is>
      </c>
      <c r="D13" t="inlineStr">
        <is>
          <t>Wah</t>
        </is>
      </c>
      <c r="E13" t="inlineStr">
        <is>
          <t>12:00:00</t>
        </is>
      </c>
      <c r="F13" t="inlineStr">
        <is>
          <t>20:00:00</t>
        </is>
      </c>
      <c r="G13" t="n">
        <v>7.999999999999993</v>
      </c>
      <c r="H13" t="n">
        <v>0</v>
      </c>
      <c r="K13" t="n">
        <v>7.999999999999993</v>
      </c>
    </row>
    <row r="14">
      <c r="A14" t="inlineStr">
        <is>
          <t>2026-06-25</t>
        </is>
      </c>
      <c r="B14" t="inlineStr">
        <is>
          <t>Wah</t>
        </is>
      </c>
      <c r="C14" t="inlineStr">
        <is>
          <t>Kowloon Bay Fortress</t>
        </is>
      </c>
      <c r="D14" t="inlineStr">
        <is>
          <t>Wah</t>
        </is>
      </c>
      <c r="E14" t="inlineStr">
        <is>
          <t>12:00:00</t>
        </is>
      </c>
      <c r="F14" t="inlineStr">
        <is>
          <t>20:00:00</t>
        </is>
      </c>
      <c r="G14" t="n">
        <v>7.999999999999993</v>
      </c>
      <c r="H14" t="n">
        <v>0</v>
      </c>
      <c r="K14" t="n">
        <v>7.999999999999993</v>
      </c>
    </row>
    <row r="15">
      <c r="A15" t="inlineStr">
        <is>
          <t>2026-06-26</t>
        </is>
      </c>
      <c r="B15" t="inlineStr">
        <is>
          <t>Wah</t>
        </is>
      </c>
      <c r="C15" t="inlineStr">
        <is>
          <t>Kowloon Bay Fortress</t>
        </is>
      </c>
      <c r="D15" t="inlineStr">
        <is>
          <t>Wah</t>
        </is>
      </c>
      <c r="E15" t="inlineStr">
        <is>
          <t>12:00:00</t>
        </is>
      </c>
      <c r="F15" t="inlineStr">
        <is>
          <t>20:00:00</t>
        </is>
      </c>
      <c r="G15" t="n">
        <v>7.999999999999993</v>
      </c>
      <c r="H15" t="n">
        <v>0</v>
      </c>
      <c r="K15" t="n">
        <v>7.999999999999993</v>
      </c>
    </row>
    <row r="16">
      <c r="A16" t="inlineStr">
        <is>
          <t>2026-06-27</t>
        </is>
      </c>
      <c r="B16" t="inlineStr">
        <is>
          <t>Wah</t>
        </is>
      </c>
      <c r="C16" t="inlineStr">
        <is>
          <t>Kowloon Bay Fortress</t>
        </is>
      </c>
      <c r="D16" t="inlineStr">
        <is>
          <t>Wah</t>
        </is>
      </c>
      <c r="E16" t="inlineStr">
        <is>
          <t>12:00:00</t>
        </is>
      </c>
      <c r="F16" t="inlineStr">
        <is>
          <t>20:00:00</t>
        </is>
      </c>
      <c r="G16" t="n">
        <v>7.999999999999993</v>
      </c>
      <c r="H16" t="n">
        <v>0</v>
      </c>
      <c r="K16" t="n">
        <v>7.999999999999993</v>
      </c>
    </row>
    <row r="17">
      <c r="A17" t="inlineStr">
        <is>
          <t>2026-06-28</t>
        </is>
      </c>
      <c r="B17" t="inlineStr">
        <is>
          <t>Wah</t>
        </is>
      </c>
      <c r="C17" t="inlineStr">
        <is>
          <t>Kowloon Bay Fortress</t>
        </is>
      </c>
      <c r="D17" t="inlineStr">
        <is>
          <t>Wah</t>
        </is>
      </c>
      <c r="E17" t="inlineStr">
        <is>
          <t>12:00:00</t>
        </is>
      </c>
      <c r="F17" t="inlineStr">
        <is>
          <t>20:00:00</t>
        </is>
      </c>
      <c r="G17" t="n">
        <v>7.999999999999993</v>
      </c>
      <c r="H17" t="n">
        <v>0</v>
      </c>
      <c r="K17" t="n">
        <v>7.999999999999993</v>
      </c>
    </row>
    <row r="18">
      <c r="A18" t="inlineStr">
        <is>
          <t>2026-06-04</t>
        </is>
      </c>
      <c r="B18" t="inlineStr">
        <is>
          <t>Ling</t>
        </is>
      </c>
      <c r="C18" t="inlineStr">
        <is>
          <t>YL Citistore</t>
        </is>
      </c>
      <c r="D18" t="inlineStr">
        <is>
          <t>Ling</t>
        </is>
      </c>
      <c r="E18" t="inlineStr">
        <is>
          <t>11:43:00</t>
        </is>
      </c>
      <c r="F18" t="inlineStr">
        <is>
          <t>20:00:00</t>
        </is>
      </c>
      <c r="G18" t="n">
        <v>8.283333333333326</v>
      </c>
      <c r="H18" t="n">
        <v>0</v>
      </c>
      <c r="K18" t="n">
        <v>7.999999999999993</v>
      </c>
    </row>
    <row r="19">
      <c r="A19" t="inlineStr">
        <is>
          <t>2026-06-05</t>
        </is>
      </c>
      <c r="B19" t="inlineStr">
        <is>
          <t>Ling</t>
        </is>
      </c>
      <c r="C19" t="inlineStr">
        <is>
          <t>YL Citistore</t>
        </is>
      </c>
      <c r="D19" t="inlineStr">
        <is>
          <t>Ling</t>
        </is>
      </c>
      <c r="E19" t="inlineStr">
        <is>
          <t>11:43:00</t>
        </is>
      </c>
      <c r="F19" t="inlineStr">
        <is>
          <t>20:00:00</t>
        </is>
      </c>
      <c r="G19" t="n">
        <v>8.283333333333326</v>
      </c>
      <c r="H19" t="n">
        <v>0</v>
      </c>
      <c r="K19" t="n">
        <v>7.999999999999993</v>
      </c>
    </row>
    <row r="20">
      <c r="A20" t="inlineStr">
        <is>
          <t>2026-06-06</t>
        </is>
      </c>
      <c r="B20" t="inlineStr">
        <is>
          <t>Ling</t>
        </is>
      </c>
      <c r="C20" t="inlineStr">
        <is>
          <t>YL Citistore</t>
        </is>
      </c>
      <c r="D20" t="inlineStr">
        <is>
          <t>Ling</t>
        </is>
      </c>
      <c r="E20" t="inlineStr">
        <is>
          <t>11:44:00</t>
        </is>
      </c>
      <c r="F20" t="inlineStr">
        <is>
          <t>20:00:00</t>
        </is>
      </c>
      <c r="G20" t="n">
        <v>8.26666666666666</v>
      </c>
      <c r="H20" t="n">
        <v>0</v>
      </c>
      <c r="K20" t="n">
        <v>7.999999999999993</v>
      </c>
    </row>
    <row r="21">
      <c r="A21" t="inlineStr">
        <is>
          <t>2026-06-07</t>
        </is>
      </c>
      <c r="B21" t="inlineStr">
        <is>
          <t>Ling</t>
        </is>
      </c>
      <c r="C21" t="inlineStr">
        <is>
          <t>YL Citistore</t>
        </is>
      </c>
      <c r="D21" t="inlineStr">
        <is>
          <t>Ling</t>
        </is>
      </c>
      <c r="E21" t="inlineStr">
        <is>
          <t>11:47:00</t>
        </is>
      </c>
      <c r="F21" t="inlineStr">
        <is>
          <t>20:00:00</t>
        </is>
      </c>
      <c r="G21" t="n">
        <v>8.21666666666666</v>
      </c>
      <c r="H21" t="n">
        <v>0</v>
      </c>
      <c r="K21" t="n">
        <v>7.999999999999993</v>
      </c>
    </row>
    <row r="22">
      <c r="A22" t="inlineStr">
        <is>
          <t>2026-06-11</t>
        </is>
      </c>
      <c r="B22" t="inlineStr">
        <is>
          <t>Ling</t>
        </is>
      </c>
      <c r="C22" t="inlineStr">
        <is>
          <t>YL Citistore</t>
        </is>
      </c>
      <c r="D22" t="inlineStr">
        <is>
          <t>Ling</t>
        </is>
      </c>
      <c r="E22" t="inlineStr">
        <is>
          <t>11:49:00</t>
        </is>
      </c>
      <c r="F22" t="inlineStr">
        <is>
          <t>20:00:00</t>
        </is>
      </c>
      <c r="G22" t="n">
        <v>8.183333333333326</v>
      </c>
      <c r="H22" t="n">
        <v>0</v>
      </c>
      <c r="K22" t="n">
        <v>7.999999999999993</v>
      </c>
    </row>
    <row r="23">
      <c r="A23" t="inlineStr">
        <is>
          <t>2026-06-12</t>
        </is>
      </c>
      <c r="B23" t="inlineStr">
        <is>
          <t>Ling</t>
        </is>
      </c>
      <c r="C23" t="inlineStr">
        <is>
          <t>YL Citistore</t>
        </is>
      </c>
      <c r="D23" t="inlineStr">
        <is>
          <t>Ling</t>
        </is>
      </c>
      <c r="E23" t="inlineStr">
        <is>
          <t>11:44:00</t>
        </is>
      </c>
      <c r="F23" t="inlineStr">
        <is>
          <t>20:00:00</t>
        </is>
      </c>
      <c r="G23" t="n">
        <v>8.26666666666666</v>
      </c>
      <c r="H23" t="n">
        <v>0</v>
      </c>
      <c r="K23" t="n">
        <v>7.999999999999993</v>
      </c>
    </row>
    <row r="24">
      <c r="A24" t="inlineStr">
        <is>
          <t>2026-06-13</t>
        </is>
      </c>
      <c r="B24" t="inlineStr">
        <is>
          <t>Ling</t>
        </is>
      </c>
      <c r="C24" t="inlineStr">
        <is>
          <t>YL Citistore</t>
        </is>
      </c>
      <c r="D24" t="inlineStr">
        <is>
          <t>Ling</t>
        </is>
      </c>
      <c r="E24" t="inlineStr">
        <is>
          <t>11:44:00</t>
        </is>
      </c>
      <c r="F24" t="inlineStr">
        <is>
          <t>20:00:00</t>
        </is>
      </c>
      <c r="G24" t="n">
        <v>8.26666666666666</v>
      </c>
      <c r="H24" t="n">
        <v>0</v>
      </c>
      <c r="K24" t="n">
        <v>7.999999999999993</v>
      </c>
    </row>
    <row r="25">
      <c r="A25" t="inlineStr">
        <is>
          <t>2026-06-14</t>
        </is>
      </c>
      <c r="B25" t="inlineStr">
        <is>
          <t>Ling</t>
        </is>
      </c>
      <c r="C25" t="inlineStr">
        <is>
          <t>YL Citistore</t>
        </is>
      </c>
      <c r="D25" t="inlineStr">
        <is>
          <t>Ling</t>
        </is>
      </c>
      <c r="E25" t="inlineStr">
        <is>
          <t>11:43:00</t>
        </is>
      </c>
      <c r="F25" t="inlineStr">
        <is>
          <t>20:00:00</t>
        </is>
      </c>
      <c r="G25" t="n">
        <v>8.283333333333326</v>
      </c>
      <c r="H25" t="n">
        <v>0</v>
      </c>
      <c r="K25" t="n">
        <v>7.999999999999993</v>
      </c>
    </row>
    <row r="26">
      <c r="A26" t="inlineStr">
        <is>
          <t>2026-06-18</t>
        </is>
      </c>
      <c r="B26" t="inlineStr">
        <is>
          <t>Ling</t>
        </is>
      </c>
      <c r="C26" t="inlineStr">
        <is>
          <t>YL Citistore</t>
        </is>
      </c>
      <c r="D26" t="inlineStr">
        <is>
          <t>Ling</t>
        </is>
      </c>
      <c r="E26" t="inlineStr">
        <is>
          <t>11:43:00</t>
        </is>
      </c>
      <c r="F26" t="inlineStr">
        <is>
          <t>20:00:00</t>
        </is>
      </c>
      <c r="G26" t="n">
        <v>8.283333333333326</v>
      </c>
      <c r="H26" t="n">
        <v>0</v>
      </c>
      <c r="K26" t="n">
        <v>7.999999999999993</v>
      </c>
    </row>
    <row r="27">
      <c r="A27" t="inlineStr">
        <is>
          <t>2026-06-19</t>
        </is>
      </c>
      <c r="B27" t="inlineStr">
        <is>
          <t>Ling</t>
        </is>
      </c>
      <c r="C27" t="inlineStr">
        <is>
          <t>YL Citistore</t>
        </is>
      </c>
      <c r="D27" t="inlineStr">
        <is>
          <t>Ling</t>
        </is>
      </c>
      <c r="E27" t="inlineStr">
        <is>
          <t>11:43:00</t>
        </is>
      </c>
      <c r="F27" t="inlineStr">
        <is>
          <t>20:00:00</t>
        </is>
      </c>
      <c r="G27" t="n">
        <v>8.283333333333326</v>
      </c>
      <c r="H27" t="n">
        <v>0</v>
      </c>
      <c r="K27" t="n">
        <v>7.999999999999993</v>
      </c>
    </row>
    <row r="28">
      <c r="A28" t="inlineStr">
        <is>
          <t>2026-06-20</t>
        </is>
      </c>
      <c r="B28" t="inlineStr">
        <is>
          <t>Ling</t>
        </is>
      </c>
      <c r="C28" t="inlineStr">
        <is>
          <t>YL Citistore</t>
        </is>
      </c>
      <c r="D28" t="inlineStr">
        <is>
          <t>Ling</t>
        </is>
      </c>
      <c r="E28" t="inlineStr">
        <is>
          <t>11:43:00</t>
        </is>
      </c>
      <c r="F28" t="inlineStr">
        <is>
          <t>20:00:00</t>
        </is>
      </c>
      <c r="G28" t="n">
        <v>8.283333333333326</v>
      </c>
      <c r="H28" t="n">
        <v>0</v>
      </c>
      <c r="K28" t="n">
        <v>7.999999999999993</v>
      </c>
    </row>
    <row r="29">
      <c r="A29" t="inlineStr">
        <is>
          <t>2026-06-21</t>
        </is>
      </c>
      <c r="B29" t="inlineStr">
        <is>
          <t>Ling</t>
        </is>
      </c>
      <c r="C29" t="inlineStr">
        <is>
          <t>YL Citistore</t>
        </is>
      </c>
      <c r="D29" t="inlineStr">
        <is>
          <t>Ling</t>
        </is>
      </c>
      <c r="E29" t="inlineStr">
        <is>
          <t>11:43:00</t>
        </is>
      </c>
      <c r="F29" t="inlineStr">
        <is>
          <t>20:00:00</t>
        </is>
      </c>
      <c r="G29" t="n">
        <v>8.283333333333337</v>
      </c>
      <c r="H29" t="n">
        <v>0</v>
      </c>
      <c r="K29" t="n">
        <v>7.999999999999993</v>
      </c>
    </row>
    <row r="30">
      <c r="A30" t="inlineStr">
        <is>
          <t>2026-06-25</t>
        </is>
      </c>
      <c r="B30" t="inlineStr">
        <is>
          <t>Ling</t>
        </is>
      </c>
      <c r="C30" t="inlineStr">
        <is>
          <t>YL Citistore</t>
        </is>
      </c>
      <c r="D30" t="inlineStr">
        <is>
          <t>Ling</t>
        </is>
      </c>
      <c r="E30" t="inlineStr">
        <is>
          <t>11:45:00</t>
        </is>
      </c>
      <c r="F30" t="inlineStr">
        <is>
          <t>20:00:00</t>
        </is>
      </c>
      <c r="G30" t="n">
        <v>8.249999999999993</v>
      </c>
      <c r="H30" t="n">
        <v>0</v>
      </c>
      <c r="K30" t="n">
        <v>7.999999999999993</v>
      </c>
    </row>
    <row r="31">
      <c r="A31" t="inlineStr">
        <is>
          <t>2026-06-26</t>
        </is>
      </c>
      <c r="B31" t="inlineStr">
        <is>
          <t>Ling</t>
        </is>
      </c>
      <c r="C31" t="inlineStr">
        <is>
          <t>YL Citistore</t>
        </is>
      </c>
      <c r="D31" t="inlineStr">
        <is>
          <t>Ling</t>
        </is>
      </c>
      <c r="E31" t="inlineStr">
        <is>
          <t>11:50:00</t>
        </is>
      </c>
      <c r="F31" t="inlineStr">
        <is>
          <t>20:00:00</t>
        </is>
      </c>
      <c r="G31" t="n">
        <v>8.166666666666659</v>
      </c>
      <c r="H31" t="n">
        <v>0</v>
      </c>
      <c r="K31" t="n">
        <v>7.999999999999993</v>
      </c>
    </row>
    <row r="32">
      <c r="A32" t="inlineStr">
        <is>
          <t>2026-06-27</t>
        </is>
      </c>
      <c r="B32" t="inlineStr">
        <is>
          <t>Ling</t>
        </is>
      </c>
      <c r="C32" t="inlineStr">
        <is>
          <t>YL Citistore</t>
        </is>
      </c>
      <c r="D32" t="inlineStr">
        <is>
          <t>Ling</t>
        </is>
      </c>
      <c r="E32" t="inlineStr">
        <is>
          <t>11:41:00</t>
        </is>
      </c>
      <c r="F32" t="inlineStr">
        <is>
          <t>20:00:00</t>
        </is>
      </c>
      <c r="G32" t="n">
        <v>8.316666666666659</v>
      </c>
      <c r="H32" t="n">
        <v>0</v>
      </c>
      <c r="K32" t="n">
        <v>7.999999999999993</v>
      </c>
    </row>
    <row r="33">
      <c r="A33" t="inlineStr">
        <is>
          <t>2026-06-28</t>
        </is>
      </c>
      <c r="B33" t="inlineStr">
        <is>
          <t>Ling</t>
        </is>
      </c>
      <c r="C33" t="inlineStr">
        <is>
          <t>YL Citistore</t>
        </is>
      </c>
      <c r="D33" t="inlineStr">
        <is>
          <t>Ling</t>
        </is>
      </c>
      <c r="E33" t="inlineStr">
        <is>
          <t>11:44:00</t>
        </is>
      </c>
      <c r="F33" t="inlineStr">
        <is>
          <t>20:00:00</t>
        </is>
      </c>
      <c r="G33" t="n">
        <v>8.26666666666666</v>
      </c>
      <c r="H33" t="n">
        <v>0</v>
      </c>
      <c r="K33" t="n">
        <v>7.999999999999993</v>
      </c>
    </row>
    <row r="34">
      <c r="A34" t="inlineStr">
        <is>
          <t>2026-06-05</t>
        </is>
      </c>
      <c r="B34" t="inlineStr">
        <is>
          <t>Rebacca</t>
        </is>
      </c>
      <c r="C34" t="inlineStr">
        <is>
          <t>Tai Wan Fortress</t>
        </is>
      </c>
      <c r="D34" t="inlineStr">
        <is>
          <t>Rebacca</t>
        </is>
      </c>
      <c r="E34" t="inlineStr">
        <is>
          <t>12:00:00</t>
        </is>
      </c>
      <c r="F34" t="inlineStr">
        <is>
          <t>20:00:00</t>
        </is>
      </c>
      <c r="G34" t="n">
        <v>8</v>
      </c>
      <c r="H34" t="n">
        <v>0</v>
      </c>
      <c r="K34" t="n">
        <v>7.999999999999993</v>
      </c>
    </row>
    <row r="35">
      <c r="A35" t="inlineStr">
        <is>
          <t>2026-06-06</t>
        </is>
      </c>
      <c r="B35" t="inlineStr">
        <is>
          <t>Rebacca</t>
        </is>
      </c>
      <c r="C35" t="inlineStr">
        <is>
          <t>Tai Wan Fortress</t>
        </is>
      </c>
      <c r="D35" t="inlineStr">
        <is>
          <t>Rebacca</t>
        </is>
      </c>
      <c r="E35" t="inlineStr">
        <is>
          <t>12:00:00</t>
        </is>
      </c>
      <c r="F35" t="inlineStr">
        <is>
          <t>20:00:00</t>
        </is>
      </c>
      <c r="G35" t="n">
        <v>8</v>
      </c>
      <c r="H35" t="n">
        <v>0</v>
      </c>
      <c r="K35" t="n">
        <v>7.999999999999993</v>
      </c>
    </row>
    <row r="36">
      <c r="A36" t="inlineStr">
        <is>
          <t>2026-06-07</t>
        </is>
      </c>
      <c r="B36" t="inlineStr">
        <is>
          <t>Rebacca</t>
        </is>
      </c>
      <c r="C36" t="inlineStr">
        <is>
          <t>Tai Wan Fortress</t>
        </is>
      </c>
      <c r="D36" t="inlineStr">
        <is>
          <t>Rebacca</t>
        </is>
      </c>
      <c r="E36" t="inlineStr">
        <is>
          <t>12:00:00</t>
        </is>
      </c>
      <c r="F36" t="inlineStr">
        <is>
          <t>20:00:00</t>
        </is>
      </c>
      <c r="G36" t="n">
        <v>8</v>
      </c>
      <c r="H36" t="n">
        <v>0</v>
      </c>
      <c r="K36" t="n">
        <v>7.999999999999993</v>
      </c>
    </row>
    <row r="37">
      <c r="A37" t="inlineStr">
        <is>
          <t>2026-06-12</t>
        </is>
      </c>
      <c r="B37" t="inlineStr">
        <is>
          <t>Rebacca</t>
        </is>
      </c>
      <c r="C37" t="inlineStr">
        <is>
          <t>Tai Wan Fortress</t>
        </is>
      </c>
      <c r="D37" t="inlineStr">
        <is>
          <t>Rebacca</t>
        </is>
      </c>
      <c r="E37" t="inlineStr">
        <is>
          <t>12:00:00</t>
        </is>
      </c>
      <c r="F37" t="inlineStr">
        <is>
          <t>20:00:00</t>
        </is>
      </c>
      <c r="G37" t="n">
        <v>8</v>
      </c>
      <c r="H37" t="n">
        <v>0</v>
      </c>
      <c r="K37" t="n">
        <v>7.999999999999993</v>
      </c>
    </row>
    <row r="38">
      <c r="A38" t="inlineStr">
        <is>
          <t>2026-06-13</t>
        </is>
      </c>
      <c r="B38" t="inlineStr">
        <is>
          <t>Rebacca</t>
        </is>
      </c>
      <c r="C38" t="inlineStr">
        <is>
          <t>Tai Wan Fortress</t>
        </is>
      </c>
      <c r="D38" t="inlineStr">
        <is>
          <t>Rebacca</t>
        </is>
      </c>
      <c r="E38" t="inlineStr">
        <is>
          <t>12:00:00</t>
        </is>
      </c>
      <c r="F38" t="inlineStr">
        <is>
          <t>20:00:00</t>
        </is>
      </c>
      <c r="G38" t="n">
        <v>8</v>
      </c>
      <c r="H38" t="n">
        <v>0</v>
      </c>
      <c r="K38" t="n">
        <v>7.999999999999993</v>
      </c>
    </row>
    <row r="39">
      <c r="A39" t="inlineStr">
        <is>
          <t>2026-06-14</t>
        </is>
      </c>
      <c r="B39" t="inlineStr">
        <is>
          <t>Rebacca</t>
        </is>
      </c>
      <c r="C39" t="inlineStr">
        <is>
          <t>Tai Wan Fortress</t>
        </is>
      </c>
      <c r="D39" t="inlineStr">
        <is>
          <t>Rebacca</t>
        </is>
      </c>
      <c r="E39" t="inlineStr">
        <is>
          <t>12:00:00</t>
        </is>
      </c>
      <c r="F39" t="inlineStr">
        <is>
          <t>20:00:00</t>
        </is>
      </c>
      <c r="G39" t="n">
        <v>8</v>
      </c>
      <c r="H39" t="n">
        <v>0</v>
      </c>
      <c r="K39" t="n">
        <v>7.999999999999993</v>
      </c>
    </row>
    <row r="40">
      <c r="A40" t="inlineStr">
        <is>
          <t>2026-06-19</t>
        </is>
      </c>
      <c r="B40" t="inlineStr">
        <is>
          <t>Rebacca</t>
        </is>
      </c>
      <c r="C40" t="inlineStr">
        <is>
          <t>Tai Wan Fortress</t>
        </is>
      </c>
      <c r="D40" t="inlineStr">
        <is>
          <t>Rebacca</t>
        </is>
      </c>
      <c r="E40" t="inlineStr">
        <is>
          <t>12:00:00</t>
        </is>
      </c>
      <c r="F40" t="inlineStr">
        <is>
          <t>20:00:00</t>
        </is>
      </c>
      <c r="G40" t="n">
        <v>8</v>
      </c>
      <c r="H40" t="n">
        <v>0</v>
      </c>
      <c r="K40" t="n">
        <v>7.999999999999993</v>
      </c>
    </row>
    <row r="41">
      <c r="A41" t="inlineStr">
        <is>
          <t>2026-06-20</t>
        </is>
      </c>
      <c r="B41" t="inlineStr">
        <is>
          <t>Rebacca</t>
        </is>
      </c>
      <c r="C41" t="inlineStr">
        <is>
          <t>Tai Wan Fortress</t>
        </is>
      </c>
      <c r="D41" t="inlineStr">
        <is>
          <t>Rebacca</t>
        </is>
      </c>
      <c r="E41" t="inlineStr">
        <is>
          <t>12:00:00</t>
        </is>
      </c>
      <c r="F41" t="inlineStr">
        <is>
          <t>20:00:00</t>
        </is>
      </c>
      <c r="G41" t="n">
        <v>8</v>
      </c>
      <c r="H41" t="n">
        <v>0</v>
      </c>
      <c r="K41" t="n">
        <v>7.999999999999993</v>
      </c>
    </row>
    <row r="42">
      <c r="A42" t="inlineStr">
        <is>
          <t>2026-06-21</t>
        </is>
      </c>
      <c r="B42" t="inlineStr">
        <is>
          <t>Rebacca</t>
        </is>
      </c>
      <c r="C42" t="inlineStr">
        <is>
          <t>Tai Wan Fortress</t>
        </is>
      </c>
      <c r="D42" t="inlineStr">
        <is>
          <t>Rebacca</t>
        </is>
      </c>
      <c r="E42" t="inlineStr">
        <is>
          <t>12:00:00</t>
        </is>
      </c>
      <c r="F42" t="inlineStr">
        <is>
          <t>20:00:00</t>
        </is>
      </c>
      <c r="G42" t="n">
        <v>7.999999999999993</v>
      </c>
      <c r="H42" t="n">
        <v>0</v>
      </c>
      <c r="K42" t="n">
        <v>7.999999999999993</v>
      </c>
    </row>
    <row r="43">
      <c r="A43" t="inlineStr">
        <is>
          <t>2026-06-26</t>
        </is>
      </c>
      <c r="B43" t="inlineStr">
        <is>
          <t>Rebacca</t>
        </is>
      </c>
      <c r="C43" t="inlineStr">
        <is>
          <t>Tai Wan Fortress</t>
        </is>
      </c>
      <c r="D43" t="inlineStr">
        <is>
          <t>Rebacca</t>
        </is>
      </c>
      <c r="E43" t="inlineStr">
        <is>
          <t>12:00:00</t>
        </is>
      </c>
      <c r="F43" t="inlineStr">
        <is>
          <t>20:00:00</t>
        </is>
      </c>
      <c r="G43" t="n">
        <v>7.999999999999993</v>
      </c>
      <c r="H43" t="n">
        <v>0</v>
      </c>
      <c r="K43" t="n">
        <v>7.999999999999993</v>
      </c>
    </row>
    <row r="44">
      <c r="A44" t="inlineStr">
        <is>
          <t>2026-06-27</t>
        </is>
      </c>
      <c r="B44" t="inlineStr">
        <is>
          <t>Rebacca</t>
        </is>
      </c>
      <c r="C44" t="inlineStr">
        <is>
          <t>Tai Wan Fortress</t>
        </is>
      </c>
      <c r="D44" t="inlineStr">
        <is>
          <t>Rebacca</t>
        </is>
      </c>
      <c r="E44" t="inlineStr">
        <is>
          <t>12:00:00</t>
        </is>
      </c>
      <c r="F44" t="inlineStr">
        <is>
          <t>20:00:00</t>
        </is>
      </c>
      <c r="G44" t="n">
        <v>7.999999999999993</v>
      </c>
      <c r="H44" t="n">
        <v>0</v>
      </c>
      <c r="K44" t="n">
        <v>7.999999999999993</v>
      </c>
    </row>
    <row r="45">
      <c r="A45" t="inlineStr">
        <is>
          <t>2026-06-28</t>
        </is>
      </c>
      <c r="B45" t="inlineStr">
        <is>
          <t>Rebacca</t>
        </is>
      </c>
      <c r="C45" t="inlineStr">
        <is>
          <t>Tai Wan Fortress</t>
        </is>
      </c>
      <c r="D45" t="inlineStr">
        <is>
          <t>Rebacca</t>
        </is>
      </c>
      <c r="E45" t="inlineStr">
        <is>
          <t>12:00:00</t>
        </is>
      </c>
      <c r="F45" t="inlineStr">
        <is>
          <t>20:00:00</t>
        </is>
      </c>
      <c r="G45" t="n">
        <v>7.999999999999993</v>
      </c>
      <c r="H45" t="n">
        <v>0</v>
      </c>
      <c r="K45" t="n">
        <v>7.999999999999993</v>
      </c>
    </row>
    <row r="46">
      <c r="A46" t="inlineStr">
        <is>
          <t>2026-06-06</t>
        </is>
      </c>
      <c r="B46" t="inlineStr">
        <is>
          <t>Mei Kiu</t>
        </is>
      </c>
      <c r="C46" t="inlineStr">
        <is>
          <t>TW YATA</t>
        </is>
      </c>
      <c r="D46" t="inlineStr">
        <is>
          <t>Mei Kiu</t>
        </is>
      </c>
      <c r="E46" t="inlineStr">
        <is>
          <t>12:00:00</t>
        </is>
      </c>
      <c r="F46" t="inlineStr">
        <is>
          <t>20:00:00</t>
        </is>
      </c>
      <c r="G46" t="n">
        <v>8</v>
      </c>
      <c r="H46" t="n">
        <v>0</v>
      </c>
      <c r="K46" t="n">
        <v>8</v>
      </c>
    </row>
    <row r="47">
      <c r="A47" t="inlineStr">
        <is>
          <t>2026-06-07</t>
        </is>
      </c>
      <c r="B47" t="inlineStr">
        <is>
          <t>Mei Kiu</t>
        </is>
      </c>
      <c r="C47" t="inlineStr">
        <is>
          <t>TW YATA</t>
        </is>
      </c>
      <c r="D47" t="inlineStr">
        <is>
          <t>Mei Kiu</t>
        </is>
      </c>
      <c r="E47" t="inlineStr">
        <is>
          <t>12:00:00</t>
        </is>
      </c>
      <c r="F47" t="inlineStr">
        <is>
          <t>20:00:00</t>
        </is>
      </c>
      <c r="G47" t="n">
        <v>8</v>
      </c>
      <c r="H47" t="n">
        <v>0</v>
      </c>
      <c r="K47" t="n">
        <v>8</v>
      </c>
    </row>
    <row r="48">
      <c r="A48" t="inlineStr">
        <is>
          <t>2026-06-13</t>
        </is>
      </c>
      <c r="B48" t="inlineStr">
        <is>
          <t>Mei Kiu</t>
        </is>
      </c>
      <c r="C48" t="inlineStr">
        <is>
          <t>TW YATA</t>
        </is>
      </c>
      <c r="D48" t="inlineStr">
        <is>
          <t>Mei Kiu</t>
        </is>
      </c>
      <c r="E48" t="inlineStr">
        <is>
          <t>12:00:00</t>
        </is>
      </c>
      <c r="F48" t="inlineStr">
        <is>
          <t>20:00:00</t>
        </is>
      </c>
      <c r="G48" t="n">
        <v>8</v>
      </c>
      <c r="H48" t="n">
        <v>0</v>
      </c>
      <c r="K48" t="n">
        <v>8</v>
      </c>
    </row>
    <row r="49">
      <c r="A49" t="inlineStr">
        <is>
          <t>2026-06-14</t>
        </is>
      </c>
      <c r="B49" t="inlineStr">
        <is>
          <t>Mei Kiu</t>
        </is>
      </c>
      <c r="C49" t="inlineStr">
        <is>
          <t>TW YATA</t>
        </is>
      </c>
      <c r="D49" t="inlineStr">
        <is>
          <t>Mei Kiu</t>
        </is>
      </c>
      <c r="E49" t="inlineStr">
        <is>
          <t>12:00:00</t>
        </is>
      </c>
      <c r="F49" t="inlineStr">
        <is>
          <t>20:00:00</t>
        </is>
      </c>
      <c r="G49" t="n">
        <v>8</v>
      </c>
      <c r="H49" t="n">
        <v>0</v>
      </c>
      <c r="K49" t="n">
        <v>8</v>
      </c>
    </row>
    <row r="50">
      <c r="A50" t="inlineStr">
        <is>
          <t>2026-06-20</t>
        </is>
      </c>
      <c r="B50" t="inlineStr">
        <is>
          <t>Mei Kiu</t>
        </is>
      </c>
      <c r="C50" t="inlineStr">
        <is>
          <t>TW YATA</t>
        </is>
      </c>
      <c r="D50" t="inlineStr">
        <is>
          <t>Mei Kiu</t>
        </is>
      </c>
      <c r="E50" t="inlineStr">
        <is>
          <t>12:00:00</t>
        </is>
      </c>
      <c r="F50" t="inlineStr">
        <is>
          <t>20:00:00</t>
        </is>
      </c>
      <c r="G50" t="n">
        <v>8</v>
      </c>
      <c r="H50" t="n">
        <v>0</v>
      </c>
      <c r="K50" t="n">
        <v>8</v>
      </c>
    </row>
    <row r="51">
      <c r="A51" t="inlineStr">
        <is>
          <t>2026-06-21</t>
        </is>
      </c>
      <c r="B51" t="inlineStr">
        <is>
          <t>Mei Kiu</t>
        </is>
      </c>
      <c r="C51" t="inlineStr">
        <is>
          <t>TW YATA</t>
        </is>
      </c>
      <c r="D51" t="inlineStr">
        <is>
          <t>Mei Kiu</t>
        </is>
      </c>
      <c r="E51" t="inlineStr">
        <is>
          <t>12:00:00</t>
        </is>
      </c>
      <c r="F51" t="inlineStr">
        <is>
          <t>20:00:00</t>
        </is>
      </c>
      <c r="G51" t="n">
        <v>8</v>
      </c>
      <c r="H51" t="n">
        <v>0</v>
      </c>
      <c r="K51" t="n">
        <v>8</v>
      </c>
    </row>
    <row r="52">
      <c r="A52" t="inlineStr">
        <is>
          <t>2026-06-27</t>
        </is>
      </c>
      <c r="B52" t="inlineStr">
        <is>
          <t>Mei Kiu</t>
        </is>
      </c>
      <c r="C52" t="inlineStr">
        <is>
          <t>TW YATA</t>
        </is>
      </c>
      <c r="D52" t="inlineStr">
        <is>
          <t>Mei Kiu</t>
        </is>
      </c>
      <c r="E52" t="inlineStr">
        <is>
          <t>12:00:00</t>
        </is>
      </c>
      <c r="F52" t="inlineStr">
        <is>
          <t>20:00:00</t>
        </is>
      </c>
      <c r="G52" t="n">
        <v>8</v>
      </c>
      <c r="H52" t="n">
        <v>0</v>
      </c>
      <c r="K52" t="n">
        <v>8</v>
      </c>
    </row>
    <row r="53">
      <c r="A53" t="inlineStr">
        <is>
          <t>2026-06-28</t>
        </is>
      </c>
      <c r="B53" t="inlineStr">
        <is>
          <t>Mei Kiu</t>
        </is>
      </c>
      <c r="C53" t="inlineStr">
        <is>
          <t>TW YATA</t>
        </is>
      </c>
      <c r="D53" t="inlineStr">
        <is>
          <t>Mei Kiu</t>
        </is>
      </c>
      <c r="E53" t="inlineStr">
        <is>
          <t>12:00:00</t>
        </is>
      </c>
      <c r="F53" t="inlineStr">
        <is>
          <t>20:00:00</t>
        </is>
      </c>
      <c r="G53" t="n">
        <v>8</v>
      </c>
      <c r="H53" t="n">
        <v>0</v>
      </c>
      <c r="K53" t="n">
        <v>8</v>
      </c>
    </row>
    <row r="54">
      <c r="A54" t="inlineStr">
        <is>
          <t>2026-06-05</t>
        </is>
      </c>
      <c r="B54" t="inlineStr">
        <is>
          <t>Joe</t>
        </is>
      </c>
      <c r="C54" t="inlineStr">
        <is>
          <t>Tai Po Yata</t>
        </is>
      </c>
      <c r="D54" t="inlineStr">
        <is>
          <t>Joe</t>
        </is>
      </c>
      <c r="E54" t="inlineStr">
        <is>
          <t>12:00:00</t>
        </is>
      </c>
      <c r="F54" t="inlineStr">
        <is>
          <t>20:00:00</t>
        </is>
      </c>
      <c r="G54" t="n">
        <v>7.999999999999993</v>
      </c>
      <c r="H54" t="n">
        <v>0</v>
      </c>
      <c r="K54" t="n">
        <v>7.999999999999993</v>
      </c>
    </row>
    <row r="55">
      <c r="A55" t="inlineStr">
        <is>
          <t>2026-06-06</t>
        </is>
      </c>
      <c r="B55" t="inlineStr">
        <is>
          <t>Joe</t>
        </is>
      </c>
      <c r="C55" t="inlineStr">
        <is>
          <t>Tai Po Yata</t>
        </is>
      </c>
      <c r="D55" t="inlineStr">
        <is>
          <t>Joe</t>
        </is>
      </c>
      <c r="E55" t="inlineStr">
        <is>
          <t>12:00:00</t>
        </is>
      </c>
      <c r="F55" t="inlineStr">
        <is>
          <t>20:00:00</t>
        </is>
      </c>
      <c r="G55" t="n">
        <v>7.999999999999993</v>
      </c>
      <c r="H55" t="n">
        <v>0</v>
      </c>
      <c r="K55" t="n">
        <v>7.999999999999993</v>
      </c>
    </row>
    <row r="56">
      <c r="A56" t="inlineStr">
        <is>
          <t>2026-06-07</t>
        </is>
      </c>
      <c r="B56" t="inlineStr">
        <is>
          <t>Joe</t>
        </is>
      </c>
      <c r="C56" t="inlineStr">
        <is>
          <t>Tai Po Yata</t>
        </is>
      </c>
      <c r="D56" t="inlineStr">
        <is>
          <t>Joe</t>
        </is>
      </c>
      <c r="E56" t="inlineStr">
        <is>
          <t>12:00:00</t>
        </is>
      </c>
      <c r="F56" t="inlineStr">
        <is>
          <t>20:00:00</t>
        </is>
      </c>
      <c r="G56" t="n">
        <v>7.999999999999993</v>
      </c>
      <c r="H56" t="n">
        <v>0</v>
      </c>
      <c r="K56" t="n">
        <v>7.999999999999993</v>
      </c>
    </row>
    <row r="57">
      <c r="A57" t="inlineStr">
        <is>
          <t>2026-06-12</t>
        </is>
      </c>
      <c r="B57" t="inlineStr">
        <is>
          <t>Joe</t>
        </is>
      </c>
      <c r="C57" t="inlineStr">
        <is>
          <t>Tai Po Yata</t>
        </is>
      </c>
      <c r="D57" t="inlineStr">
        <is>
          <t>Joe</t>
        </is>
      </c>
      <c r="E57" t="inlineStr">
        <is>
          <t>12:00:00</t>
        </is>
      </c>
      <c r="F57" t="inlineStr">
        <is>
          <t>21:00:00</t>
        </is>
      </c>
      <c r="G57" t="n">
        <v>9</v>
      </c>
      <c r="H57" t="n">
        <v>0</v>
      </c>
      <c r="K57" t="n">
        <v>9</v>
      </c>
    </row>
    <row r="58">
      <c r="A58" t="inlineStr">
        <is>
          <t>2026-06-13</t>
        </is>
      </c>
      <c r="B58" t="inlineStr">
        <is>
          <t>Joe</t>
        </is>
      </c>
      <c r="C58" t="inlineStr">
        <is>
          <t>Tai Po Yata</t>
        </is>
      </c>
      <c r="D58" t="inlineStr">
        <is>
          <t>Joe</t>
        </is>
      </c>
      <c r="E58" t="inlineStr">
        <is>
          <t>12:00:00</t>
        </is>
      </c>
      <c r="F58" t="inlineStr">
        <is>
          <t>20:00:00</t>
        </is>
      </c>
      <c r="G58" t="n">
        <v>7.999999999999993</v>
      </c>
      <c r="H58" t="n">
        <v>0</v>
      </c>
      <c r="K58" t="n">
        <v>7.999999999999993</v>
      </c>
    </row>
    <row r="59">
      <c r="A59" t="inlineStr">
        <is>
          <t>2026-06-14</t>
        </is>
      </c>
      <c r="B59" t="inlineStr">
        <is>
          <t>Joe</t>
        </is>
      </c>
      <c r="C59" t="inlineStr">
        <is>
          <t>Tai Po Yata</t>
        </is>
      </c>
      <c r="D59" t="inlineStr">
        <is>
          <t>Joe</t>
        </is>
      </c>
      <c r="E59" t="inlineStr">
        <is>
          <t>12:00:00</t>
        </is>
      </c>
      <c r="F59" t="inlineStr">
        <is>
          <t>20:00:00</t>
        </is>
      </c>
      <c r="G59" t="n">
        <v>7.999999999999993</v>
      </c>
      <c r="H59" t="n">
        <v>0</v>
      </c>
      <c r="K59" t="n">
        <v>7.999999999999993</v>
      </c>
    </row>
    <row r="60">
      <c r="A60" t="inlineStr">
        <is>
          <t>2026-06-19</t>
        </is>
      </c>
      <c r="B60" t="inlineStr">
        <is>
          <t>Joe</t>
        </is>
      </c>
      <c r="C60" t="inlineStr">
        <is>
          <t>Tai Po Yata</t>
        </is>
      </c>
      <c r="D60" t="inlineStr">
        <is>
          <t>Joe</t>
        </is>
      </c>
      <c r="E60" t="inlineStr">
        <is>
          <t>12:00:00</t>
        </is>
      </c>
      <c r="F60" t="inlineStr">
        <is>
          <t>20:00:00</t>
        </is>
      </c>
      <c r="G60" t="n">
        <v>7.999999999999993</v>
      </c>
      <c r="H60" t="n">
        <v>0</v>
      </c>
      <c r="K60" t="n">
        <v>7.999999999999993</v>
      </c>
    </row>
    <row r="61">
      <c r="A61" t="inlineStr">
        <is>
          <t>2026-06-20</t>
        </is>
      </c>
      <c r="B61" t="inlineStr">
        <is>
          <t>Joe</t>
        </is>
      </c>
      <c r="C61" t="inlineStr">
        <is>
          <t>Tai Po Yata</t>
        </is>
      </c>
      <c r="D61" t="inlineStr">
        <is>
          <t>Joe</t>
        </is>
      </c>
      <c r="E61" t="inlineStr">
        <is>
          <t>12:00:00</t>
        </is>
      </c>
      <c r="F61" t="inlineStr">
        <is>
          <t>20:00:00</t>
        </is>
      </c>
      <c r="G61" t="n">
        <v>7.999999999999993</v>
      </c>
      <c r="H61" t="n">
        <v>0</v>
      </c>
      <c r="K61" t="n">
        <v>7.999999999999993</v>
      </c>
    </row>
    <row r="62">
      <c r="A62" t="inlineStr">
        <is>
          <t>2026-06-21</t>
        </is>
      </c>
      <c r="B62" t="inlineStr">
        <is>
          <t>Joe</t>
        </is>
      </c>
      <c r="C62" t="inlineStr">
        <is>
          <t>Tai Po Yata</t>
        </is>
      </c>
      <c r="D62" t="inlineStr">
        <is>
          <t>Joe</t>
        </is>
      </c>
      <c r="E62" t="inlineStr">
        <is>
          <t>12:00:00</t>
        </is>
      </c>
      <c r="F62" t="inlineStr">
        <is>
          <t>20:00:00</t>
        </is>
      </c>
      <c r="G62" t="n">
        <v>7.999999999999993</v>
      </c>
      <c r="H62" t="n">
        <v>0</v>
      </c>
      <c r="K62" t="n">
        <v>7.999999999999993</v>
      </c>
    </row>
    <row r="63">
      <c r="A63" t="inlineStr">
        <is>
          <t>2026-06-26</t>
        </is>
      </c>
      <c r="B63" t="inlineStr">
        <is>
          <t>Joe</t>
        </is>
      </c>
      <c r="C63" t="inlineStr">
        <is>
          <t>Tai Po Yata</t>
        </is>
      </c>
      <c r="D63" t="inlineStr">
        <is>
          <t>Joe</t>
        </is>
      </c>
      <c r="E63" t="inlineStr">
        <is>
          <t>12:00:00</t>
        </is>
      </c>
      <c r="F63" t="inlineStr">
        <is>
          <t>20:00:00</t>
        </is>
      </c>
      <c r="G63" t="n">
        <v>7.999999999999993</v>
      </c>
      <c r="H63" t="n">
        <v>0</v>
      </c>
      <c r="K63" t="n">
        <v>7.999999999999993</v>
      </c>
    </row>
    <row r="64">
      <c r="A64" t="inlineStr">
        <is>
          <t>2026-06-27</t>
        </is>
      </c>
      <c r="B64" t="inlineStr">
        <is>
          <t>Joe</t>
        </is>
      </c>
      <c r="C64" t="inlineStr">
        <is>
          <t>Tai Po Yata</t>
        </is>
      </c>
      <c r="D64" t="inlineStr">
        <is>
          <t>Joe</t>
        </is>
      </c>
      <c r="E64" t="inlineStr">
        <is>
          <t>12:00:00</t>
        </is>
      </c>
      <c r="F64" t="inlineStr">
        <is>
          <t>20:00:00</t>
        </is>
      </c>
      <c r="G64" t="n">
        <v>7.999999999999993</v>
      </c>
      <c r="H64" t="n">
        <v>0</v>
      </c>
      <c r="K64" t="n">
        <v>7.999999999999993</v>
      </c>
    </row>
    <row r="65">
      <c r="A65" t="inlineStr">
        <is>
          <t>2026-06-28</t>
        </is>
      </c>
      <c r="B65" t="inlineStr">
        <is>
          <t>Joe</t>
        </is>
      </c>
      <c r="C65" t="inlineStr">
        <is>
          <t>Tai Po Yata</t>
        </is>
      </c>
      <c r="D65" t="inlineStr">
        <is>
          <t>Joe</t>
        </is>
      </c>
      <c r="E65" t="inlineStr">
        <is>
          <t>12:00:00</t>
        </is>
      </c>
      <c r="F65" t="inlineStr">
        <is>
          <t>20:00:00</t>
        </is>
      </c>
      <c r="G65" t="n">
        <v>7.999999999999993</v>
      </c>
      <c r="H65" t="n">
        <v>0</v>
      </c>
      <c r="K65" t="n">
        <v>7.999999999999993</v>
      </c>
    </row>
    <row r="66">
      <c r="A66" t="inlineStr">
        <is>
          <t>2026-06-25</t>
        </is>
      </c>
      <c r="B66" t="inlineStr">
        <is>
          <t>Jenny P</t>
        </is>
      </c>
      <c r="C66" t="inlineStr">
        <is>
          <t>In - Home Expo</t>
        </is>
      </c>
      <c r="D66" t="inlineStr">
        <is>
          <t>Jenny P</t>
        </is>
      </c>
      <c r="E66" t="inlineStr">
        <is>
          <t>11:30:00</t>
        </is>
      </c>
      <c r="F66" t="inlineStr">
        <is>
          <t>21:00:00</t>
        </is>
      </c>
      <c r="G66" t="n">
        <v>9.5</v>
      </c>
      <c r="H66" t="n">
        <v>0</v>
      </c>
      <c r="K66" t="n">
        <v>9.5</v>
      </c>
    </row>
    <row r="67">
      <c r="A67" t="inlineStr">
        <is>
          <t>2026-06-26</t>
        </is>
      </c>
      <c r="B67" t="inlineStr">
        <is>
          <t>Jenny P</t>
        </is>
      </c>
      <c r="C67" t="inlineStr">
        <is>
          <t>In - Home Expo</t>
        </is>
      </c>
      <c r="D67" t="inlineStr">
        <is>
          <t>Jenny P</t>
        </is>
      </c>
      <c r="E67" t="inlineStr">
        <is>
          <t>12:00:00</t>
        </is>
      </c>
      <c r="F67" t="inlineStr">
        <is>
          <t>21:00:00</t>
        </is>
      </c>
      <c r="G67" t="n">
        <v>9</v>
      </c>
      <c r="H67" t="n">
        <v>0</v>
      </c>
      <c r="K67" t="n">
        <v>9</v>
      </c>
    </row>
    <row r="68">
      <c r="A68" t="inlineStr">
        <is>
          <t>2026-06-27</t>
        </is>
      </c>
      <c r="B68" t="inlineStr">
        <is>
          <t>Jenny P</t>
        </is>
      </c>
      <c r="C68" t="inlineStr">
        <is>
          <t>In - Home Expo</t>
        </is>
      </c>
      <c r="D68" t="inlineStr">
        <is>
          <t>Jenny P</t>
        </is>
      </c>
      <c r="E68" t="inlineStr">
        <is>
          <t>12:00:00</t>
        </is>
      </c>
      <c r="F68" t="inlineStr">
        <is>
          <t>21:00:00</t>
        </is>
      </c>
      <c r="G68" t="n">
        <v>9</v>
      </c>
      <c r="H68" t="n">
        <v>0</v>
      </c>
      <c r="K68" t="n">
        <v>9</v>
      </c>
    </row>
    <row r="69">
      <c r="A69" t="inlineStr">
        <is>
          <t>2026-06-28</t>
        </is>
      </c>
      <c r="B69" t="inlineStr">
        <is>
          <t>Jenny P</t>
        </is>
      </c>
      <c r="C69" t="inlineStr">
        <is>
          <t>In - Home Expo</t>
        </is>
      </c>
      <c r="D69" t="inlineStr">
        <is>
          <t>Jenny P</t>
        </is>
      </c>
      <c r="E69" t="inlineStr">
        <is>
          <t>12:00:00</t>
        </is>
      </c>
      <c r="F69" t="inlineStr">
        <is>
          <t>19:00:00</t>
        </is>
      </c>
      <c r="G69" t="n">
        <v>6.999999999999999</v>
      </c>
      <c r="H69" t="n">
        <v>0</v>
      </c>
      <c r="K69" t="n">
        <v>6.999999999999999</v>
      </c>
    </row>
    <row r="70">
      <c r="A70" t="inlineStr">
        <is>
          <t>2026-06-20</t>
        </is>
      </c>
      <c r="B70" t="inlineStr">
        <is>
          <t>Apple</t>
        </is>
      </c>
      <c r="C70" t="inlineStr">
        <is>
          <t>TW Aeon</t>
        </is>
      </c>
      <c r="D70" t="inlineStr">
        <is>
          <t>Apple</t>
        </is>
      </c>
      <c r="E70" t="inlineStr">
        <is>
          <t>12:00:00</t>
        </is>
      </c>
      <c r="F70" t="inlineStr">
        <is>
          <t>20:00:00</t>
        </is>
      </c>
      <c r="G70" t="n">
        <v>7.999999999999993</v>
      </c>
      <c r="H70" t="n">
        <v>0</v>
      </c>
      <c r="K70" t="n">
        <v>7.999999999999993</v>
      </c>
    </row>
    <row r="71">
      <c r="A71" t="inlineStr">
        <is>
          <t>2026-06-21</t>
        </is>
      </c>
      <c r="B71" t="inlineStr">
        <is>
          <t>Apple</t>
        </is>
      </c>
      <c r="C71" t="inlineStr">
        <is>
          <t>TW Aeon</t>
        </is>
      </c>
      <c r="D71" t="inlineStr">
        <is>
          <t>Apple</t>
        </is>
      </c>
      <c r="E71" t="inlineStr">
        <is>
          <t>12:00:00</t>
        </is>
      </c>
      <c r="F71" t="inlineStr">
        <is>
          <t>20:00:00</t>
        </is>
      </c>
      <c r="G71" t="n">
        <v>7.999999999999993</v>
      </c>
      <c r="H71" t="n">
        <v>0</v>
      </c>
      <c r="K71" t="n">
        <v>7.999999999999993</v>
      </c>
    </row>
    <row r="72">
      <c r="A72" t="inlineStr">
        <is>
          <t>2026-06-05</t>
        </is>
      </c>
      <c r="B72" t="inlineStr">
        <is>
          <t>Shirley</t>
        </is>
      </c>
      <c r="C72" t="inlineStr">
        <is>
          <t>Festival Walk Fortress</t>
        </is>
      </c>
      <c r="D72" t="inlineStr">
        <is>
          <t>Shirley</t>
        </is>
      </c>
      <c r="E72" t="inlineStr">
        <is>
          <t>12:00:00</t>
        </is>
      </c>
      <c r="F72" t="inlineStr">
        <is>
          <t>20:00:00</t>
        </is>
      </c>
      <c r="G72" t="n">
        <v>7.999999999999993</v>
      </c>
      <c r="H72" t="n">
        <v>0</v>
      </c>
      <c r="K72" t="n">
        <v>7.999999999999993</v>
      </c>
    </row>
    <row r="73">
      <c r="A73" t="inlineStr">
        <is>
          <t>2026-06-06</t>
        </is>
      </c>
      <c r="B73" t="inlineStr">
        <is>
          <t>Shirley</t>
        </is>
      </c>
      <c r="C73" t="inlineStr">
        <is>
          <t>Festival Walk Fortress</t>
        </is>
      </c>
      <c r="D73" t="inlineStr">
        <is>
          <t>Shirley</t>
        </is>
      </c>
      <c r="E73" t="inlineStr">
        <is>
          <t>12:00:00</t>
        </is>
      </c>
      <c r="F73" t="inlineStr">
        <is>
          <t>20:00:00</t>
        </is>
      </c>
      <c r="G73" t="n">
        <v>7.999999999999993</v>
      </c>
      <c r="H73" t="n">
        <v>0</v>
      </c>
      <c r="K73" t="n">
        <v>7.999999999999993</v>
      </c>
    </row>
    <row r="74">
      <c r="A74" t="inlineStr">
        <is>
          <t>2026-06-07</t>
        </is>
      </c>
      <c r="B74" t="inlineStr">
        <is>
          <t>Shirley</t>
        </is>
      </c>
      <c r="C74" t="inlineStr">
        <is>
          <t>Festival Walk Fortress</t>
        </is>
      </c>
      <c r="D74" t="inlineStr">
        <is>
          <t>Shirley</t>
        </is>
      </c>
      <c r="E74" t="inlineStr">
        <is>
          <t>12:00:00</t>
        </is>
      </c>
      <c r="F74" t="inlineStr">
        <is>
          <t>20:00:00</t>
        </is>
      </c>
      <c r="G74" t="n">
        <v>7.999999999999993</v>
      </c>
      <c r="H74" t="n">
        <v>0</v>
      </c>
      <c r="K74" t="n">
        <v>7.999999999999993</v>
      </c>
    </row>
    <row r="75">
      <c r="A75" t="inlineStr">
        <is>
          <t>2026-06-05</t>
        </is>
      </c>
      <c r="B75" t="inlineStr">
        <is>
          <t>Margaret</t>
        </is>
      </c>
      <c r="C75" t="inlineStr">
        <is>
          <t>Shatin Fortress</t>
        </is>
      </c>
      <c r="D75" t="inlineStr">
        <is>
          <t>Margaret</t>
        </is>
      </c>
      <c r="E75" t="inlineStr">
        <is>
          <t>12:00:00</t>
        </is>
      </c>
      <c r="F75" t="inlineStr">
        <is>
          <t>20:00:00</t>
        </is>
      </c>
      <c r="G75" t="n">
        <v>7.999999999999993</v>
      </c>
      <c r="H75" t="n">
        <v>0</v>
      </c>
      <c r="K75" t="n">
        <v>7.999999999999993</v>
      </c>
    </row>
    <row r="76">
      <c r="A76" t="inlineStr">
        <is>
          <t>2026-06-06</t>
        </is>
      </c>
      <c r="B76" t="inlineStr">
        <is>
          <t>Margaret</t>
        </is>
      </c>
      <c r="C76" t="inlineStr">
        <is>
          <t>Shatin Fortress</t>
        </is>
      </c>
      <c r="D76" t="inlineStr">
        <is>
          <t>Margaret</t>
        </is>
      </c>
      <c r="E76" t="inlineStr">
        <is>
          <t>12:00:00</t>
        </is>
      </c>
      <c r="F76" t="inlineStr">
        <is>
          <t>20:00:00</t>
        </is>
      </c>
      <c r="G76" t="n">
        <v>7.999999999999993</v>
      </c>
      <c r="H76" t="n">
        <v>0</v>
      </c>
      <c r="K76" t="n">
        <v>7.999999999999993</v>
      </c>
    </row>
    <row r="77">
      <c r="A77" t="inlineStr">
        <is>
          <t>2026-06-07</t>
        </is>
      </c>
      <c r="B77" t="inlineStr">
        <is>
          <t>Margaret</t>
        </is>
      </c>
      <c r="C77" t="inlineStr">
        <is>
          <t>Shatin Fortress</t>
        </is>
      </c>
      <c r="D77" t="inlineStr">
        <is>
          <t>Margaret</t>
        </is>
      </c>
      <c r="E77" t="inlineStr">
        <is>
          <t>12:00:00</t>
        </is>
      </c>
      <c r="F77" t="inlineStr">
        <is>
          <t>20:00:00</t>
        </is>
      </c>
      <c r="G77" t="n">
        <v>7.999999999999993</v>
      </c>
      <c r="H77" t="n">
        <v>0</v>
      </c>
      <c r="K77" t="n">
        <v>7.999999999999993</v>
      </c>
    </row>
    <row r="78">
      <c r="A78" t="inlineStr">
        <is>
          <t>2026-06-12</t>
        </is>
      </c>
      <c r="B78" t="inlineStr">
        <is>
          <t>Margaret</t>
        </is>
      </c>
      <c r="C78" t="inlineStr">
        <is>
          <t>Shatin Fortress</t>
        </is>
      </c>
      <c r="D78" t="inlineStr">
        <is>
          <t>Margaret</t>
        </is>
      </c>
      <c r="E78" t="inlineStr">
        <is>
          <t>12:00:00</t>
        </is>
      </c>
      <c r="F78" t="inlineStr">
        <is>
          <t>20:00:00</t>
        </is>
      </c>
      <c r="G78" t="n">
        <v>7.999999999999993</v>
      </c>
      <c r="H78" t="n">
        <v>0</v>
      </c>
      <c r="K78" t="n">
        <v>7.999999999999993</v>
      </c>
    </row>
    <row r="79">
      <c r="A79" t="inlineStr">
        <is>
          <t>2026-06-13</t>
        </is>
      </c>
      <c r="B79" t="inlineStr">
        <is>
          <t>Margaret</t>
        </is>
      </c>
      <c r="C79" t="inlineStr">
        <is>
          <t>Shatin Fortress</t>
        </is>
      </c>
      <c r="D79" t="inlineStr">
        <is>
          <t>Margaret</t>
        </is>
      </c>
      <c r="E79" t="inlineStr">
        <is>
          <t>12:00:00</t>
        </is>
      </c>
      <c r="F79" t="inlineStr">
        <is>
          <t>20:00:00</t>
        </is>
      </c>
      <c r="G79" t="n">
        <v>7.999999999999993</v>
      </c>
      <c r="H79" t="n">
        <v>0</v>
      </c>
      <c r="K79" t="n">
        <v>7.999999999999993</v>
      </c>
    </row>
    <row r="80">
      <c r="A80" t="inlineStr">
        <is>
          <t>2026-06-14</t>
        </is>
      </c>
      <c r="B80" t="inlineStr">
        <is>
          <t>Margaret</t>
        </is>
      </c>
      <c r="C80" t="inlineStr">
        <is>
          <t>Shatin Fortress</t>
        </is>
      </c>
      <c r="D80" t="inlineStr">
        <is>
          <t>Margaret</t>
        </is>
      </c>
      <c r="E80" t="inlineStr">
        <is>
          <t>12:00:00</t>
        </is>
      </c>
      <c r="F80" t="inlineStr">
        <is>
          <t>20:00:00</t>
        </is>
      </c>
      <c r="G80" t="n">
        <v>7.999999999999993</v>
      </c>
      <c r="H80" t="n">
        <v>0</v>
      </c>
      <c r="K80" t="n">
        <v>7.999999999999993</v>
      </c>
    </row>
    <row r="81">
      <c r="A81" t="inlineStr">
        <is>
          <t>2026-06-19</t>
        </is>
      </c>
      <c r="B81" t="inlineStr">
        <is>
          <t>Margaret</t>
        </is>
      </c>
      <c r="C81" t="inlineStr">
        <is>
          <t>Shatin Fortress</t>
        </is>
      </c>
      <c r="D81" t="inlineStr">
        <is>
          <t>Margaret</t>
        </is>
      </c>
      <c r="E81" t="inlineStr">
        <is>
          <t>12:00:00</t>
        </is>
      </c>
      <c r="F81" t="inlineStr">
        <is>
          <t>20:00:00</t>
        </is>
      </c>
      <c r="G81" t="n">
        <v>7.999999999999993</v>
      </c>
      <c r="H81" t="n">
        <v>0</v>
      </c>
      <c r="K81" t="n">
        <v>7.999999999999993</v>
      </c>
    </row>
    <row r="82">
      <c r="A82" t="inlineStr">
        <is>
          <t>2026-06-20</t>
        </is>
      </c>
      <c r="B82" t="inlineStr">
        <is>
          <t>Margaret</t>
        </is>
      </c>
      <c r="C82" t="inlineStr">
        <is>
          <t>Shatin Fortress</t>
        </is>
      </c>
      <c r="D82" t="inlineStr">
        <is>
          <t>Margaret</t>
        </is>
      </c>
      <c r="E82" t="inlineStr">
        <is>
          <t>12:00:00</t>
        </is>
      </c>
      <c r="F82" t="inlineStr">
        <is>
          <t>20:00:00</t>
        </is>
      </c>
      <c r="G82" t="n">
        <v>7.999999999999993</v>
      </c>
      <c r="H82" t="n">
        <v>0</v>
      </c>
      <c r="K82" t="n">
        <v>7.999999999999993</v>
      </c>
    </row>
    <row r="83">
      <c r="A83" t="inlineStr">
        <is>
          <t>2026-06-21</t>
        </is>
      </c>
      <c r="B83" t="inlineStr">
        <is>
          <t>Margaret</t>
        </is>
      </c>
      <c r="C83" t="inlineStr">
        <is>
          <t>Shatin Fortress</t>
        </is>
      </c>
      <c r="D83" t="inlineStr">
        <is>
          <t>Margaret</t>
        </is>
      </c>
      <c r="E83" t="inlineStr">
        <is>
          <t>12:00:00</t>
        </is>
      </c>
      <c r="F83" t="inlineStr">
        <is>
          <t>20:00:00</t>
        </is>
      </c>
      <c r="G83" t="n">
        <v>7.999999999999993</v>
      </c>
      <c r="H83" t="n">
        <v>0</v>
      </c>
      <c r="K83" t="n">
        <v>7.999999999999993</v>
      </c>
    </row>
    <row r="84">
      <c r="A84" t="inlineStr">
        <is>
          <t>2026-06-25</t>
        </is>
      </c>
      <c r="B84" t="inlineStr">
        <is>
          <t>Margaret</t>
        </is>
      </c>
      <c r="C84" t="inlineStr">
        <is>
          <t>Shatin Fortress</t>
        </is>
      </c>
      <c r="D84" t="inlineStr">
        <is>
          <t>Margaret</t>
        </is>
      </c>
      <c r="E84" t="inlineStr">
        <is>
          <t>12:00:00</t>
        </is>
      </c>
      <c r="F84" t="inlineStr">
        <is>
          <t>20:00:00</t>
        </is>
      </c>
      <c r="G84" t="n">
        <v>7.999999999999993</v>
      </c>
      <c r="H84" t="n">
        <v>0</v>
      </c>
      <c r="K84" t="n">
        <v>7.999999999999993</v>
      </c>
    </row>
    <row r="85">
      <c r="A85" t="inlineStr">
        <is>
          <t>2026-06-29</t>
        </is>
      </c>
      <c r="B85" t="inlineStr">
        <is>
          <t>Margaret</t>
        </is>
      </c>
      <c r="C85" t="inlineStr">
        <is>
          <t>Shatin Fortress</t>
        </is>
      </c>
      <c r="D85" t="inlineStr">
        <is>
          <t>Margaret</t>
        </is>
      </c>
      <c r="E85" t="inlineStr">
        <is>
          <t>12:00:00</t>
        </is>
      </c>
      <c r="F85" t="inlineStr">
        <is>
          <t>20:00:00</t>
        </is>
      </c>
      <c r="G85" t="n">
        <v>7.999999999999993</v>
      </c>
      <c r="H85" t="n">
        <v>0</v>
      </c>
      <c r="K85" t="n">
        <v>7.999999999999993</v>
      </c>
    </row>
    <row r="86">
      <c r="A86" t="inlineStr">
        <is>
          <t>2026-06-27</t>
        </is>
      </c>
      <c r="B86" t="inlineStr">
        <is>
          <t>Margaret</t>
        </is>
      </c>
      <c r="C86" t="inlineStr">
        <is>
          <t>In - Home Expo 2</t>
        </is>
      </c>
      <c r="D86" t="inlineStr">
        <is>
          <t>Margaret</t>
        </is>
      </c>
      <c r="E86" t="inlineStr">
        <is>
          <t>14:00:00</t>
        </is>
      </c>
      <c r="F86" t="inlineStr">
        <is>
          <t>21:00:00</t>
        </is>
      </c>
      <c r="G86" t="n">
        <v>6.999999999999999</v>
      </c>
      <c r="H86" t="n">
        <v>0</v>
      </c>
      <c r="K86" t="n">
        <v>6.999999999999999</v>
      </c>
    </row>
    <row r="87">
      <c r="A87" t="inlineStr">
        <is>
          <t>2026-06-28</t>
        </is>
      </c>
      <c r="B87" t="inlineStr">
        <is>
          <t>Margaret</t>
        </is>
      </c>
      <c r="C87" t="inlineStr">
        <is>
          <t>In - Home Expo 2</t>
        </is>
      </c>
      <c r="D87" t="inlineStr">
        <is>
          <t>Margaret</t>
        </is>
      </c>
      <c r="E87" t="inlineStr">
        <is>
          <t>12:00:00</t>
        </is>
      </c>
      <c r="F87" t="inlineStr">
        <is>
          <t>19:00:00</t>
        </is>
      </c>
      <c r="G87" t="n">
        <v>6.999999999999999</v>
      </c>
      <c r="H87" t="n">
        <v>0</v>
      </c>
      <c r="K87" t="n">
        <v>6.999999999999999</v>
      </c>
    </row>
    <row r="88">
      <c r="A88" t="inlineStr">
        <is>
          <t>2026-06-01</t>
        </is>
      </c>
      <c r="B88" t="inlineStr">
        <is>
          <t>Margaret</t>
        </is>
      </c>
      <c r="C88" t="inlineStr">
        <is>
          <t>Central Fortress</t>
        </is>
      </c>
      <c r="D88" t="inlineStr">
        <is>
          <t>Margaret</t>
        </is>
      </c>
      <c r="E88" t="inlineStr">
        <is>
          <t>11:30:00</t>
        </is>
      </c>
      <c r="F88" t="inlineStr">
        <is>
          <t>19:30:00</t>
        </is>
      </c>
      <c r="G88" t="n">
        <v>8</v>
      </c>
      <c r="H88" t="n">
        <v>0</v>
      </c>
      <c r="K88" t="n">
        <v>8</v>
      </c>
    </row>
    <row r="89">
      <c r="A89" t="inlineStr">
        <is>
          <t>2026-06-02</t>
        </is>
      </c>
      <c r="B89" t="inlineStr">
        <is>
          <t>Margaret</t>
        </is>
      </c>
      <c r="C89" t="inlineStr">
        <is>
          <t>Central Fortress</t>
        </is>
      </c>
      <c r="D89" t="inlineStr">
        <is>
          <t>Margaret</t>
        </is>
      </c>
      <c r="E89" t="inlineStr">
        <is>
          <t>11:30:00</t>
        </is>
      </c>
      <c r="F89" t="inlineStr">
        <is>
          <t>19:30:00</t>
        </is>
      </c>
      <c r="G89" t="n">
        <v>8</v>
      </c>
      <c r="H89" t="n">
        <v>0</v>
      </c>
      <c r="K89" t="n">
        <v>8</v>
      </c>
    </row>
    <row r="90">
      <c r="A90" t="inlineStr">
        <is>
          <t>2026-06-08</t>
        </is>
      </c>
      <c r="B90" t="inlineStr">
        <is>
          <t>Margaret</t>
        </is>
      </c>
      <c r="C90" t="inlineStr">
        <is>
          <t>Central Fortress</t>
        </is>
      </c>
      <c r="D90" t="inlineStr">
        <is>
          <t>Margaret</t>
        </is>
      </c>
      <c r="E90" t="inlineStr">
        <is>
          <t>11:30:00</t>
        </is>
      </c>
      <c r="F90" t="inlineStr">
        <is>
          <t>19:30:00</t>
        </is>
      </c>
      <c r="G90" t="n">
        <v>8</v>
      </c>
      <c r="H90" t="n">
        <v>0</v>
      </c>
      <c r="K90" t="n">
        <v>8</v>
      </c>
    </row>
    <row r="91">
      <c r="A91" t="inlineStr">
        <is>
          <t>2026-06-09</t>
        </is>
      </c>
      <c r="B91" t="inlineStr">
        <is>
          <t>Margaret</t>
        </is>
      </c>
      <c r="C91" t="inlineStr">
        <is>
          <t>Central Fortress</t>
        </is>
      </c>
      <c r="D91" t="inlineStr">
        <is>
          <t>Margaret</t>
        </is>
      </c>
      <c r="E91" t="inlineStr">
        <is>
          <t>11:30:00</t>
        </is>
      </c>
      <c r="F91" t="inlineStr">
        <is>
          <t>19:30:00</t>
        </is>
      </c>
      <c r="G91" t="n">
        <v>8</v>
      </c>
      <c r="H91" t="n">
        <v>0</v>
      </c>
      <c r="K91" t="n">
        <v>8</v>
      </c>
    </row>
    <row r="92">
      <c r="A92" t="inlineStr">
        <is>
          <t>2026-06-15</t>
        </is>
      </c>
      <c r="B92" t="inlineStr">
        <is>
          <t>Margaret</t>
        </is>
      </c>
      <c r="C92" t="inlineStr">
        <is>
          <t>Central Fortress</t>
        </is>
      </c>
      <c r="D92" t="inlineStr">
        <is>
          <t>Margaret</t>
        </is>
      </c>
      <c r="E92" t="inlineStr">
        <is>
          <t>11:30:00</t>
        </is>
      </c>
      <c r="F92" t="inlineStr">
        <is>
          <t>19:30:00</t>
        </is>
      </c>
      <c r="G92" t="n">
        <v>8</v>
      </c>
      <c r="H92" t="n">
        <v>0</v>
      </c>
      <c r="K92" t="n">
        <v>8</v>
      </c>
    </row>
    <row r="93">
      <c r="A93" t="inlineStr">
        <is>
          <t>2026-06-22</t>
        </is>
      </c>
      <c r="B93" t="inlineStr">
        <is>
          <t>Margaret</t>
        </is>
      </c>
      <c r="C93" t="inlineStr">
        <is>
          <t>Central Fortress</t>
        </is>
      </c>
      <c r="D93" t="inlineStr">
        <is>
          <t>Margaret</t>
        </is>
      </c>
      <c r="E93" t="inlineStr">
        <is>
          <t>11:30:00</t>
        </is>
      </c>
      <c r="F93" t="inlineStr">
        <is>
          <t>19:30:00</t>
        </is>
      </c>
      <c r="G93" t="n">
        <v>8</v>
      </c>
      <c r="H93" t="n">
        <v>0</v>
      </c>
      <c r="K93" t="n">
        <v>8</v>
      </c>
    </row>
    <row r="94">
      <c r="A94" t="inlineStr">
        <is>
          <t>2026-06-23</t>
        </is>
      </c>
      <c r="B94" t="inlineStr">
        <is>
          <t>Margaret</t>
        </is>
      </c>
      <c r="C94" t="inlineStr">
        <is>
          <t>Central Fortress</t>
        </is>
      </c>
      <c r="D94" t="inlineStr">
        <is>
          <t>Margaret</t>
        </is>
      </c>
      <c r="E94" t="inlineStr">
        <is>
          <t>11:30:00</t>
        </is>
      </c>
      <c r="F94" t="inlineStr">
        <is>
          <t>19:30:00</t>
        </is>
      </c>
      <c r="G94" t="n">
        <v>8</v>
      </c>
      <c r="H94" t="n">
        <v>0</v>
      </c>
      <c r="K94" t="n">
        <v>8</v>
      </c>
    </row>
    <row r="95">
      <c r="A95" t="inlineStr">
        <is>
          <t>2026-06-06</t>
        </is>
      </c>
      <c r="B95" t="inlineStr">
        <is>
          <t>Wu Sir</t>
        </is>
      </c>
      <c r="C95" t="inlineStr">
        <is>
          <t>Kwai Fong Fortress</t>
        </is>
      </c>
      <c r="D95" t="inlineStr">
        <is>
          <t>Wu Sir</t>
        </is>
      </c>
      <c r="E95" t="inlineStr">
        <is>
          <t>12:00:00</t>
        </is>
      </c>
      <c r="F95" t="inlineStr">
        <is>
          <t>20:00:00</t>
        </is>
      </c>
      <c r="G95" t="n">
        <v>8</v>
      </c>
      <c r="H95" t="n">
        <v>0</v>
      </c>
      <c r="K95" t="n">
        <v>8</v>
      </c>
    </row>
    <row r="96">
      <c r="A96" t="inlineStr">
        <is>
          <t>2026-06-07</t>
        </is>
      </c>
      <c r="B96" t="inlineStr">
        <is>
          <t>Wu Sir</t>
        </is>
      </c>
      <c r="C96" t="inlineStr">
        <is>
          <t>Kwai Fong Fortress</t>
        </is>
      </c>
      <c r="D96" t="inlineStr">
        <is>
          <t>Wu Sir</t>
        </is>
      </c>
      <c r="E96" t="inlineStr">
        <is>
          <t>12:00:00</t>
        </is>
      </c>
      <c r="F96" t="inlineStr">
        <is>
          <t>20:00:00</t>
        </is>
      </c>
      <c r="G96" t="n">
        <v>8</v>
      </c>
      <c r="H96" t="n">
        <v>0</v>
      </c>
      <c r="K96" t="n">
        <v>8</v>
      </c>
    </row>
    <row r="97">
      <c r="A97" t="inlineStr">
        <is>
          <t>2026-06-20</t>
        </is>
      </c>
      <c r="B97" t="inlineStr">
        <is>
          <t>Wu Sir</t>
        </is>
      </c>
      <c r="C97" t="inlineStr">
        <is>
          <t>Kwai Fong Fortress</t>
        </is>
      </c>
      <c r="D97" t="inlineStr">
        <is>
          <t>Wu Sir</t>
        </is>
      </c>
      <c r="E97" t="inlineStr">
        <is>
          <t>12:00:00</t>
        </is>
      </c>
      <c r="F97" t="inlineStr">
        <is>
          <t>20:00:00</t>
        </is>
      </c>
      <c r="G97" t="n">
        <v>8</v>
      </c>
      <c r="H97" t="n">
        <v>0</v>
      </c>
      <c r="K97" t="n">
        <v>8</v>
      </c>
    </row>
    <row r="98">
      <c r="A98" t="inlineStr">
        <is>
          <t>2026-06-21</t>
        </is>
      </c>
      <c r="B98" t="inlineStr">
        <is>
          <t>Wu Sir</t>
        </is>
      </c>
      <c r="C98" t="inlineStr">
        <is>
          <t>Kwai Fong Fortress</t>
        </is>
      </c>
      <c r="D98" t="inlineStr">
        <is>
          <t>Wu Sir</t>
        </is>
      </c>
      <c r="E98" t="inlineStr">
        <is>
          <t>12:00:00</t>
        </is>
      </c>
      <c r="F98" t="inlineStr">
        <is>
          <t>20:00:00</t>
        </is>
      </c>
      <c r="G98" t="n">
        <v>8</v>
      </c>
      <c r="H98" t="n">
        <v>0</v>
      </c>
      <c r="K98" t="n">
        <v>8</v>
      </c>
    </row>
    <row r="99">
      <c r="A99" t="inlineStr">
        <is>
          <t>2026-06-27</t>
        </is>
      </c>
      <c r="B99" t="inlineStr">
        <is>
          <t>Wu Sir</t>
        </is>
      </c>
      <c r="C99" t="inlineStr">
        <is>
          <t>Kwai Fong Fortress</t>
        </is>
      </c>
      <c r="D99" t="inlineStr">
        <is>
          <t>Wu Sir</t>
        </is>
      </c>
      <c r="E99" t="inlineStr">
        <is>
          <t>12:00:00</t>
        </is>
      </c>
      <c r="F99" t="inlineStr">
        <is>
          <t>20:00:00</t>
        </is>
      </c>
      <c r="G99" t="n">
        <v>8</v>
      </c>
      <c r="H99" t="n">
        <v>0</v>
      </c>
      <c r="K99" t="n">
        <v>8</v>
      </c>
    </row>
    <row r="100">
      <c r="A100" t="inlineStr">
        <is>
          <t>2026-06-28</t>
        </is>
      </c>
      <c r="B100" t="inlineStr">
        <is>
          <t>Wu Sir</t>
        </is>
      </c>
      <c r="C100" t="inlineStr">
        <is>
          <t>Kwai Fong Fortress</t>
        </is>
      </c>
      <c r="D100" t="inlineStr">
        <is>
          <t>Wu Sir</t>
        </is>
      </c>
      <c r="E100" t="inlineStr">
        <is>
          <t>12:00:00</t>
        </is>
      </c>
      <c r="F100" t="inlineStr">
        <is>
          <t>20:00:00</t>
        </is>
      </c>
      <c r="G100" t="n">
        <v>8</v>
      </c>
      <c r="H100" t="n">
        <v>0</v>
      </c>
      <c r="K100" t="n">
        <v>8</v>
      </c>
    </row>
    <row r="101">
      <c r="A101" t="inlineStr">
        <is>
          <t>2026-06-05</t>
        </is>
      </c>
      <c r="B101" t="inlineStr">
        <is>
          <t>Tammy</t>
        </is>
      </c>
      <c r="C101" t="inlineStr">
        <is>
          <t>Tsing Yi Fortress</t>
        </is>
      </c>
      <c r="D101" t="inlineStr">
        <is>
          <t>Tammy</t>
        </is>
      </c>
      <c r="E101" t="inlineStr">
        <is>
          <t>12:00:00</t>
        </is>
      </c>
      <c r="F101" t="inlineStr">
        <is>
          <t>20:00:00</t>
        </is>
      </c>
      <c r="G101" t="n">
        <v>8</v>
      </c>
      <c r="H101" t="n">
        <v>0</v>
      </c>
      <c r="K101" t="n">
        <v>8</v>
      </c>
    </row>
    <row r="102">
      <c r="A102" t="inlineStr">
        <is>
          <t>2026-06-06</t>
        </is>
      </c>
      <c r="B102" t="inlineStr">
        <is>
          <t>Tammy</t>
        </is>
      </c>
      <c r="C102" t="inlineStr">
        <is>
          <t>Tsing Yi Fortress</t>
        </is>
      </c>
      <c r="D102" t="inlineStr">
        <is>
          <t>Tammy</t>
        </is>
      </c>
      <c r="E102" t="inlineStr">
        <is>
          <t>12:00:00</t>
        </is>
      </c>
      <c r="F102" t="inlineStr">
        <is>
          <t>20:00:00</t>
        </is>
      </c>
      <c r="G102" t="n">
        <v>8</v>
      </c>
      <c r="H102" t="n">
        <v>0</v>
      </c>
      <c r="K102" t="n">
        <v>8</v>
      </c>
    </row>
    <row r="103">
      <c r="A103" t="inlineStr">
        <is>
          <t>2026-06-07</t>
        </is>
      </c>
      <c r="B103" t="inlineStr">
        <is>
          <t>Tammy</t>
        </is>
      </c>
      <c r="C103" t="inlineStr">
        <is>
          <t>Tsing Yi Fortress</t>
        </is>
      </c>
      <c r="D103" t="inlineStr">
        <is>
          <t>Tammy</t>
        </is>
      </c>
      <c r="E103" t="inlineStr">
        <is>
          <t>12:00:00</t>
        </is>
      </c>
      <c r="F103" t="inlineStr">
        <is>
          <t>20:00:00</t>
        </is>
      </c>
      <c r="G103" t="n">
        <v>8</v>
      </c>
      <c r="H103" t="n">
        <v>0</v>
      </c>
      <c r="K103" t="n">
        <v>8</v>
      </c>
    </row>
    <row r="104">
      <c r="A104" t="inlineStr">
        <is>
          <t>2026-06-12</t>
        </is>
      </c>
      <c r="B104" t="inlineStr">
        <is>
          <t>Tammy</t>
        </is>
      </c>
      <c r="C104" t="inlineStr">
        <is>
          <t>Tsing Yi Fortress</t>
        </is>
      </c>
      <c r="D104" t="inlineStr">
        <is>
          <t>Tammy</t>
        </is>
      </c>
      <c r="E104" t="inlineStr">
        <is>
          <t>12:00:00</t>
        </is>
      </c>
      <c r="F104" t="inlineStr">
        <is>
          <t>20:00:00</t>
        </is>
      </c>
      <c r="G104" t="n">
        <v>8</v>
      </c>
      <c r="H104" t="n">
        <v>0</v>
      </c>
      <c r="K104" t="n">
        <v>8</v>
      </c>
    </row>
    <row r="105">
      <c r="A105" t="inlineStr">
        <is>
          <t>2026-06-13</t>
        </is>
      </c>
      <c r="B105" t="inlineStr">
        <is>
          <t>Tammy</t>
        </is>
      </c>
      <c r="C105" t="inlineStr">
        <is>
          <t>Tsing Yi Fortress</t>
        </is>
      </c>
      <c r="D105" t="inlineStr">
        <is>
          <t>Tammy</t>
        </is>
      </c>
      <c r="E105" t="inlineStr">
        <is>
          <t>12:00:00</t>
        </is>
      </c>
      <c r="F105" t="inlineStr">
        <is>
          <t>20:00:00</t>
        </is>
      </c>
      <c r="G105" t="n">
        <v>8</v>
      </c>
      <c r="H105" t="n">
        <v>0</v>
      </c>
      <c r="K105" t="n">
        <v>8</v>
      </c>
    </row>
    <row r="106">
      <c r="A106" t="inlineStr">
        <is>
          <t>2026-06-14</t>
        </is>
      </c>
      <c r="B106" t="inlineStr">
        <is>
          <t>Tammy</t>
        </is>
      </c>
      <c r="C106" t="inlineStr">
        <is>
          <t>Tsing Yi Fortress</t>
        </is>
      </c>
      <c r="D106" t="inlineStr">
        <is>
          <t>Tammy</t>
        </is>
      </c>
      <c r="E106" t="inlineStr">
        <is>
          <t>12:00:00</t>
        </is>
      </c>
      <c r="F106" t="inlineStr">
        <is>
          <t>20:00:00</t>
        </is>
      </c>
      <c r="G106" t="n">
        <v>8</v>
      </c>
      <c r="H106" t="n">
        <v>0</v>
      </c>
      <c r="K106" t="n">
        <v>8</v>
      </c>
    </row>
    <row r="107">
      <c r="A107" t="inlineStr">
        <is>
          <t>2026-06-19</t>
        </is>
      </c>
      <c r="B107" t="inlineStr">
        <is>
          <t>Tammy</t>
        </is>
      </c>
      <c r="C107" t="inlineStr">
        <is>
          <t>Tsing Yi Fortress</t>
        </is>
      </c>
      <c r="D107" t="inlineStr">
        <is>
          <t>Tammy</t>
        </is>
      </c>
      <c r="E107" t="inlineStr">
        <is>
          <t>12:00:00</t>
        </is>
      </c>
      <c r="F107" t="inlineStr">
        <is>
          <t>21:00:00</t>
        </is>
      </c>
      <c r="G107" t="n">
        <v>9</v>
      </c>
      <c r="H107" t="n">
        <v>0</v>
      </c>
      <c r="K107" t="n">
        <v>9</v>
      </c>
    </row>
    <row r="108">
      <c r="A108" t="inlineStr">
        <is>
          <t>2026-06-20</t>
        </is>
      </c>
      <c r="B108" t="inlineStr">
        <is>
          <t>Tammy</t>
        </is>
      </c>
      <c r="C108" t="inlineStr">
        <is>
          <t>Tsing Yi Fortress</t>
        </is>
      </c>
      <c r="D108" t="inlineStr">
        <is>
          <t>Tammy</t>
        </is>
      </c>
      <c r="E108" t="inlineStr">
        <is>
          <t>11:00:00</t>
        </is>
      </c>
      <c r="F108" t="inlineStr">
        <is>
          <t>20:58:00</t>
        </is>
      </c>
      <c r="G108" t="n">
        <v>9.966666666666667</v>
      </c>
      <c r="H108" t="n">
        <v>0</v>
      </c>
      <c r="K108" t="n">
        <v>10</v>
      </c>
    </row>
    <row r="109">
      <c r="A109" t="inlineStr">
        <is>
          <t>2026-06-21</t>
        </is>
      </c>
      <c r="B109" t="inlineStr">
        <is>
          <t>Tammy</t>
        </is>
      </c>
      <c r="C109" t="inlineStr">
        <is>
          <t>Tsing Yi Fortress</t>
        </is>
      </c>
      <c r="D109" t="inlineStr">
        <is>
          <t>Tammy</t>
        </is>
      </c>
      <c r="E109" t="inlineStr">
        <is>
          <t>11:00:00</t>
        </is>
      </c>
      <c r="F109" t="inlineStr">
        <is>
          <t>20:15:00</t>
        </is>
      </c>
      <c r="G109" t="n">
        <v>9.25</v>
      </c>
      <c r="H109" t="n">
        <v>0</v>
      </c>
      <c r="K109" t="n">
        <v>9.25</v>
      </c>
    </row>
    <row r="110">
      <c r="A110" t="inlineStr">
        <is>
          <t>2026-06-04</t>
        </is>
      </c>
      <c r="B110" t="inlineStr">
        <is>
          <t>May M</t>
        </is>
      </c>
      <c r="C110" t="inlineStr">
        <is>
          <t>Tuen Mun Broadway</t>
        </is>
      </c>
      <c r="D110" t="inlineStr">
        <is>
          <t>May M</t>
        </is>
      </c>
      <c r="E110" t="inlineStr">
        <is>
          <t>12:00:00</t>
        </is>
      </c>
      <c r="F110" t="inlineStr">
        <is>
          <t>20:00:00</t>
        </is>
      </c>
      <c r="G110" t="n">
        <v>8</v>
      </c>
      <c r="H110" t="n">
        <v>0</v>
      </c>
      <c r="K110" t="n">
        <v>8</v>
      </c>
    </row>
    <row r="111">
      <c r="A111" t="inlineStr">
        <is>
          <t>2026-06-05</t>
        </is>
      </c>
      <c r="B111" t="inlineStr">
        <is>
          <t>May M</t>
        </is>
      </c>
      <c r="C111" t="inlineStr">
        <is>
          <t>Tuen Mun Broadway</t>
        </is>
      </c>
      <c r="D111" t="inlineStr">
        <is>
          <t>May M</t>
        </is>
      </c>
      <c r="E111" t="inlineStr">
        <is>
          <t>12:00:00</t>
        </is>
      </c>
      <c r="F111" t="inlineStr">
        <is>
          <t>20:00:00</t>
        </is>
      </c>
      <c r="G111" t="n">
        <v>8</v>
      </c>
      <c r="H111" t="n">
        <v>0</v>
      </c>
      <c r="K111" t="n">
        <v>8</v>
      </c>
    </row>
    <row r="112">
      <c r="A112" t="inlineStr">
        <is>
          <t>2026-06-06</t>
        </is>
      </c>
      <c r="B112" t="inlineStr">
        <is>
          <t>May M</t>
        </is>
      </c>
      <c r="C112" t="inlineStr">
        <is>
          <t>Tuen Mun Broadway</t>
        </is>
      </c>
      <c r="D112" t="inlineStr">
        <is>
          <t>May M</t>
        </is>
      </c>
      <c r="E112" t="inlineStr">
        <is>
          <t>12:00:00</t>
        </is>
      </c>
      <c r="F112" t="inlineStr">
        <is>
          <t>20:00:00</t>
        </is>
      </c>
      <c r="G112" t="n">
        <v>8</v>
      </c>
      <c r="H112" t="n">
        <v>0</v>
      </c>
      <c r="K112" t="n">
        <v>7.999999999999993</v>
      </c>
    </row>
    <row r="113">
      <c r="A113" t="inlineStr">
        <is>
          <t>2026-06-07</t>
        </is>
      </c>
      <c r="B113" t="inlineStr">
        <is>
          <t>May M</t>
        </is>
      </c>
      <c r="C113" t="inlineStr">
        <is>
          <t>Tuen Mun Broadway</t>
        </is>
      </c>
      <c r="D113" t="inlineStr">
        <is>
          <t>May M</t>
        </is>
      </c>
      <c r="E113" t="inlineStr">
        <is>
          <t>12:00:00</t>
        </is>
      </c>
      <c r="F113" t="inlineStr">
        <is>
          <t>20:00:00</t>
        </is>
      </c>
      <c r="G113" t="n">
        <v>8</v>
      </c>
      <c r="H113" t="n">
        <v>0</v>
      </c>
      <c r="K113" t="n">
        <v>7.999999999999993</v>
      </c>
    </row>
    <row r="114">
      <c r="A114" t="inlineStr">
        <is>
          <t>2026-06-11</t>
        </is>
      </c>
      <c r="B114" t="inlineStr">
        <is>
          <t>May M</t>
        </is>
      </c>
      <c r="C114" t="inlineStr">
        <is>
          <t>Tuen Mun Broadway</t>
        </is>
      </c>
      <c r="D114" t="inlineStr">
        <is>
          <t>May M</t>
        </is>
      </c>
      <c r="E114" t="inlineStr">
        <is>
          <t>12:00:00</t>
        </is>
      </c>
      <c r="F114" t="inlineStr">
        <is>
          <t>20:00:00</t>
        </is>
      </c>
      <c r="G114" t="n">
        <v>8</v>
      </c>
      <c r="H114" t="n">
        <v>0</v>
      </c>
      <c r="K114" t="n">
        <v>7.999999999999993</v>
      </c>
    </row>
    <row r="115">
      <c r="A115" t="inlineStr">
        <is>
          <t>2026-06-12</t>
        </is>
      </c>
      <c r="B115" t="inlineStr">
        <is>
          <t>May M</t>
        </is>
      </c>
      <c r="C115" t="inlineStr">
        <is>
          <t>Tuen Mun Broadway</t>
        </is>
      </c>
      <c r="D115" t="inlineStr">
        <is>
          <t>May M</t>
        </is>
      </c>
      <c r="E115" t="inlineStr">
        <is>
          <t>12:00:00</t>
        </is>
      </c>
      <c r="F115" t="inlineStr">
        <is>
          <t>20:00:00</t>
        </is>
      </c>
      <c r="G115" t="n">
        <v>8</v>
      </c>
      <c r="H115" t="n">
        <v>0</v>
      </c>
      <c r="K115" t="n">
        <v>7.999999999999993</v>
      </c>
    </row>
    <row r="116">
      <c r="A116" t="inlineStr">
        <is>
          <t>2026-06-13</t>
        </is>
      </c>
      <c r="B116" t="inlineStr">
        <is>
          <t>May M</t>
        </is>
      </c>
      <c r="C116" t="inlineStr">
        <is>
          <t>Tuen Mun Broadway</t>
        </is>
      </c>
      <c r="D116" t="inlineStr">
        <is>
          <t>May M</t>
        </is>
      </c>
      <c r="E116" t="inlineStr">
        <is>
          <t>12:00:00</t>
        </is>
      </c>
      <c r="F116" t="inlineStr">
        <is>
          <t>20:00:00</t>
        </is>
      </c>
      <c r="G116" t="n">
        <v>8</v>
      </c>
      <c r="H116" t="n">
        <v>0</v>
      </c>
      <c r="K116" t="n">
        <v>7.999999999999993</v>
      </c>
    </row>
    <row r="117">
      <c r="A117" t="inlineStr">
        <is>
          <t>2026-06-14</t>
        </is>
      </c>
      <c r="B117" t="inlineStr">
        <is>
          <t>May M</t>
        </is>
      </c>
      <c r="C117" t="inlineStr">
        <is>
          <t>Tuen Mun Broadway</t>
        </is>
      </c>
      <c r="D117" t="inlineStr">
        <is>
          <t>May M</t>
        </is>
      </c>
      <c r="E117" t="inlineStr">
        <is>
          <t>12:00:00</t>
        </is>
      </c>
      <c r="F117" t="inlineStr">
        <is>
          <t>20:00:00</t>
        </is>
      </c>
      <c r="G117" t="n">
        <v>8</v>
      </c>
      <c r="H117" t="n">
        <v>0</v>
      </c>
      <c r="K117" t="n">
        <v>7.999999999999993</v>
      </c>
    </row>
    <row r="118">
      <c r="A118" t="inlineStr">
        <is>
          <t>2026-06-18</t>
        </is>
      </c>
      <c r="B118" t="inlineStr">
        <is>
          <t>May M</t>
        </is>
      </c>
      <c r="C118" t="inlineStr">
        <is>
          <t>Tuen Mun Broadway</t>
        </is>
      </c>
      <c r="D118" t="inlineStr">
        <is>
          <t>May M</t>
        </is>
      </c>
      <c r="E118" t="inlineStr">
        <is>
          <t>12:00:00</t>
        </is>
      </c>
      <c r="F118" t="inlineStr">
        <is>
          <t>20:00:00</t>
        </is>
      </c>
      <c r="G118" t="n">
        <v>8</v>
      </c>
      <c r="H118" t="n">
        <v>0</v>
      </c>
      <c r="K118" t="n">
        <v>7.999999999999993</v>
      </c>
    </row>
    <row r="119">
      <c r="A119" t="inlineStr">
        <is>
          <t>2026-06-19</t>
        </is>
      </c>
      <c r="B119" t="inlineStr">
        <is>
          <t>May M</t>
        </is>
      </c>
      <c r="C119" t="inlineStr">
        <is>
          <t>Tuen Mun Broadway</t>
        </is>
      </c>
      <c r="D119" t="inlineStr">
        <is>
          <t>May M</t>
        </is>
      </c>
      <c r="E119" t="inlineStr">
        <is>
          <t>12:00:00</t>
        </is>
      </c>
      <c r="F119" t="inlineStr">
        <is>
          <t>20:00:00</t>
        </is>
      </c>
      <c r="G119" t="n">
        <v>8</v>
      </c>
      <c r="H119" t="n">
        <v>0</v>
      </c>
      <c r="K119" t="n">
        <v>7.999999999999993</v>
      </c>
    </row>
    <row r="120">
      <c r="A120" t="inlineStr">
        <is>
          <t>2026-06-20</t>
        </is>
      </c>
      <c r="B120" t="inlineStr">
        <is>
          <t>May M</t>
        </is>
      </c>
      <c r="C120" t="inlineStr">
        <is>
          <t>Tuen Mun Broadway</t>
        </is>
      </c>
      <c r="D120" t="inlineStr">
        <is>
          <t>May M</t>
        </is>
      </c>
      <c r="E120" t="inlineStr">
        <is>
          <t>12:00:00</t>
        </is>
      </c>
      <c r="F120" t="inlineStr">
        <is>
          <t>20:00:00</t>
        </is>
      </c>
      <c r="G120" t="n">
        <v>8</v>
      </c>
      <c r="H120" t="n">
        <v>0</v>
      </c>
      <c r="K120" t="n">
        <v>7.999999999999993</v>
      </c>
    </row>
    <row r="121">
      <c r="A121" t="inlineStr">
        <is>
          <t>2026-06-21</t>
        </is>
      </c>
      <c r="B121" t="inlineStr">
        <is>
          <t>May M</t>
        </is>
      </c>
      <c r="C121" t="inlineStr">
        <is>
          <t>Tuen Mun Broadway</t>
        </is>
      </c>
      <c r="D121" t="inlineStr">
        <is>
          <t>May M</t>
        </is>
      </c>
      <c r="E121" t="inlineStr">
        <is>
          <t>12:00:00</t>
        </is>
      </c>
      <c r="F121" t="inlineStr">
        <is>
          <t>20:00:00</t>
        </is>
      </c>
      <c r="G121" t="n">
        <v>8</v>
      </c>
      <c r="H121" t="n">
        <v>0</v>
      </c>
      <c r="K121" t="n">
        <v>7.999999999999993</v>
      </c>
    </row>
    <row r="122">
      <c r="A122" t="inlineStr">
        <is>
          <t>2026-06-25</t>
        </is>
      </c>
      <c r="B122" t="inlineStr">
        <is>
          <t>May M</t>
        </is>
      </c>
      <c r="C122" t="inlineStr">
        <is>
          <t>Tuen Mun Broadway</t>
        </is>
      </c>
      <c r="D122" t="inlineStr">
        <is>
          <t>May M</t>
        </is>
      </c>
      <c r="E122" t="inlineStr">
        <is>
          <t>12:00:00</t>
        </is>
      </c>
      <c r="F122" t="inlineStr">
        <is>
          <t>20:00:00</t>
        </is>
      </c>
      <c r="G122" t="n">
        <v>8</v>
      </c>
      <c r="H122" t="n">
        <v>0</v>
      </c>
      <c r="K122" t="n">
        <v>7.999999999999993</v>
      </c>
    </row>
    <row r="123">
      <c r="A123" t="inlineStr">
        <is>
          <t>2026-06-26</t>
        </is>
      </c>
      <c r="B123" t="inlineStr">
        <is>
          <t>May M</t>
        </is>
      </c>
      <c r="C123" t="inlineStr">
        <is>
          <t>Tuen Mun Broadway</t>
        </is>
      </c>
      <c r="D123" t="inlineStr">
        <is>
          <t>May M</t>
        </is>
      </c>
      <c r="E123" t="inlineStr">
        <is>
          <t>12:00:00</t>
        </is>
      </c>
      <c r="F123" t="inlineStr">
        <is>
          <t>20:00:00</t>
        </is>
      </c>
      <c r="G123" t="n">
        <v>8</v>
      </c>
      <c r="H123" t="n">
        <v>0</v>
      </c>
      <c r="K123" t="n">
        <v>7.999999999999993</v>
      </c>
    </row>
    <row r="124">
      <c r="A124" t="inlineStr">
        <is>
          <t>2026-06-27</t>
        </is>
      </c>
      <c r="B124" t="inlineStr">
        <is>
          <t>May M</t>
        </is>
      </c>
      <c r="C124" t="inlineStr">
        <is>
          <t>Tuen Mun Broadway</t>
        </is>
      </c>
      <c r="D124" t="inlineStr">
        <is>
          <t>May M</t>
        </is>
      </c>
      <c r="E124" t="inlineStr">
        <is>
          <t>12:00:00</t>
        </is>
      </c>
      <c r="F124" t="inlineStr">
        <is>
          <t>20:00:00</t>
        </is>
      </c>
      <c r="G124" t="n">
        <v>8</v>
      </c>
      <c r="H124" t="n">
        <v>0</v>
      </c>
      <c r="K124" t="n">
        <v>7.999999999999993</v>
      </c>
    </row>
    <row r="125">
      <c r="A125" t="inlineStr">
        <is>
          <t>2026-06-28</t>
        </is>
      </c>
      <c r="B125" t="inlineStr">
        <is>
          <t>May M</t>
        </is>
      </c>
      <c r="C125" t="inlineStr">
        <is>
          <t>Tuen Mun Broadway</t>
        </is>
      </c>
      <c r="D125" t="inlineStr">
        <is>
          <t>May M</t>
        </is>
      </c>
      <c r="E125" t="inlineStr">
        <is>
          <t>12:00:00</t>
        </is>
      </c>
      <c r="F125" t="inlineStr">
        <is>
          <t>20:00:00</t>
        </is>
      </c>
      <c r="G125" t="n">
        <v>8</v>
      </c>
      <c r="H125" t="n">
        <v>0</v>
      </c>
      <c r="K125" t="n">
        <v>7.999999999999993</v>
      </c>
    </row>
    <row r="126">
      <c r="A126" t="inlineStr">
        <is>
          <t>2026-06-04</t>
        </is>
      </c>
      <c r="B126" t="inlineStr">
        <is>
          <t>Hazel</t>
        </is>
      </c>
      <c r="C126" t="inlineStr">
        <is>
          <t>SW Wing On</t>
        </is>
      </c>
      <c r="D126" t="inlineStr">
        <is>
          <t>Hazel</t>
        </is>
      </c>
      <c r="E126" t="inlineStr">
        <is>
          <t>11:00:00</t>
        </is>
      </c>
      <c r="F126" t="inlineStr">
        <is>
          <t>19:00:00</t>
        </is>
      </c>
      <c r="G126" t="n">
        <v>8</v>
      </c>
      <c r="H126" t="n">
        <v>0</v>
      </c>
      <c r="K126" t="n">
        <v>8</v>
      </c>
    </row>
    <row r="127">
      <c r="A127" t="inlineStr">
        <is>
          <t>2026-06-05</t>
        </is>
      </c>
      <c r="B127" t="inlineStr">
        <is>
          <t>Hazel</t>
        </is>
      </c>
      <c r="C127" t="inlineStr">
        <is>
          <t>SW Wing On</t>
        </is>
      </c>
      <c r="D127" t="inlineStr">
        <is>
          <t>Hazel</t>
        </is>
      </c>
      <c r="E127" t="inlineStr">
        <is>
          <t>11:00:00</t>
        </is>
      </c>
      <c r="F127" t="inlineStr">
        <is>
          <t>19:00:00</t>
        </is>
      </c>
      <c r="G127" t="n">
        <v>8</v>
      </c>
      <c r="H127" t="n">
        <v>0</v>
      </c>
      <c r="K127" t="n">
        <v>8</v>
      </c>
    </row>
    <row r="128">
      <c r="A128" t="inlineStr">
        <is>
          <t>2026-06-06</t>
        </is>
      </c>
      <c r="B128" t="inlineStr">
        <is>
          <t>Hazel</t>
        </is>
      </c>
      <c r="C128" t="inlineStr">
        <is>
          <t>SW Wing On</t>
        </is>
      </c>
      <c r="D128" t="inlineStr">
        <is>
          <t>Hazel</t>
        </is>
      </c>
      <c r="E128" t="inlineStr">
        <is>
          <t>11:00:00</t>
        </is>
      </c>
      <c r="F128" t="inlineStr">
        <is>
          <t>19:00:00</t>
        </is>
      </c>
      <c r="G128" t="n">
        <v>8</v>
      </c>
      <c r="H128" t="n">
        <v>0</v>
      </c>
      <c r="K128" t="n">
        <v>8</v>
      </c>
    </row>
    <row r="129">
      <c r="A129" t="inlineStr">
        <is>
          <t>2026-06-09</t>
        </is>
      </c>
      <c r="B129" t="inlineStr">
        <is>
          <t>Hazel</t>
        </is>
      </c>
      <c r="C129" t="inlineStr">
        <is>
          <t>SW Wing On</t>
        </is>
      </c>
      <c r="D129" t="inlineStr">
        <is>
          <t>Hazel</t>
        </is>
      </c>
      <c r="E129" t="inlineStr">
        <is>
          <t>11:00:00</t>
        </is>
      </c>
      <c r="F129" t="inlineStr">
        <is>
          <t>19:00:00</t>
        </is>
      </c>
      <c r="G129" t="n">
        <v>8</v>
      </c>
      <c r="H129" t="n">
        <v>0</v>
      </c>
      <c r="K129" t="n">
        <v>8</v>
      </c>
    </row>
    <row r="130">
      <c r="A130" t="inlineStr">
        <is>
          <t>2026-06-10</t>
        </is>
      </c>
      <c r="B130" t="inlineStr">
        <is>
          <t>Hazel</t>
        </is>
      </c>
      <c r="C130" t="inlineStr">
        <is>
          <t>SW Wing On</t>
        </is>
      </c>
      <c r="D130" t="inlineStr">
        <is>
          <t>Hazel</t>
        </is>
      </c>
      <c r="E130" t="inlineStr">
        <is>
          <t>11:00:00</t>
        </is>
      </c>
      <c r="F130" t="inlineStr">
        <is>
          <t>19:00:00</t>
        </is>
      </c>
      <c r="G130" t="n">
        <v>8</v>
      </c>
      <c r="H130" t="n">
        <v>0</v>
      </c>
      <c r="K130" t="n">
        <v>8</v>
      </c>
    </row>
    <row r="131">
      <c r="A131" t="inlineStr">
        <is>
          <t>2026-06-11</t>
        </is>
      </c>
      <c r="B131" t="inlineStr">
        <is>
          <t>Hazel</t>
        </is>
      </c>
      <c r="C131" t="inlineStr">
        <is>
          <t>SW Wing On</t>
        </is>
      </c>
      <c r="D131" t="inlineStr">
        <is>
          <t>Hazel</t>
        </is>
      </c>
      <c r="E131" t="inlineStr">
        <is>
          <t>11:00:00</t>
        </is>
      </c>
      <c r="F131" t="inlineStr">
        <is>
          <t>19:00:00</t>
        </is>
      </c>
      <c r="G131" t="n">
        <v>8</v>
      </c>
      <c r="H131" t="n">
        <v>0</v>
      </c>
      <c r="K131" t="n">
        <v>8</v>
      </c>
    </row>
    <row r="132">
      <c r="A132" t="inlineStr">
        <is>
          <t>2026-06-12</t>
        </is>
      </c>
      <c r="B132" t="inlineStr">
        <is>
          <t>Hazel</t>
        </is>
      </c>
      <c r="C132" t="inlineStr">
        <is>
          <t>SW Wing On</t>
        </is>
      </c>
      <c r="D132" t="inlineStr">
        <is>
          <t>Hazel</t>
        </is>
      </c>
      <c r="E132" t="inlineStr">
        <is>
          <t>11:00:00</t>
        </is>
      </c>
      <c r="F132" t="inlineStr">
        <is>
          <t>19:00:00</t>
        </is>
      </c>
      <c r="G132" t="n">
        <v>8</v>
      </c>
      <c r="H132" t="n">
        <v>0</v>
      </c>
      <c r="K132" t="n">
        <v>8</v>
      </c>
    </row>
    <row r="133">
      <c r="A133" t="inlineStr">
        <is>
          <t>2026-06-13</t>
        </is>
      </c>
      <c r="B133" t="inlineStr">
        <is>
          <t>Hazel</t>
        </is>
      </c>
      <c r="C133" t="inlineStr">
        <is>
          <t>SW Wing On</t>
        </is>
      </c>
      <c r="D133" t="inlineStr">
        <is>
          <t>Hazel</t>
        </is>
      </c>
      <c r="E133" t="inlineStr">
        <is>
          <t>11:00:00</t>
        </is>
      </c>
      <c r="F133" t="inlineStr">
        <is>
          <t>19:00:00</t>
        </is>
      </c>
      <c r="G133" t="n">
        <v>8</v>
      </c>
      <c r="H133" t="n">
        <v>0</v>
      </c>
      <c r="K133" t="n">
        <v>8</v>
      </c>
    </row>
    <row r="134">
      <c r="A134" t="inlineStr">
        <is>
          <t>2026-06-14</t>
        </is>
      </c>
      <c r="B134" t="inlineStr">
        <is>
          <t>Hazel</t>
        </is>
      </c>
      <c r="C134" t="inlineStr">
        <is>
          <t>SW Wing On</t>
        </is>
      </c>
      <c r="D134" t="inlineStr">
        <is>
          <t>Hazel</t>
        </is>
      </c>
      <c r="E134" t="inlineStr">
        <is>
          <t>11:00:00</t>
        </is>
      </c>
      <c r="F134" t="inlineStr">
        <is>
          <t>19:00:00</t>
        </is>
      </c>
      <c r="G134" t="n">
        <v>8</v>
      </c>
      <c r="H134" t="n">
        <v>0</v>
      </c>
      <c r="K134" t="n">
        <v>8</v>
      </c>
    </row>
    <row r="135">
      <c r="A135" t="inlineStr">
        <is>
          <t>2026-06-15</t>
        </is>
      </c>
      <c r="B135" t="inlineStr">
        <is>
          <t>Hazel</t>
        </is>
      </c>
      <c r="C135" t="inlineStr">
        <is>
          <t>SW Wing On</t>
        </is>
      </c>
      <c r="D135" t="inlineStr">
        <is>
          <t>Hazel</t>
        </is>
      </c>
      <c r="E135" t="inlineStr">
        <is>
          <t>11:00:00</t>
        </is>
      </c>
      <c r="F135" t="inlineStr">
        <is>
          <t>19:00:00</t>
        </is>
      </c>
      <c r="G135" t="n">
        <v>8</v>
      </c>
      <c r="H135" t="n">
        <v>0</v>
      </c>
      <c r="K135" t="n">
        <v>8</v>
      </c>
    </row>
    <row r="136">
      <c r="A136" t="inlineStr">
        <is>
          <t>2026-06-16</t>
        </is>
      </c>
      <c r="B136" t="inlineStr">
        <is>
          <t>Hazel</t>
        </is>
      </c>
      <c r="C136" t="inlineStr">
        <is>
          <t>SW Wing On</t>
        </is>
      </c>
      <c r="D136" t="inlineStr">
        <is>
          <t>Hazel</t>
        </is>
      </c>
      <c r="E136" t="inlineStr">
        <is>
          <t>11:00:00</t>
        </is>
      </c>
      <c r="F136" t="inlineStr">
        <is>
          <t>19:00:00</t>
        </is>
      </c>
      <c r="G136" t="n">
        <v>8</v>
      </c>
      <c r="H136" t="n">
        <v>0</v>
      </c>
      <c r="K136" t="n">
        <v>8</v>
      </c>
    </row>
    <row r="137">
      <c r="A137" t="inlineStr">
        <is>
          <t>2026-06-17</t>
        </is>
      </c>
      <c r="B137" t="inlineStr">
        <is>
          <t>Hazel</t>
        </is>
      </c>
      <c r="C137" t="inlineStr">
        <is>
          <t>SW Wing On</t>
        </is>
      </c>
      <c r="D137" t="inlineStr">
        <is>
          <t>Hazel</t>
        </is>
      </c>
      <c r="E137" t="inlineStr">
        <is>
          <t>11:00:00</t>
        </is>
      </c>
      <c r="F137" t="inlineStr">
        <is>
          <t>19:00:00</t>
        </is>
      </c>
      <c r="G137" t="n">
        <v>8</v>
      </c>
      <c r="H137" t="n">
        <v>0</v>
      </c>
      <c r="K137" t="n">
        <v>8</v>
      </c>
    </row>
    <row r="138">
      <c r="A138" t="inlineStr">
        <is>
          <t>2026-06-20</t>
        </is>
      </c>
      <c r="B138" t="inlineStr">
        <is>
          <t>Hazel</t>
        </is>
      </c>
      <c r="C138" t="inlineStr">
        <is>
          <t>SW Wing On</t>
        </is>
      </c>
      <c r="D138" t="inlineStr">
        <is>
          <t>Hazel</t>
        </is>
      </c>
      <c r="E138" t="inlineStr">
        <is>
          <t>11:00:00</t>
        </is>
      </c>
      <c r="F138" t="inlineStr">
        <is>
          <t>19:00:00</t>
        </is>
      </c>
      <c r="G138" t="n">
        <v>8</v>
      </c>
      <c r="H138" t="n">
        <v>0</v>
      </c>
      <c r="K138" t="n">
        <v>8</v>
      </c>
    </row>
    <row r="139">
      <c r="A139" t="inlineStr">
        <is>
          <t>2026-06-21</t>
        </is>
      </c>
      <c r="B139" t="inlineStr">
        <is>
          <t>Hazel</t>
        </is>
      </c>
      <c r="C139" t="inlineStr">
        <is>
          <t>SW Wing On</t>
        </is>
      </c>
      <c r="D139" t="inlineStr">
        <is>
          <t>Hazel</t>
        </is>
      </c>
      <c r="E139" t="inlineStr">
        <is>
          <t>11:00:00</t>
        </is>
      </c>
      <c r="F139" t="inlineStr">
        <is>
          <t>19:00:00</t>
        </is>
      </c>
      <c r="G139" t="n">
        <v>8</v>
      </c>
      <c r="H139" t="n">
        <v>0</v>
      </c>
      <c r="K139" t="n">
        <v>8</v>
      </c>
    </row>
    <row r="140">
      <c r="A140" t="inlineStr">
        <is>
          <t>2026-06-22</t>
        </is>
      </c>
      <c r="B140" t="inlineStr">
        <is>
          <t>Hazel</t>
        </is>
      </c>
      <c r="C140" t="inlineStr">
        <is>
          <t>SW Wing On</t>
        </is>
      </c>
      <c r="D140" t="inlineStr">
        <is>
          <t>Hazel</t>
        </is>
      </c>
      <c r="E140" t="inlineStr">
        <is>
          <t>11:00:00</t>
        </is>
      </c>
      <c r="F140" t="inlineStr">
        <is>
          <t>19:00:00</t>
        </is>
      </c>
      <c r="G140" t="n">
        <v>8</v>
      </c>
      <c r="H140" t="n">
        <v>0</v>
      </c>
      <c r="K140" t="n">
        <v>8</v>
      </c>
    </row>
    <row r="141">
      <c r="A141" t="inlineStr">
        <is>
          <t>2026-06-23</t>
        </is>
      </c>
      <c r="B141" t="inlineStr">
        <is>
          <t>Hazel</t>
        </is>
      </c>
      <c r="C141" t="inlineStr">
        <is>
          <t>SW Wing On</t>
        </is>
      </c>
      <c r="D141" t="inlineStr">
        <is>
          <t>Hazel</t>
        </is>
      </c>
      <c r="E141" t="inlineStr">
        <is>
          <t>11:00:00</t>
        </is>
      </c>
      <c r="F141" t="inlineStr">
        <is>
          <t>19:00:00</t>
        </is>
      </c>
      <c r="G141" t="n">
        <v>8</v>
      </c>
      <c r="H141" t="n">
        <v>0</v>
      </c>
      <c r="K141" t="n">
        <v>8</v>
      </c>
    </row>
    <row r="142">
      <c r="A142" t="inlineStr">
        <is>
          <t>2026-06-24</t>
        </is>
      </c>
      <c r="B142" t="inlineStr">
        <is>
          <t>Hazel</t>
        </is>
      </c>
      <c r="C142" t="inlineStr">
        <is>
          <t>SW Wing On</t>
        </is>
      </c>
      <c r="D142" t="inlineStr">
        <is>
          <t>Hazel</t>
        </is>
      </c>
      <c r="E142" t="inlineStr">
        <is>
          <t>11:00:00</t>
        </is>
      </c>
      <c r="F142" t="inlineStr">
        <is>
          <t>19:00:00</t>
        </is>
      </c>
      <c r="G142" t="n">
        <v>8</v>
      </c>
      <c r="H142" t="n">
        <v>0</v>
      </c>
      <c r="K142" t="n">
        <v>8</v>
      </c>
    </row>
    <row r="143">
      <c r="A143" t="inlineStr">
        <is>
          <t>2026-06-26</t>
        </is>
      </c>
      <c r="B143" t="inlineStr">
        <is>
          <t>Hazel</t>
        </is>
      </c>
      <c r="C143" t="inlineStr">
        <is>
          <t>SW Wing On</t>
        </is>
      </c>
      <c r="D143" t="inlineStr">
        <is>
          <t>Hazel</t>
        </is>
      </c>
      <c r="E143" t="inlineStr">
        <is>
          <t>11:00:00</t>
        </is>
      </c>
      <c r="F143" t="inlineStr">
        <is>
          <t>19:00:00</t>
        </is>
      </c>
      <c r="G143" t="n">
        <v>8</v>
      </c>
      <c r="H143" t="n">
        <v>0</v>
      </c>
      <c r="K143" t="n">
        <v>8</v>
      </c>
    </row>
    <row r="144">
      <c r="A144" t="inlineStr">
        <is>
          <t>2026-06-27</t>
        </is>
      </c>
      <c r="B144" t="inlineStr">
        <is>
          <t>Hazel</t>
        </is>
      </c>
      <c r="C144" t="inlineStr">
        <is>
          <t>SW Wing On</t>
        </is>
      </c>
      <c r="D144" t="inlineStr">
        <is>
          <t>Hazel</t>
        </is>
      </c>
      <c r="E144" t="inlineStr">
        <is>
          <t>11:00:00</t>
        </is>
      </c>
      <c r="F144" t="inlineStr">
        <is>
          <t>19:00:00</t>
        </is>
      </c>
      <c r="G144" t="n">
        <v>8</v>
      </c>
      <c r="H144" t="n">
        <v>0</v>
      </c>
      <c r="K144" t="n">
        <v>8</v>
      </c>
    </row>
    <row r="145">
      <c r="A145" t="inlineStr">
        <is>
          <t>2026-06-28</t>
        </is>
      </c>
      <c r="B145" t="inlineStr">
        <is>
          <t>Hazel</t>
        </is>
      </c>
      <c r="C145" t="inlineStr">
        <is>
          <t>SW Wing On</t>
        </is>
      </c>
      <c r="D145" t="inlineStr">
        <is>
          <t>Hazel</t>
        </is>
      </c>
      <c r="E145" t="inlineStr">
        <is>
          <t>11:00:00</t>
        </is>
      </c>
      <c r="F145" t="inlineStr">
        <is>
          <t>19:00:00</t>
        </is>
      </c>
      <c r="G145" t="n">
        <v>8</v>
      </c>
      <c r="H145" t="n">
        <v>0</v>
      </c>
      <c r="K145" t="n">
        <v>8</v>
      </c>
    </row>
    <row r="146">
      <c r="A146" t="inlineStr">
        <is>
          <t>2026-06-29</t>
        </is>
      </c>
      <c r="B146" t="inlineStr">
        <is>
          <t>Hazel</t>
        </is>
      </c>
      <c r="C146" t="inlineStr">
        <is>
          <t>SW Wing On</t>
        </is>
      </c>
      <c r="D146" t="inlineStr">
        <is>
          <t>Hazel</t>
        </is>
      </c>
      <c r="E146" t="inlineStr">
        <is>
          <t>11:00:00</t>
        </is>
      </c>
      <c r="F146" t="inlineStr">
        <is>
          <t>19:00:00</t>
        </is>
      </c>
      <c r="G146" t="n">
        <v>8</v>
      </c>
      <c r="H146" t="n">
        <v>0</v>
      </c>
      <c r="K146" t="n">
        <v>8</v>
      </c>
    </row>
    <row r="147">
      <c r="A147" t="inlineStr">
        <is>
          <t>2026-06-03</t>
        </is>
      </c>
      <c r="B147" t="inlineStr">
        <is>
          <t>Carol</t>
        </is>
      </c>
      <c r="C147" t="inlineStr">
        <is>
          <t>SW Wing On</t>
        </is>
      </c>
      <c r="D147" t="inlineStr">
        <is>
          <t>Carol</t>
        </is>
      </c>
      <c r="E147" t="inlineStr">
        <is>
          <t>11:00:00</t>
        </is>
      </c>
      <c r="F147" t="inlineStr">
        <is>
          <t>19:00:00</t>
        </is>
      </c>
      <c r="G147" t="n">
        <v>8.000000000000016</v>
      </c>
      <c r="H147" t="n">
        <v>0</v>
      </c>
      <c r="K147" t="n">
        <v>8.000000000000016</v>
      </c>
    </row>
    <row r="148">
      <c r="A148" t="inlineStr">
        <is>
          <t>2026-06-18</t>
        </is>
      </c>
      <c r="B148" t="inlineStr">
        <is>
          <t>Carol</t>
        </is>
      </c>
      <c r="C148" t="inlineStr">
        <is>
          <t>SW Wing On</t>
        </is>
      </c>
      <c r="D148" t="inlineStr">
        <is>
          <t>Carol</t>
        </is>
      </c>
      <c r="E148" t="inlineStr">
        <is>
          <t>11:00:00</t>
        </is>
      </c>
      <c r="F148" t="inlineStr">
        <is>
          <t>19:00:00</t>
        </is>
      </c>
      <c r="G148" t="n">
        <v>8.000000000000016</v>
      </c>
      <c r="H148" t="n">
        <v>0</v>
      </c>
      <c r="K148" t="n">
        <v>8.000000000000016</v>
      </c>
    </row>
    <row r="149">
      <c r="A149" t="inlineStr">
        <is>
          <t>2026-06-19</t>
        </is>
      </c>
      <c r="B149" t="inlineStr">
        <is>
          <t>Carol</t>
        </is>
      </c>
      <c r="C149" t="inlineStr">
        <is>
          <t>SW Wing On</t>
        </is>
      </c>
      <c r="D149" t="inlineStr">
        <is>
          <t>Carol</t>
        </is>
      </c>
      <c r="E149" t="inlineStr">
        <is>
          <t>11:00:00</t>
        </is>
      </c>
      <c r="F149" t="inlineStr">
        <is>
          <t>19:00:00</t>
        </is>
      </c>
      <c r="G149" t="n">
        <v>8.000000000000064</v>
      </c>
      <c r="H149" t="n">
        <v>0</v>
      </c>
      <c r="K149" t="n">
        <v>8.000000000000064</v>
      </c>
    </row>
    <row r="150">
      <c r="A150" t="inlineStr">
        <is>
          <t>2026-06-25</t>
        </is>
      </c>
      <c r="B150" t="inlineStr">
        <is>
          <t>Carol</t>
        </is>
      </c>
      <c r="C150" t="inlineStr">
        <is>
          <t>SW Wing On</t>
        </is>
      </c>
      <c r="D150" t="inlineStr">
        <is>
          <t>Carol</t>
        </is>
      </c>
      <c r="E150" t="inlineStr">
        <is>
          <t>11:00:00</t>
        </is>
      </c>
      <c r="F150" t="inlineStr">
        <is>
          <t>19:00:00</t>
        </is>
      </c>
      <c r="G150" t="n">
        <v>8.000000000000064</v>
      </c>
      <c r="H150" t="n">
        <v>0</v>
      </c>
      <c r="K150" t="n">
        <v>8.000000000000064</v>
      </c>
    </row>
    <row r="151">
      <c r="A151" t="inlineStr">
        <is>
          <t>2026-06-06</t>
        </is>
      </c>
      <c r="B151" t="inlineStr">
        <is>
          <t>Fan</t>
        </is>
      </c>
      <c r="C151" t="inlineStr">
        <is>
          <t>TW Aeon</t>
        </is>
      </c>
      <c r="D151" t="inlineStr">
        <is>
          <t>Fan</t>
        </is>
      </c>
      <c r="E151" t="inlineStr">
        <is>
          <t>12:00:00</t>
        </is>
      </c>
      <c r="F151" t="inlineStr">
        <is>
          <t>20:00:00</t>
        </is>
      </c>
      <c r="G151" t="n">
        <v>8</v>
      </c>
      <c r="H151" t="n">
        <v>0</v>
      </c>
      <c r="K151" t="n">
        <v>8</v>
      </c>
    </row>
    <row r="152">
      <c r="A152" t="inlineStr">
        <is>
          <t>2026-06-07</t>
        </is>
      </c>
      <c r="B152" t="inlineStr">
        <is>
          <t>Fan</t>
        </is>
      </c>
      <c r="C152" t="inlineStr">
        <is>
          <t>TW Aeon</t>
        </is>
      </c>
      <c r="D152" t="inlineStr">
        <is>
          <t>Fan</t>
        </is>
      </c>
      <c r="E152" t="inlineStr">
        <is>
          <t>12:00:00</t>
        </is>
      </c>
      <c r="F152" t="inlineStr">
        <is>
          <t>20:00:00</t>
        </is>
      </c>
      <c r="G152" t="n">
        <v>8</v>
      </c>
      <c r="H152" t="n">
        <v>0</v>
      </c>
      <c r="K152" t="n">
        <v>8</v>
      </c>
    </row>
    <row r="153">
      <c r="A153" t="inlineStr">
        <is>
          <t>2026-06-13</t>
        </is>
      </c>
      <c r="B153" t="inlineStr">
        <is>
          <t>Fan</t>
        </is>
      </c>
      <c r="C153" t="inlineStr">
        <is>
          <t>TW Aeon</t>
        </is>
      </c>
      <c r="D153" t="inlineStr">
        <is>
          <t>Fan</t>
        </is>
      </c>
      <c r="E153" t="inlineStr">
        <is>
          <t>12:00:00</t>
        </is>
      </c>
      <c r="F153" t="inlineStr">
        <is>
          <t>20:00:00</t>
        </is>
      </c>
      <c r="G153" t="n">
        <v>8</v>
      </c>
      <c r="H153" t="n">
        <v>0</v>
      </c>
      <c r="K153" t="n">
        <v>8</v>
      </c>
    </row>
    <row r="154">
      <c r="A154" t="inlineStr">
        <is>
          <t>2026-06-14</t>
        </is>
      </c>
      <c r="B154" t="inlineStr">
        <is>
          <t>Fan</t>
        </is>
      </c>
      <c r="C154" t="inlineStr">
        <is>
          <t>TW Aeon</t>
        </is>
      </c>
      <c r="D154" t="inlineStr">
        <is>
          <t>Fan</t>
        </is>
      </c>
      <c r="E154" t="inlineStr">
        <is>
          <t>12:00:00</t>
        </is>
      </c>
      <c r="F154" t="inlineStr">
        <is>
          <t>20:00:00</t>
        </is>
      </c>
      <c r="G154" t="n">
        <v>8</v>
      </c>
      <c r="H154" t="n">
        <v>0</v>
      </c>
      <c r="K154" t="n">
        <v>8</v>
      </c>
    </row>
    <row r="155">
      <c r="A155" t="inlineStr">
        <is>
          <t>2026-06-27</t>
        </is>
      </c>
      <c r="B155" t="inlineStr">
        <is>
          <t>Fan</t>
        </is>
      </c>
      <c r="C155" t="inlineStr">
        <is>
          <t>TW Aeon</t>
        </is>
      </c>
      <c r="D155" t="inlineStr">
        <is>
          <t>Fan</t>
        </is>
      </c>
      <c r="E155" t="inlineStr">
        <is>
          <t>12:00:00</t>
        </is>
      </c>
      <c r="F155" t="inlineStr">
        <is>
          <t>20:00:00</t>
        </is>
      </c>
      <c r="G155" t="n">
        <v>8</v>
      </c>
      <c r="H155" t="n">
        <v>0</v>
      </c>
      <c r="K155" t="n">
        <v>8</v>
      </c>
    </row>
    <row r="156">
      <c r="A156" t="inlineStr">
        <is>
          <t>2026-06-28</t>
        </is>
      </c>
      <c r="B156" t="inlineStr">
        <is>
          <t>Fan</t>
        </is>
      </c>
      <c r="C156" t="inlineStr">
        <is>
          <t>TW Aeon</t>
        </is>
      </c>
      <c r="D156" t="inlineStr">
        <is>
          <t>Fan</t>
        </is>
      </c>
      <c r="E156" t="inlineStr">
        <is>
          <t>12:00:00</t>
        </is>
      </c>
      <c r="F156" t="inlineStr">
        <is>
          <t>20:00:00</t>
        </is>
      </c>
      <c r="G156" t="n">
        <v>8</v>
      </c>
      <c r="H156" t="n">
        <v>0</v>
      </c>
      <c r="K15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Product Line</t>
        </is>
      </c>
      <c r="C1" s="1" t="inlineStr">
        <is>
          <t>Category</t>
        </is>
      </c>
      <c r="D1" s="1" t="inlineStr">
        <is>
          <t>Default Comm Rate</t>
        </is>
      </c>
      <c r="E1" s="1" t="inlineStr">
        <is>
          <t>Special Comm Rate</t>
        </is>
      </c>
      <c r="F1" s="1" t="inlineStr">
        <is>
          <t>Special Start</t>
        </is>
      </c>
      <c r="G1" s="1" t="inlineStr">
        <is>
          <t>Special End</t>
        </is>
      </c>
      <c r="H1" s="1" t="inlineStr">
        <is>
          <t>Effective Comm Rate</t>
        </is>
      </c>
      <c r="I1" s="1" t="inlineStr">
        <is>
          <t>Product ID</t>
        </is>
      </c>
      <c r="J1" s="1" t="inlineStr">
        <is>
          <t>Brand Code</t>
        </is>
      </c>
    </row>
    <row r="2">
      <c r="A2" t="inlineStr">
        <is>
          <t>1141/00</t>
        </is>
      </c>
      <c r="B2" t="inlineStr">
        <is>
          <t>未分類</t>
        </is>
      </c>
      <c r="C2" t="inlineStr"/>
      <c r="D2" t="n">
        <v>0.03</v>
      </c>
      <c r="E2" t="inlineStr"/>
      <c r="F2" t="inlineStr"/>
      <c r="G2" t="inlineStr"/>
      <c r="H2" t="n">
        <v>0.03</v>
      </c>
      <c r="I2" t="n">
        <v>8165</v>
      </c>
      <c r="J2" t="inlineStr">
        <is>
          <t>century_field</t>
        </is>
      </c>
    </row>
    <row r="3">
      <c r="A3" t="inlineStr">
        <is>
          <t>1775+175</t>
        </is>
      </c>
      <c r="B3" t="inlineStr">
        <is>
          <t>未分類</t>
        </is>
      </c>
      <c r="C3" t="inlineStr"/>
      <c r="D3" t="n">
        <v>0.03</v>
      </c>
      <c r="E3" t="inlineStr"/>
      <c r="F3" t="inlineStr"/>
      <c r="G3" t="inlineStr"/>
      <c r="H3" t="n">
        <v>0.03</v>
      </c>
      <c r="I3" t="n">
        <v>7599</v>
      </c>
      <c r="J3" t="inlineStr">
        <is>
          <t>century_field</t>
        </is>
      </c>
    </row>
    <row r="4">
      <c r="A4" t="inlineStr">
        <is>
          <t>210/97</t>
        </is>
      </c>
      <c r="B4" t="inlineStr">
        <is>
          <t>未分類</t>
        </is>
      </c>
      <c r="C4" t="inlineStr"/>
      <c r="D4" t="n">
        <v>0.03</v>
      </c>
      <c r="E4" t="inlineStr"/>
      <c r="F4" t="inlineStr"/>
      <c r="G4" t="inlineStr"/>
      <c r="H4" t="n">
        <v>0.03</v>
      </c>
      <c r="I4" t="n">
        <v>7748</v>
      </c>
      <c r="J4" t="inlineStr">
        <is>
          <t>century_field</t>
        </is>
      </c>
    </row>
    <row r="5">
      <c r="A5" t="inlineStr">
        <is>
          <t>225/97</t>
        </is>
      </c>
      <c r="B5" t="inlineStr">
        <is>
          <t>未分類</t>
        </is>
      </c>
      <c r="C5" t="inlineStr"/>
      <c r="D5" t="n">
        <v>0.03</v>
      </c>
      <c r="E5" t="inlineStr"/>
      <c r="F5" t="inlineStr"/>
      <c r="G5" t="inlineStr"/>
      <c r="H5" t="n">
        <v>0.03</v>
      </c>
      <c r="I5" t="n">
        <v>7999</v>
      </c>
      <c r="J5" t="inlineStr">
        <is>
          <t>century_field</t>
        </is>
      </c>
    </row>
    <row r="6">
      <c r="A6" t="inlineStr">
        <is>
          <t>2769/97</t>
        </is>
      </c>
      <c r="B6" t="inlineStr">
        <is>
          <t>未分類</t>
        </is>
      </c>
      <c r="C6" t="inlineStr"/>
      <c r="D6" t="n">
        <v>0.03</v>
      </c>
      <c r="E6" t="inlineStr"/>
      <c r="F6" t="inlineStr"/>
      <c r="G6" t="inlineStr"/>
      <c r="H6" t="n">
        <v>0.03</v>
      </c>
      <c r="I6" t="n">
        <v>7098</v>
      </c>
      <c r="J6" t="inlineStr">
        <is>
          <t>century_field</t>
        </is>
      </c>
    </row>
    <row r="7">
      <c r="A7" t="inlineStr">
        <is>
          <t>2920+201</t>
        </is>
      </c>
      <c r="B7" t="inlineStr">
        <is>
          <t>未分類</t>
        </is>
      </c>
      <c r="C7" t="inlineStr"/>
      <c r="D7" t="n">
        <v>0.03</v>
      </c>
      <c r="E7" t="inlineStr"/>
      <c r="F7" t="inlineStr"/>
      <c r="G7" t="inlineStr"/>
      <c r="H7" t="n">
        <v>0.03</v>
      </c>
      <c r="I7" t="n">
        <v>7030</v>
      </c>
      <c r="J7" t="inlineStr">
        <is>
          <t>century_field</t>
        </is>
      </c>
    </row>
    <row r="8">
      <c r="A8" t="inlineStr">
        <is>
          <t>2937+211</t>
        </is>
      </c>
      <c r="B8" t="inlineStr">
        <is>
          <t>未分類</t>
        </is>
      </c>
      <c r="C8" t="inlineStr"/>
      <c r="D8" t="n">
        <v>0.03</v>
      </c>
      <c r="E8" t="inlineStr"/>
      <c r="F8" t="inlineStr"/>
      <c r="G8" t="inlineStr"/>
      <c r="H8" t="n">
        <v>0.03</v>
      </c>
      <c r="I8" t="n">
        <v>7103</v>
      </c>
      <c r="J8" t="inlineStr">
        <is>
          <t>century_field</t>
        </is>
      </c>
    </row>
    <row r="9">
      <c r="A9" t="inlineStr">
        <is>
          <t>3000/26</t>
        </is>
      </c>
      <c r="B9" t="inlineStr">
        <is>
          <t>未分類</t>
        </is>
      </c>
      <c r="C9" t="inlineStr"/>
      <c r="D9" t="n">
        <v>0.03</v>
      </c>
      <c r="E9" t="inlineStr"/>
      <c r="F9" t="inlineStr"/>
      <c r="G9" t="inlineStr"/>
      <c r="H9" t="n">
        <v>0.03</v>
      </c>
      <c r="I9" t="n">
        <v>8177</v>
      </c>
      <c r="J9" t="inlineStr">
        <is>
          <t>century_field</t>
        </is>
      </c>
    </row>
    <row r="10">
      <c r="A10" t="inlineStr">
        <is>
          <t>3234/97</t>
        </is>
      </c>
      <c r="B10" t="inlineStr">
        <is>
          <t>未分類</t>
        </is>
      </c>
      <c r="C10" t="inlineStr"/>
      <c r="D10" t="n">
        <v>0.03</v>
      </c>
      <c r="E10" t="inlineStr"/>
      <c r="F10" t="inlineStr"/>
      <c r="G10" t="inlineStr"/>
      <c r="H10" t="n">
        <v>0.03</v>
      </c>
      <c r="I10" t="n">
        <v>7243</v>
      </c>
      <c r="J10" t="inlineStr">
        <is>
          <t>century_field</t>
        </is>
      </c>
    </row>
    <row r="11">
      <c r="A11" t="inlineStr">
        <is>
          <t>3703/97</t>
        </is>
      </c>
      <c r="B11" t="inlineStr">
        <is>
          <t>未分類</t>
        </is>
      </c>
      <c r="C11" t="inlineStr"/>
      <c r="D11" t="n">
        <v>0.03</v>
      </c>
      <c r="E11" t="inlineStr"/>
      <c r="F11" t="inlineStr"/>
      <c r="G11" t="inlineStr"/>
      <c r="H11" t="n">
        <v>0.03</v>
      </c>
      <c r="I11" t="n">
        <v>8027</v>
      </c>
      <c r="J11" t="inlineStr">
        <is>
          <t>century_field</t>
        </is>
      </c>
    </row>
    <row r="12">
      <c r="A12" t="inlineStr">
        <is>
          <t>3733+3922</t>
        </is>
      </c>
      <c r="B12" t="inlineStr">
        <is>
          <t>未分類</t>
        </is>
      </c>
      <c r="C12" t="inlineStr"/>
      <c r="D12" t="n">
        <v>0.03</v>
      </c>
      <c r="E12" t="inlineStr"/>
      <c r="F12" t="inlineStr"/>
      <c r="G12" t="inlineStr"/>
      <c r="H12" t="n">
        <v>0.03</v>
      </c>
      <c r="I12" t="n">
        <v>7027</v>
      </c>
      <c r="J12" t="inlineStr">
        <is>
          <t>century_field</t>
        </is>
      </c>
    </row>
    <row r="13">
      <c r="A13" t="inlineStr">
        <is>
          <t>3773+3922</t>
        </is>
      </c>
      <c r="B13" t="inlineStr">
        <is>
          <t>未分類</t>
        </is>
      </c>
      <c r="C13" t="inlineStr"/>
      <c r="D13" t="n">
        <v>0.03</v>
      </c>
      <c r="E13" t="inlineStr"/>
      <c r="F13" t="inlineStr"/>
      <c r="G13" t="inlineStr"/>
      <c r="H13" t="n">
        <v>0.03</v>
      </c>
      <c r="I13" t="n">
        <v>7160</v>
      </c>
      <c r="J13" t="inlineStr">
        <is>
          <t>century_field</t>
        </is>
      </c>
    </row>
    <row r="14">
      <c r="A14" t="inlineStr">
        <is>
          <t>3780/97</t>
        </is>
      </c>
      <c r="B14" t="inlineStr">
        <is>
          <t>未分類</t>
        </is>
      </c>
      <c r="C14" t="inlineStr"/>
      <c r="D14" t="n">
        <v>0.03</v>
      </c>
      <c r="E14" t="inlineStr"/>
      <c r="F14" t="inlineStr"/>
      <c r="G14" t="inlineStr"/>
      <c r="H14" t="n">
        <v>0.03</v>
      </c>
      <c r="I14" t="n">
        <v>7137</v>
      </c>
      <c r="J14" t="inlineStr">
        <is>
          <t>century_field</t>
        </is>
      </c>
    </row>
    <row r="15">
      <c r="A15" t="inlineStr">
        <is>
          <t>3811+3822</t>
        </is>
      </c>
      <c r="B15" t="inlineStr">
        <is>
          <t>未分類</t>
        </is>
      </c>
      <c r="C15" t="inlineStr"/>
      <c r="D15" t="n">
        <v>0.03</v>
      </c>
      <c r="E15" t="inlineStr"/>
      <c r="F15" t="inlineStr"/>
      <c r="G15" t="inlineStr"/>
      <c r="H15" t="n">
        <v>0.03</v>
      </c>
      <c r="I15" t="n">
        <v>7639</v>
      </c>
      <c r="J15" t="inlineStr">
        <is>
          <t>century_field</t>
        </is>
      </c>
    </row>
    <row r="16">
      <c r="A16" t="inlineStr">
        <is>
          <t>3811+3911</t>
        </is>
      </c>
      <c r="B16" t="inlineStr">
        <is>
          <t>未分類</t>
        </is>
      </c>
      <c r="C16" t="inlineStr"/>
      <c r="D16" t="n">
        <v>0.03</v>
      </c>
      <c r="E16" t="inlineStr"/>
      <c r="F16" t="inlineStr"/>
      <c r="G16" t="inlineStr"/>
      <c r="H16" t="n">
        <v>0.03</v>
      </c>
      <c r="I16" t="n">
        <v>7033</v>
      </c>
      <c r="J16" t="inlineStr">
        <is>
          <t>century_field</t>
        </is>
      </c>
    </row>
    <row r="17">
      <c r="A17" t="inlineStr">
        <is>
          <t>3811+3922</t>
        </is>
      </c>
      <c r="B17" t="inlineStr">
        <is>
          <t>未分類</t>
        </is>
      </c>
      <c r="C17" t="inlineStr"/>
      <c r="D17" t="n">
        <v>0.03</v>
      </c>
      <c r="E17" t="inlineStr"/>
      <c r="F17" t="inlineStr"/>
      <c r="G17" t="inlineStr"/>
      <c r="H17" t="n">
        <v>0.03</v>
      </c>
      <c r="I17" t="n">
        <v>7659</v>
      </c>
      <c r="J17" t="inlineStr">
        <is>
          <t>century_field</t>
        </is>
      </c>
    </row>
    <row r="18">
      <c r="A18" t="inlineStr">
        <is>
          <t>3811/00</t>
        </is>
      </c>
      <c r="B18" t="inlineStr">
        <is>
          <t>未分類</t>
        </is>
      </c>
      <c r="C18" t="inlineStr"/>
      <c r="D18" t="n">
        <v>0.03</v>
      </c>
      <c r="E18" t="inlineStr"/>
      <c r="F18" t="inlineStr"/>
      <c r="G18" t="inlineStr"/>
      <c r="H18" t="n">
        <v>0.03</v>
      </c>
      <c r="I18" t="n">
        <v>7169</v>
      </c>
      <c r="J18" t="inlineStr">
        <is>
          <t>century_field</t>
        </is>
      </c>
    </row>
    <row r="19">
      <c r="A19" t="inlineStr">
        <is>
          <t>3812+3911</t>
        </is>
      </c>
      <c r="B19" t="inlineStr">
        <is>
          <t>未分類</t>
        </is>
      </c>
      <c r="C19" t="inlineStr"/>
      <c r="D19" t="n">
        <v>0.03</v>
      </c>
      <c r="E19" t="inlineStr"/>
      <c r="F19" t="inlineStr"/>
      <c r="G19" t="inlineStr"/>
      <c r="H19" t="n">
        <v>0.03</v>
      </c>
      <c r="I19" t="n">
        <v>7813</v>
      </c>
      <c r="J19" t="inlineStr">
        <is>
          <t>century_field</t>
        </is>
      </c>
    </row>
    <row r="20">
      <c r="A20" t="inlineStr">
        <is>
          <t>3812+3912</t>
        </is>
      </c>
      <c r="B20" t="inlineStr">
        <is>
          <t>未分類</t>
        </is>
      </c>
      <c r="C20" t="inlineStr"/>
      <c r="D20" t="n">
        <v>0.03</v>
      </c>
      <c r="E20" t="inlineStr"/>
      <c r="F20" t="inlineStr"/>
      <c r="G20" t="inlineStr"/>
      <c r="H20" t="n">
        <v>0.03</v>
      </c>
      <c r="I20" t="n">
        <v>7688</v>
      </c>
      <c r="J20" t="inlineStr">
        <is>
          <t>century_field</t>
        </is>
      </c>
    </row>
    <row r="21">
      <c r="A21" t="inlineStr">
        <is>
          <t>3812+3922</t>
        </is>
      </c>
      <c r="B21" t="inlineStr">
        <is>
          <t>未分類</t>
        </is>
      </c>
      <c r="C21" t="inlineStr"/>
      <c r="D21" t="n">
        <v>0.03</v>
      </c>
      <c r="E21" t="inlineStr"/>
      <c r="F21" t="inlineStr"/>
      <c r="G21" t="inlineStr"/>
      <c r="H21" t="n">
        <v>0.03</v>
      </c>
      <c r="I21" t="n">
        <v>7031</v>
      </c>
      <c r="J21" t="inlineStr">
        <is>
          <t>century_field</t>
        </is>
      </c>
    </row>
    <row r="22">
      <c r="A22" t="inlineStr">
        <is>
          <t>3812/00</t>
        </is>
      </c>
      <c r="B22" t="inlineStr">
        <is>
          <t>未分類</t>
        </is>
      </c>
      <c r="C22" t="inlineStr"/>
      <c r="D22" t="n">
        <v>0.03</v>
      </c>
      <c r="E22" t="inlineStr"/>
      <c r="F22" t="inlineStr"/>
      <c r="G22" t="inlineStr"/>
      <c r="H22" t="n">
        <v>0.03</v>
      </c>
      <c r="I22" t="n">
        <v>7026</v>
      </c>
      <c r="J22" t="inlineStr">
        <is>
          <t>century_field</t>
        </is>
      </c>
    </row>
    <row r="23">
      <c r="A23" t="inlineStr">
        <is>
          <t>388/13</t>
        </is>
      </c>
      <c r="B23" t="inlineStr">
        <is>
          <t>未分類</t>
        </is>
      </c>
      <c r="C23" t="inlineStr"/>
      <c r="D23" t="n">
        <v>0.03</v>
      </c>
      <c r="E23" t="inlineStr"/>
      <c r="F23" t="inlineStr"/>
      <c r="G23" t="inlineStr"/>
      <c r="H23" t="n">
        <v>0.03</v>
      </c>
      <c r="I23" t="n">
        <v>7235</v>
      </c>
      <c r="J23" t="inlineStr">
        <is>
          <t>century_field</t>
        </is>
      </c>
    </row>
    <row r="24">
      <c r="A24" t="inlineStr">
        <is>
          <t>3902/00</t>
        </is>
      </c>
      <c r="B24" t="inlineStr">
        <is>
          <t>未分類</t>
        </is>
      </c>
      <c r="C24" t="inlineStr"/>
      <c r="D24" t="n">
        <v>0.03</v>
      </c>
      <c r="E24" t="inlineStr"/>
      <c r="F24" t="inlineStr"/>
      <c r="G24" t="inlineStr"/>
      <c r="H24" t="n">
        <v>0.03</v>
      </c>
      <c r="I24" t="n">
        <v>7924</v>
      </c>
      <c r="J24" t="inlineStr">
        <is>
          <t>century_field</t>
        </is>
      </c>
    </row>
    <row r="25">
      <c r="A25" t="inlineStr">
        <is>
          <t>3912+3922</t>
        </is>
      </c>
      <c r="B25" t="inlineStr">
        <is>
          <t>未分類</t>
        </is>
      </c>
      <c r="C25" t="inlineStr"/>
      <c r="D25" t="n">
        <v>0.03</v>
      </c>
      <c r="E25" t="inlineStr"/>
      <c r="F25" t="inlineStr"/>
      <c r="G25" t="inlineStr"/>
      <c r="H25" t="n">
        <v>0.03</v>
      </c>
      <c r="I25" t="n">
        <v>8028</v>
      </c>
      <c r="J25" t="inlineStr">
        <is>
          <t>century_field</t>
        </is>
      </c>
    </row>
    <row r="26">
      <c r="A26" t="inlineStr">
        <is>
          <t>4030/90</t>
        </is>
      </c>
      <c r="B26" t="inlineStr">
        <is>
          <t>未分類</t>
        </is>
      </c>
      <c r="C26" t="inlineStr"/>
      <c r="D26" t="n">
        <v>0.03</v>
      </c>
      <c r="E26" t="inlineStr"/>
      <c r="F26" t="inlineStr"/>
      <c r="G26" t="inlineStr"/>
      <c r="H26" t="n">
        <v>0.03</v>
      </c>
      <c r="I26" t="n">
        <v>7297</v>
      </c>
      <c r="J26" t="inlineStr">
        <is>
          <t>century_field</t>
        </is>
      </c>
    </row>
    <row r="27">
      <c r="A27" t="inlineStr">
        <is>
          <t>4811+2722</t>
        </is>
      </c>
      <c r="B27" t="inlineStr">
        <is>
          <t>未分類</t>
        </is>
      </c>
      <c r="C27" t="inlineStr"/>
      <c r="D27" t="n">
        <v>0.03</v>
      </c>
      <c r="E27" t="inlineStr"/>
      <c r="F27" t="inlineStr"/>
      <c r="G27" t="inlineStr"/>
      <c r="H27" t="n">
        <v>0.03</v>
      </c>
      <c r="I27" t="n">
        <v>7107</v>
      </c>
      <c r="J27" t="inlineStr">
        <is>
          <t>century_field</t>
        </is>
      </c>
    </row>
    <row r="28">
      <c r="A28" t="inlineStr">
        <is>
          <t>4902+913</t>
        </is>
      </c>
      <c r="B28" t="inlineStr">
        <is>
          <t>未分類</t>
        </is>
      </c>
      <c r="C28" t="inlineStr"/>
      <c r="D28" t="n">
        <v>0.03</v>
      </c>
      <c r="E28" t="inlineStr"/>
      <c r="F28" t="inlineStr"/>
      <c r="G28" t="inlineStr"/>
      <c r="H28" t="n">
        <v>0.03</v>
      </c>
      <c r="I28" t="n">
        <v>7581</v>
      </c>
      <c r="J28" t="inlineStr">
        <is>
          <t>century_field</t>
        </is>
      </c>
    </row>
    <row r="29">
      <c r="A29" t="inlineStr">
        <is>
          <t>4902/90</t>
        </is>
      </c>
      <c r="B29" t="inlineStr">
        <is>
          <t>未分類</t>
        </is>
      </c>
      <c r="C29" t="inlineStr"/>
      <c r="D29" t="n">
        <v>0.03</v>
      </c>
      <c r="E29" t="inlineStr"/>
      <c r="F29" t="inlineStr"/>
      <c r="G29" t="inlineStr"/>
      <c r="H29" t="n">
        <v>0.03</v>
      </c>
      <c r="I29" t="n">
        <v>7592</v>
      </c>
      <c r="J29" t="inlineStr">
        <is>
          <t>century_field</t>
        </is>
      </c>
    </row>
    <row r="30">
      <c r="A30" t="inlineStr">
        <is>
          <t>4911/80</t>
        </is>
      </c>
      <c r="B30" t="inlineStr">
        <is>
          <t>未分類</t>
        </is>
      </c>
      <c r="C30" t="inlineStr"/>
      <c r="D30" t="n">
        <v>0.03</v>
      </c>
      <c r="E30" t="inlineStr"/>
      <c r="F30" t="inlineStr"/>
      <c r="G30" t="inlineStr"/>
      <c r="H30" t="n">
        <v>0.03</v>
      </c>
      <c r="I30" t="n">
        <v>7209</v>
      </c>
      <c r="J30" t="inlineStr">
        <is>
          <t>century_field</t>
        </is>
      </c>
    </row>
    <row r="31">
      <c r="A31" t="inlineStr">
        <is>
          <t>5006/00</t>
        </is>
      </c>
      <c r="B31" t="inlineStr">
        <is>
          <t>未分類</t>
        </is>
      </c>
      <c r="C31" t="inlineStr"/>
      <c r="D31" t="n">
        <v>0.03</v>
      </c>
      <c r="E31" t="inlineStr"/>
      <c r="F31" t="inlineStr"/>
      <c r="G31" t="inlineStr"/>
      <c r="H31" t="n">
        <v>0.03</v>
      </c>
      <c r="I31" t="n">
        <v>8159</v>
      </c>
      <c r="J31" t="inlineStr">
        <is>
          <t>century_field</t>
        </is>
      </c>
    </row>
    <row r="32">
      <c r="A32" t="inlineStr">
        <is>
          <t>5020/36</t>
        </is>
      </c>
      <c r="B32" t="inlineStr">
        <is>
          <t>未分類</t>
        </is>
      </c>
      <c r="C32" t="inlineStr"/>
      <c r="D32" t="n">
        <v>0.03</v>
      </c>
      <c r="E32" t="inlineStr"/>
      <c r="F32" t="inlineStr"/>
      <c r="G32" t="inlineStr"/>
      <c r="H32" t="n">
        <v>0.03</v>
      </c>
      <c r="I32" t="n">
        <v>7264</v>
      </c>
      <c r="J32" t="inlineStr">
        <is>
          <t>century_field</t>
        </is>
      </c>
    </row>
    <row r="33">
      <c r="A33" t="inlineStr">
        <is>
          <t>5950/15</t>
        </is>
      </c>
      <c r="B33" t="inlineStr">
        <is>
          <t>未分類</t>
        </is>
      </c>
      <c r="C33" t="inlineStr"/>
      <c r="D33" t="n">
        <v>0.03</v>
      </c>
      <c r="E33" t="inlineStr"/>
      <c r="F33" t="inlineStr"/>
      <c r="G33" t="inlineStr"/>
      <c r="H33" t="n">
        <v>0.03</v>
      </c>
      <c r="I33" t="n">
        <v>8160</v>
      </c>
      <c r="J33" t="inlineStr">
        <is>
          <t>century_field</t>
        </is>
      </c>
    </row>
    <row r="34">
      <c r="A34" t="inlineStr">
        <is>
          <t>5980+3754</t>
        </is>
      </c>
      <c r="B34" t="inlineStr">
        <is>
          <t>未分類</t>
        </is>
      </c>
      <c r="C34" t="inlineStr"/>
      <c r="D34" t="n">
        <v>0.03</v>
      </c>
      <c r="E34" t="inlineStr"/>
      <c r="F34" t="inlineStr"/>
      <c r="G34" t="inlineStr"/>
      <c r="H34" t="n">
        <v>0.03</v>
      </c>
      <c r="I34" t="n">
        <v>7212</v>
      </c>
      <c r="J34" t="inlineStr">
        <is>
          <t>century_field</t>
        </is>
      </c>
    </row>
    <row r="35">
      <c r="A35" t="inlineStr">
        <is>
          <t>604/90</t>
        </is>
      </c>
      <c r="B35" t="inlineStr">
        <is>
          <t>未分類</t>
        </is>
      </c>
      <c r="C35" t="inlineStr"/>
      <c r="D35" t="n">
        <v>0.03</v>
      </c>
      <c r="E35" t="inlineStr"/>
      <c r="F35" t="inlineStr"/>
      <c r="G35" t="inlineStr"/>
      <c r="H35" t="n">
        <v>0.03</v>
      </c>
      <c r="I35" t="n">
        <v>7419</v>
      </c>
      <c r="J35" t="inlineStr">
        <is>
          <t>century_field</t>
        </is>
      </c>
    </row>
    <row r="36">
      <c r="A36" t="inlineStr">
        <is>
          <t>660/02</t>
        </is>
      </c>
      <c r="B36" t="inlineStr">
        <is>
          <t>未分類</t>
        </is>
      </c>
      <c r="C36" t="inlineStr"/>
      <c r="D36" t="n">
        <v>0.03</v>
      </c>
      <c r="E36" t="inlineStr"/>
      <c r="F36" t="inlineStr"/>
      <c r="G36" t="inlineStr"/>
      <c r="H36" t="n">
        <v>0.03</v>
      </c>
      <c r="I36" t="n">
        <v>8168</v>
      </c>
      <c r="J36" t="inlineStr">
        <is>
          <t>century_field</t>
        </is>
      </c>
    </row>
    <row r="37">
      <c r="A37" t="inlineStr">
        <is>
          <t>66110</t>
        </is>
      </c>
      <c r="B37" t="inlineStr">
        <is>
          <t>RobotPlus LED 檯燈 66110</t>
        </is>
      </c>
      <c r="C37" t="inlineStr"/>
      <c r="D37" t="n">
        <v>0.03</v>
      </c>
      <c r="E37" t="inlineStr"/>
      <c r="F37" t="inlineStr"/>
      <c r="G37" t="inlineStr"/>
      <c r="H37" t="n">
        <v>0.03</v>
      </c>
      <c r="I37" t="n">
        <v>1</v>
      </c>
      <c r="J37" t="inlineStr">
        <is>
          <t>century_field</t>
        </is>
      </c>
    </row>
    <row r="38">
      <c r="A38" t="inlineStr">
        <is>
          <t>66136</t>
        </is>
      </c>
      <c r="B38" t="inlineStr">
        <is>
          <t>Einstein 全新旗艦級LED護眼檯燈</t>
        </is>
      </c>
      <c r="C38" t="inlineStr"/>
      <c r="D38" t="n">
        <v>0.03</v>
      </c>
      <c r="E38" t="inlineStr"/>
      <c r="F38" t="inlineStr"/>
      <c r="G38" t="inlineStr"/>
      <c r="H38" t="n">
        <v>0.03</v>
      </c>
      <c r="I38" t="n">
        <v>2</v>
      </c>
      <c r="J38" t="inlineStr">
        <is>
          <t>century_field</t>
        </is>
      </c>
    </row>
    <row r="39">
      <c r="A39" t="inlineStr">
        <is>
          <t>66145</t>
        </is>
      </c>
      <c r="B39" t="inlineStr">
        <is>
          <t>JadePlus LED Table Lamp 66145</t>
        </is>
      </c>
      <c r="C39" t="inlineStr"/>
      <c r="D39" t="n">
        <v>0.03</v>
      </c>
      <c r="E39" t="inlineStr"/>
      <c r="F39" t="inlineStr"/>
      <c r="G39" t="inlineStr"/>
      <c r="H39" t="n">
        <v>0.03</v>
      </c>
      <c r="I39" t="n">
        <v>3</v>
      </c>
      <c r="J39" t="inlineStr">
        <is>
          <t>century_field</t>
        </is>
      </c>
    </row>
    <row r="40">
      <c r="A40" t="inlineStr">
        <is>
          <t>6857/20</t>
        </is>
      </c>
      <c r="B40" t="inlineStr">
        <is>
          <t>未分類</t>
        </is>
      </c>
      <c r="C40" t="inlineStr"/>
      <c r="D40" t="n">
        <v>0.03</v>
      </c>
      <c r="E40" t="inlineStr"/>
      <c r="F40" t="inlineStr"/>
      <c r="G40" t="inlineStr"/>
      <c r="H40" t="n">
        <v>0.03</v>
      </c>
      <c r="I40" t="n">
        <v>8158</v>
      </c>
      <c r="J40" t="inlineStr">
        <is>
          <t>century_field</t>
        </is>
      </c>
    </row>
    <row r="41">
      <c r="A41" t="inlineStr">
        <is>
          <t>6901+541</t>
        </is>
      </c>
      <c r="B41" t="inlineStr">
        <is>
          <t>未分類</t>
        </is>
      </c>
      <c r="C41" t="inlineStr"/>
      <c r="D41" t="n">
        <v>0.03</v>
      </c>
      <c r="E41" t="inlineStr"/>
      <c r="F41" t="inlineStr"/>
      <c r="G41" t="inlineStr"/>
      <c r="H41" t="n">
        <v>0.03</v>
      </c>
      <c r="I41" t="n">
        <v>7028</v>
      </c>
      <c r="J41" t="inlineStr">
        <is>
          <t>century_field</t>
        </is>
      </c>
    </row>
    <row r="42">
      <c r="A42" t="inlineStr">
        <is>
          <t>6910+1775</t>
        </is>
      </c>
      <c r="B42" t="inlineStr">
        <is>
          <t>未分類</t>
        </is>
      </c>
      <c r="C42" t="inlineStr"/>
      <c r="D42" t="n">
        <v>0.03</v>
      </c>
      <c r="E42" t="inlineStr"/>
      <c r="F42" t="inlineStr"/>
      <c r="G42" t="inlineStr"/>
      <c r="H42" t="n">
        <v>0.03</v>
      </c>
      <c r="I42" t="n">
        <v>7373</v>
      </c>
      <c r="J42" t="inlineStr">
        <is>
          <t>century_field</t>
        </is>
      </c>
    </row>
    <row r="43">
      <c r="A43" t="inlineStr">
        <is>
          <t>6910+550</t>
        </is>
      </c>
      <c r="B43" t="inlineStr">
        <is>
          <t>未分類</t>
        </is>
      </c>
      <c r="C43" t="inlineStr"/>
      <c r="D43" t="n">
        <v>0.03</v>
      </c>
      <c r="E43" t="inlineStr"/>
      <c r="F43" t="inlineStr"/>
      <c r="G43" t="inlineStr"/>
      <c r="H43" t="n">
        <v>0.03</v>
      </c>
      <c r="I43" t="n">
        <v>7029</v>
      </c>
      <c r="J43" t="inlineStr">
        <is>
          <t>century_field</t>
        </is>
      </c>
    </row>
    <row r="44">
      <c r="A44" t="inlineStr">
        <is>
          <t>6910/90</t>
        </is>
      </c>
      <c r="B44" t="inlineStr">
        <is>
          <t>未分類</t>
        </is>
      </c>
      <c r="C44" t="inlineStr"/>
      <c r="D44" t="n">
        <v>0.03</v>
      </c>
      <c r="E44" t="inlineStr"/>
      <c r="F44" t="inlineStr"/>
      <c r="G44" t="inlineStr"/>
      <c r="H44" t="n">
        <v>0.03</v>
      </c>
      <c r="I44" t="n">
        <v>7155</v>
      </c>
      <c r="J44" t="inlineStr">
        <is>
          <t>century_field</t>
        </is>
      </c>
    </row>
    <row r="45">
      <c r="A45" t="inlineStr">
        <is>
          <t>6911+553</t>
        </is>
      </c>
      <c r="B45" t="inlineStr">
        <is>
          <t>未分類</t>
        </is>
      </c>
      <c r="C45" t="inlineStr"/>
      <c r="D45" t="n">
        <v>0.03</v>
      </c>
      <c r="E45" t="inlineStr"/>
      <c r="F45" t="inlineStr"/>
      <c r="G45" t="inlineStr"/>
      <c r="H45" t="n">
        <v>0.03</v>
      </c>
      <c r="I45" t="n">
        <v>7104</v>
      </c>
      <c r="J45" t="inlineStr">
        <is>
          <t>century_field</t>
        </is>
      </c>
    </row>
    <row r="46">
      <c r="A46" t="inlineStr">
        <is>
          <t>6920WH</t>
        </is>
      </c>
      <c r="B46" t="inlineStr">
        <is>
          <t>未分類</t>
        </is>
      </c>
      <c r="C46" t="inlineStr"/>
      <c r="D46" t="n">
        <v>0.03</v>
      </c>
      <c r="E46" t="inlineStr"/>
      <c r="F46" t="inlineStr"/>
      <c r="G46" t="inlineStr"/>
      <c r="H46" t="n">
        <v>0.03</v>
      </c>
      <c r="I46" t="n">
        <v>7034</v>
      </c>
      <c r="J46" t="inlineStr">
        <is>
          <t>century_field</t>
        </is>
      </c>
    </row>
    <row r="47">
      <c r="A47" t="inlineStr">
        <is>
          <t>7063/90</t>
        </is>
      </c>
      <c r="B47" t="inlineStr">
        <is>
          <t>未分類</t>
        </is>
      </c>
      <c r="C47" t="inlineStr"/>
      <c r="D47" t="n">
        <v>0.03</v>
      </c>
      <c r="E47" t="inlineStr"/>
      <c r="F47" t="inlineStr"/>
      <c r="G47" t="inlineStr"/>
      <c r="H47" t="n">
        <v>0.03</v>
      </c>
      <c r="I47" t="n">
        <v>7344</v>
      </c>
      <c r="J47" t="inlineStr">
        <is>
          <t>century_field</t>
        </is>
      </c>
    </row>
    <row r="48">
      <c r="A48" t="inlineStr">
        <is>
          <t>805/97</t>
        </is>
      </c>
      <c r="B48" t="inlineStr">
        <is>
          <t>未分類</t>
        </is>
      </c>
      <c r="C48" t="inlineStr"/>
      <c r="D48" t="n">
        <v>0.03</v>
      </c>
      <c r="E48" t="inlineStr"/>
      <c r="F48" t="inlineStr"/>
      <c r="G48" t="inlineStr"/>
      <c r="H48" t="n">
        <v>0.03</v>
      </c>
      <c r="I48" t="n">
        <v>7604</v>
      </c>
      <c r="J48" t="inlineStr">
        <is>
          <t>century_field</t>
        </is>
      </c>
    </row>
    <row r="49">
      <c r="A49" t="inlineStr">
        <is>
          <t>806/97</t>
        </is>
      </c>
      <c r="B49" t="inlineStr">
        <is>
          <t>未分類</t>
        </is>
      </c>
      <c r="C49" t="inlineStr"/>
      <c r="D49" t="n">
        <v>0.03</v>
      </c>
      <c r="E49" t="inlineStr"/>
      <c r="F49" t="inlineStr"/>
      <c r="G49" t="inlineStr"/>
      <c r="H49" t="n">
        <v>0.03</v>
      </c>
      <c r="I49" t="n">
        <v>7166</v>
      </c>
      <c r="J49" t="inlineStr">
        <is>
          <t>century_field</t>
        </is>
      </c>
    </row>
    <row r="50">
      <c r="A50" t="inlineStr">
        <is>
          <t>810/90</t>
        </is>
      </c>
      <c r="B50" t="inlineStr">
        <is>
          <t>未分類</t>
        </is>
      </c>
      <c r="C50" t="inlineStr"/>
      <c r="D50" t="n">
        <v>0.03</v>
      </c>
      <c r="E50" t="inlineStr"/>
      <c r="F50" t="inlineStr"/>
      <c r="G50" t="inlineStr"/>
      <c r="H50" t="n">
        <v>0.03</v>
      </c>
      <c r="I50" t="n">
        <v>7108</v>
      </c>
      <c r="J50" t="inlineStr">
        <is>
          <t>century_field</t>
        </is>
      </c>
    </row>
    <row r="51">
      <c r="A51" t="inlineStr">
        <is>
          <t>825/97</t>
        </is>
      </c>
      <c r="B51" t="inlineStr">
        <is>
          <t>未分類</t>
        </is>
      </c>
      <c r="C51" t="inlineStr"/>
      <c r="D51" t="n">
        <v>0.03</v>
      </c>
      <c r="E51" t="inlineStr"/>
      <c r="F51" t="inlineStr"/>
      <c r="G51" t="inlineStr"/>
      <c r="H51" t="n">
        <v>0.03</v>
      </c>
      <c r="I51" t="n">
        <v>7603</v>
      </c>
      <c r="J51" t="inlineStr">
        <is>
          <t>century_field</t>
        </is>
      </c>
    </row>
    <row r="52">
      <c r="A52" t="inlineStr">
        <is>
          <t>827 PLC2P</t>
        </is>
      </c>
      <c r="B52" t="inlineStr">
        <is>
          <t>18W 827 2針4頭PL-C慳電管</t>
        </is>
      </c>
      <c r="C52" t="inlineStr"/>
      <c r="D52" t="n">
        <v>0.03</v>
      </c>
      <c r="E52" t="inlineStr"/>
      <c r="F52" t="inlineStr"/>
      <c r="G52" t="inlineStr"/>
      <c r="H52" t="n">
        <v>0.03</v>
      </c>
      <c r="I52" t="n">
        <v>4</v>
      </c>
      <c r="J52" t="inlineStr">
        <is>
          <t>century_field</t>
        </is>
      </c>
    </row>
    <row r="53">
      <c r="A53" t="inlineStr">
        <is>
          <t>837/03</t>
        </is>
      </c>
      <c r="B53" t="inlineStr">
        <is>
          <t>未分類</t>
        </is>
      </c>
      <c r="C53" t="inlineStr"/>
      <c r="D53" t="n">
        <v>0.03</v>
      </c>
      <c r="E53" t="inlineStr"/>
      <c r="F53" t="inlineStr"/>
      <c r="G53" t="inlineStr"/>
      <c r="H53" t="n">
        <v>0.03</v>
      </c>
      <c r="I53" t="n">
        <v>8162</v>
      </c>
      <c r="J53" t="inlineStr">
        <is>
          <t>century_field</t>
        </is>
      </c>
    </row>
    <row r="54">
      <c r="A54" t="inlineStr">
        <is>
          <t>8906/97</t>
        </is>
      </c>
      <c r="B54" t="inlineStr">
        <is>
          <t>未分類</t>
        </is>
      </c>
      <c r="C54" t="inlineStr"/>
      <c r="D54" t="n">
        <v>0.03</v>
      </c>
      <c r="E54" t="inlineStr"/>
      <c r="F54" t="inlineStr"/>
      <c r="G54" t="inlineStr"/>
      <c r="H54" t="n">
        <v>0.03</v>
      </c>
      <c r="I54" t="n">
        <v>7612</v>
      </c>
      <c r="J54" t="inlineStr">
        <is>
          <t>century_field</t>
        </is>
      </c>
    </row>
    <row r="55">
      <c r="A55" t="inlineStr">
        <is>
          <t>9028/90</t>
        </is>
      </c>
      <c r="B55" t="inlineStr">
        <is>
          <t>未分類</t>
        </is>
      </c>
      <c r="C55" t="inlineStr"/>
      <c r="D55" t="n">
        <v>0.03</v>
      </c>
      <c r="E55" t="inlineStr"/>
      <c r="F55" t="inlineStr"/>
      <c r="G55" t="inlineStr"/>
      <c r="H55" t="n">
        <v>0.03</v>
      </c>
      <c r="I55" t="n">
        <v>7398</v>
      </c>
      <c r="J55" t="inlineStr">
        <is>
          <t>century_field</t>
        </is>
      </c>
    </row>
    <row r="56">
      <c r="A56" t="inlineStr">
        <is>
          <t>921001916207</t>
        </is>
      </c>
      <c r="B56" t="inlineStr">
        <is>
          <t>藍牙 吊燈</t>
        </is>
      </c>
      <c r="C56" t="inlineStr"/>
      <c r="D56" t="n">
        <v>0.03</v>
      </c>
      <c r="E56" t="inlineStr"/>
      <c r="F56" t="inlineStr"/>
      <c r="G56" t="inlineStr"/>
      <c r="H56" t="n">
        <v>0.03</v>
      </c>
      <c r="I56" t="n">
        <v>5</v>
      </c>
      <c r="J56" t="inlineStr">
        <is>
          <t>century_field</t>
        </is>
      </c>
    </row>
    <row r="57">
      <c r="A57" t="inlineStr">
        <is>
          <t>927904882701</t>
        </is>
      </c>
      <c r="B57" t="inlineStr">
        <is>
          <t>MASTER PL-C 13W/827/2P 1CT/5X10BOX</t>
        </is>
      </c>
      <c r="C57" t="inlineStr"/>
      <c r="D57" t="n">
        <v>0.03</v>
      </c>
      <c r="E57" t="inlineStr"/>
      <c r="F57" t="inlineStr"/>
      <c r="G57" t="inlineStr"/>
      <c r="H57" t="n">
        <v>0.03</v>
      </c>
      <c r="I57" t="n">
        <v>6</v>
      </c>
      <c r="J57" t="inlineStr">
        <is>
          <t>century_field</t>
        </is>
      </c>
    </row>
    <row r="58">
      <c r="A58" t="inlineStr">
        <is>
          <t>929001142207</t>
        </is>
      </c>
      <c r="B58" t="inlineStr">
        <is>
          <t>LED 4-25W E14 2700K 230V B35 CL ND_AP</t>
        </is>
      </c>
      <c r="C58" t="inlineStr"/>
      <c r="D58" t="n">
        <v>0.03</v>
      </c>
      <c r="E58" t="inlineStr"/>
      <c r="F58" t="inlineStr"/>
      <c r="G58" t="inlineStr"/>
      <c r="H58" t="n">
        <v>0.03</v>
      </c>
      <c r="I58" t="n">
        <v>7</v>
      </c>
      <c r="J58" t="inlineStr">
        <is>
          <t>century_field</t>
        </is>
      </c>
    </row>
    <row r="59">
      <c r="A59" t="inlineStr">
        <is>
          <t>929001142507</t>
        </is>
      </c>
      <c r="B59" t="inlineStr">
        <is>
          <t>LED 5.5-40W E14 2700K 230V B35 CL ND_AP</t>
        </is>
      </c>
      <c r="C59" t="inlineStr"/>
      <c r="D59" t="n">
        <v>0.03</v>
      </c>
      <c r="E59" t="inlineStr"/>
      <c r="F59" t="inlineStr"/>
      <c r="G59" t="inlineStr"/>
      <c r="H59" t="n">
        <v>0.03</v>
      </c>
      <c r="I59" t="n">
        <v>8</v>
      </c>
      <c r="J59" t="inlineStr">
        <is>
          <t>century_field</t>
        </is>
      </c>
    </row>
    <row r="60">
      <c r="A60" t="inlineStr">
        <is>
          <t>929001146207</t>
        </is>
      </c>
      <c r="B60" t="inlineStr">
        <is>
          <t>LED MR16 5.5-50W WW 36D ND</t>
        </is>
      </c>
      <c r="C60" t="inlineStr"/>
      <c r="D60" t="n">
        <v>0.03</v>
      </c>
      <c r="E60" t="inlineStr"/>
      <c r="F60" t="inlineStr"/>
      <c r="G60" t="inlineStr"/>
      <c r="H60" t="n">
        <v>0.03</v>
      </c>
      <c r="I60" t="n">
        <v>9</v>
      </c>
      <c r="J60" t="inlineStr">
        <is>
          <t>century_field</t>
        </is>
      </c>
    </row>
    <row r="61">
      <c r="A61" t="inlineStr">
        <is>
          <t>929001915538</t>
        </is>
      </c>
      <c r="B61" t="inlineStr">
        <is>
          <t>LEDBULB 8W E27 6500K 230V 1PF/12 APR</t>
        </is>
      </c>
      <c r="C61" t="inlineStr"/>
      <c r="D61" t="n">
        <v>0.03</v>
      </c>
      <c r="E61" t="inlineStr"/>
      <c r="F61" t="inlineStr"/>
      <c r="G61" t="inlineStr"/>
      <c r="H61" t="n">
        <v>0.03</v>
      </c>
      <c r="I61" t="n">
        <v>10</v>
      </c>
      <c r="J61" t="inlineStr">
        <is>
          <t>century_field</t>
        </is>
      </c>
    </row>
    <row r="62">
      <c r="A62" t="inlineStr">
        <is>
          <t>929001916338</t>
        </is>
      </c>
      <c r="B62" t="inlineStr">
        <is>
          <t>LEDBULB 8W E27 6500K 230V 1PF/12 APR</t>
        </is>
      </c>
      <c r="C62" t="inlineStr"/>
      <c r="D62" t="n">
        <v>0.03</v>
      </c>
      <c r="E62" t="inlineStr"/>
      <c r="F62" t="inlineStr"/>
      <c r="G62" t="inlineStr"/>
      <c r="H62" t="n">
        <v>0.03</v>
      </c>
      <c r="I62" t="n">
        <v>11</v>
      </c>
      <c r="J62" t="inlineStr">
        <is>
          <t>century_field</t>
        </is>
      </c>
    </row>
    <row r="63">
      <c r="A63" t="inlineStr">
        <is>
          <t>929001916437</t>
        </is>
      </c>
      <c r="B63" t="inlineStr">
        <is>
          <t>LEDBULB 12W E27 6500K 230V 1PF/12 APR</t>
        </is>
      </c>
      <c r="C63" t="inlineStr"/>
      <c r="D63" t="n">
        <v>0.03</v>
      </c>
      <c r="E63" t="inlineStr"/>
      <c r="F63" t="inlineStr"/>
      <c r="G63" t="inlineStr"/>
      <c r="H63" t="n">
        <v>0.03</v>
      </c>
      <c r="I63" t="n">
        <v>12</v>
      </c>
      <c r="J63" t="inlineStr">
        <is>
          <t>century_field</t>
        </is>
      </c>
    </row>
    <row r="64">
      <c r="A64" t="inlineStr">
        <is>
          <t>929002039707</t>
        </is>
      </c>
      <c r="B64" t="inlineStr">
        <is>
          <t>LEDBULB 4W E27 6500K 230V P45 1X12</t>
        </is>
      </c>
      <c r="C64" t="inlineStr"/>
      <c r="D64" t="n">
        <v>0.03</v>
      </c>
      <c r="E64" t="inlineStr"/>
      <c r="F64" t="inlineStr"/>
      <c r="G64" t="inlineStr"/>
      <c r="H64" t="n">
        <v>0.03</v>
      </c>
      <c r="I64" t="n">
        <v>13</v>
      </c>
      <c r="J64" t="inlineStr">
        <is>
          <t>century_field</t>
        </is>
      </c>
    </row>
    <row r="65">
      <c r="A65" t="inlineStr">
        <is>
          <t>9290030063</t>
        </is>
      </c>
      <c r="B65" t="inlineStr">
        <is>
          <t>燈</t>
        </is>
      </c>
      <c r="C65" t="inlineStr"/>
      <c r="D65" t="n">
        <v>0.03</v>
      </c>
      <c r="E65" t="inlineStr"/>
      <c r="F65" t="inlineStr"/>
      <c r="G65" t="inlineStr"/>
      <c r="H65" t="n">
        <v>0.03</v>
      </c>
      <c r="I65" t="n">
        <v>14</v>
      </c>
      <c r="J65" t="inlineStr">
        <is>
          <t>century_field</t>
        </is>
      </c>
    </row>
    <row r="66">
      <c r="A66" t="inlineStr">
        <is>
          <t>9290030069</t>
        </is>
      </c>
      <c r="B66" t="inlineStr">
        <is>
          <t>燈</t>
        </is>
      </c>
      <c r="C66" t="inlineStr"/>
      <c r="D66" t="n">
        <v>0.03</v>
      </c>
      <c r="E66" t="inlineStr"/>
      <c r="F66" t="inlineStr"/>
      <c r="G66" t="inlineStr"/>
      <c r="H66" t="n">
        <v>0.03</v>
      </c>
      <c r="I66" t="n">
        <v>15</v>
      </c>
      <c r="J66" t="inlineStr">
        <is>
          <t>century_field</t>
        </is>
      </c>
    </row>
    <row r="67">
      <c r="A67" t="inlineStr">
        <is>
          <t>9290030075</t>
        </is>
      </c>
      <c r="B67" t="inlineStr">
        <is>
          <t>燈</t>
        </is>
      </c>
      <c r="C67" t="inlineStr"/>
      <c r="D67" t="n">
        <v>0.03</v>
      </c>
      <c r="E67" t="inlineStr"/>
      <c r="F67" t="inlineStr"/>
      <c r="G67" t="inlineStr"/>
      <c r="H67" t="n">
        <v>0.03</v>
      </c>
      <c r="I67" t="n">
        <v>16</v>
      </c>
      <c r="J67" t="inlineStr">
        <is>
          <t>century_field</t>
        </is>
      </c>
    </row>
    <row r="68">
      <c r="A68" t="inlineStr">
        <is>
          <t>9290030081</t>
        </is>
      </c>
      <c r="B68" t="inlineStr">
        <is>
          <t>燈</t>
        </is>
      </c>
      <c r="C68" t="inlineStr"/>
      <c r="D68" t="n">
        <v>0.03</v>
      </c>
      <c r="E68" t="inlineStr"/>
      <c r="F68" t="inlineStr"/>
      <c r="G68" t="inlineStr"/>
      <c r="H68" t="n">
        <v>0.03</v>
      </c>
      <c r="I68" t="n">
        <v>17</v>
      </c>
      <c r="J68" t="inlineStr">
        <is>
          <t>century_field</t>
        </is>
      </c>
    </row>
    <row r="69">
      <c r="A69" t="inlineStr">
        <is>
          <t>929689238707</t>
        </is>
      </c>
      <c r="B69" t="inlineStr">
        <is>
          <t>GENIE 8W WW E27 220-240V 2PF/6</t>
        </is>
      </c>
      <c r="C69" t="inlineStr"/>
      <c r="D69" t="n">
        <v>0.03</v>
      </c>
      <c r="E69" t="inlineStr"/>
      <c r="F69" t="inlineStr"/>
      <c r="G69" t="inlineStr"/>
      <c r="H69" t="n">
        <v>0.03</v>
      </c>
      <c r="I69" t="n">
        <v>18</v>
      </c>
      <c r="J69" t="inlineStr">
        <is>
          <t>century_field</t>
        </is>
      </c>
    </row>
    <row r="70">
      <c r="A70" t="inlineStr">
        <is>
          <t>929689239008</t>
        </is>
      </c>
      <c r="B70" t="inlineStr">
        <is>
          <t>GENIE 11W WW E27 220-240V 2PF/6</t>
        </is>
      </c>
      <c r="C70" t="inlineStr"/>
      <c r="D70" t="n">
        <v>0.03</v>
      </c>
      <c r="E70" t="inlineStr"/>
      <c r="F70" t="inlineStr"/>
      <c r="G70" t="inlineStr"/>
      <c r="H70" t="n">
        <v>0.03</v>
      </c>
      <c r="I70" t="n">
        <v>19</v>
      </c>
      <c r="J70" t="inlineStr">
        <is>
          <t>century_field</t>
        </is>
      </c>
    </row>
    <row r="71">
      <c r="A71" t="inlineStr">
        <is>
          <t>929689239208</t>
        </is>
      </c>
      <c r="B71" t="inlineStr">
        <is>
          <t>GENIE 11W CDL E27 220-240V 2PF/6</t>
        </is>
      </c>
      <c r="C71" t="inlineStr"/>
      <c r="D71" t="n">
        <v>0.03</v>
      </c>
      <c r="E71" t="inlineStr"/>
      <c r="F71" t="inlineStr"/>
      <c r="G71" t="inlineStr"/>
      <c r="H71" t="n">
        <v>0.03</v>
      </c>
      <c r="I71" t="n">
        <v>20</v>
      </c>
      <c r="J71" t="inlineStr">
        <is>
          <t>century_field</t>
        </is>
      </c>
    </row>
    <row r="72">
      <c r="A72" t="inlineStr">
        <is>
          <t>929689239308</t>
        </is>
      </c>
      <c r="B72" t="inlineStr">
        <is>
          <t>GENIE 14W WW E27 220-240V 2PF/6</t>
        </is>
      </c>
      <c r="C72" t="inlineStr"/>
      <c r="D72" t="n">
        <v>0.03</v>
      </c>
      <c r="E72" t="inlineStr"/>
      <c r="F72" t="inlineStr"/>
      <c r="G72" t="inlineStr"/>
      <c r="H72" t="n">
        <v>0.03</v>
      </c>
      <c r="I72" t="n">
        <v>21</v>
      </c>
      <c r="J72" t="inlineStr">
        <is>
          <t>century_field</t>
        </is>
      </c>
    </row>
    <row r="73">
      <c r="A73" t="inlineStr">
        <is>
          <t>929689239509</t>
        </is>
      </c>
      <c r="B73" t="inlineStr">
        <is>
          <t>GENIE 14W CDL E27 220-240V 2PF/6</t>
        </is>
      </c>
      <c r="C73" t="inlineStr"/>
      <c r="D73" t="n">
        <v>0.03</v>
      </c>
      <c r="E73" t="inlineStr"/>
      <c r="F73" t="inlineStr"/>
      <c r="G73" t="inlineStr"/>
      <c r="H73" t="n">
        <v>0.03</v>
      </c>
      <c r="I73" t="n">
        <v>22</v>
      </c>
      <c r="J73" t="inlineStr">
        <is>
          <t>century_field</t>
        </is>
      </c>
    </row>
    <row r="74">
      <c r="A74" t="inlineStr">
        <is>
          <t>929689240206</t>
        </is>
      </c>
      <c r="B74" t="inlineStr">
        <is>
          <t>GENIE 8W WW E14 220-240V 2PF/6</t>
        </is>
      </c>
      <c r="C74" t="inlineStr"/>
      <c r="D74" t="n">
        <v>0.03</v>
      </c>
      <c r="E74" t="inlineStr"/>
      <c r="F74" t="inlineStr"/>
      <c r="G74" t="inlineStr"/>
      <c r="H74" t="n">
        <v>0.03</v>
      </c>
      <c r="I74" t="n">
        <v>23</v>
      </c>
      <c r="J74" t="inlineStr">
        <is>
          <t>century_field</t>
        </is>
      </c>
    </row>
    <row r="75">
      <c r="A75" t="inlineStr">
        <is>
          <t>929689240405</t>
        </is>
      </c>
      <c r="B75" t="inlineStr">
        <is>
          <t>GENIE 8W CDL E14 220-240V 2PF/6</t>
        </is>
      </c>
      <c r="C75" t="inlineStr"/>
      <c r="D75" t="n">
        <v>0.03</v>
      </c>
      <c r="E75" t="inlineStr"/>
      <c r="F75" t="inlineStr"/>
      <c r="G75" t="inlineStr"/>
      <c r="H75" t="n">
        <v>0.03</v>
      </c>
      <c r="I75" t="n">
        <v>24</v>
      </c>
      <c r="J75" t="inlineStr">
        <is>
          <t>century_field</t>
        </is>
      </c>
    </row>
    <row r="76">
      <c r="A76" t="inlineStr">
        <is>
          <t>929689240505</t>
        </is>
      </c>
      <c r="B76" t="inlineStr">
        <is>
          <t>GENIE 11W WW E14 220-240V 2PF/6</t>
        </is>
      </c>
      <c r="C76" t="inlineStr"/>
      <c r="D76" t="n">
        <v>0.03</v>
      </c>
      <c r="E76" t="inlineStr"/>
      <c r="F76" t="inlineStr"/>
      <c r="G76" t="inlineStr"/>
      <c r="H76" t="n">
        <v>0.03</v>
      </c>
      <c r="I76" t="n">
        <v>25</v>
      </c>
      <c r="J76" t="inlineStr">
        <is>
          <t>century_field</t>
        </is>
      </c>
    </row>
    <row r="77">
      <c r="A77" t="inlineStr">
        <is>
          <t>929689240605</t>
        </is>
      </c>
      <c r="B77" t="inlineStr">
        <is>
          <t>GENIE 11W CDL E14 220-240V 2PF/6</t>
        </is>
      </c>
      <c r="C77" t="inlineStr"/>
      <c r="D77" t="n">
        <v>0.03</v>
      </c>
      <c r="E77" t="inlineStr"/>
      <c r="F77" t="inlineStr"/>
      <c r="G77" t="inlineStr"/>
      <c r="H77" t="n">
        <v>0.03</v>
      </c>
      <c r="I77" t="n">
        <v>26</v>
      </c>
      <c r="J77" t="inlineStr">
        <is>
          <t>century_field</t>
        </is>
      </c>
    </row>
    <row r="78">
      <c r="A78" t="inlineStr">
        <is>
          <t>92968924505</t>
        </is>
      </c>
      <c r="B78" t="inlineStr">
        <is>
          <t>GENIE 11W WW E14 220-240V 2PF/6</t>
        </is>
      </c>
      <c r="C78" t="inlineStr"/>
      <c r="D78" t="n">
        <v>0.03</v>
      </c>
      <c r="E78" t="inlineStr"/>
      <c r="F78" t="inlineStr"/>
      <c r="G78" t="inlineStr"/>
      <c r="H78" t="n">
        <v>0.03</v>
      </c>
      <c r="I78" t="n">
        <v>27</v>
      </c>
      <c r="J78" t="inlineStr">
        <is>
          <t>century_field</t>
        </is>
      </c>
    </row>
    <row r="79">
      <c r="A79" t="inlineStr">
        <is>
          <t>929689381503</t>
        </is>
      </c>
      <c r="B79" t="inlineStr">
        <is>
          <t>TORNADO 12W WW E14 220-240V 1PH/12</t>
        </is>
      </c>
      <c r="C79" t="inlineStr"/>
      <c r="D79" t="n">
        <v>0.03</v>
      </c>
      <c r="E79" t="inlineStr"/>
      <c r="F79" t="inlineStr"/>
      <c r="G79" t="inlineStr"/>
      <c r="H79" t="n">
        <v>0.03</v>
      </c>
      <c r="I79" t="n">
        <v>28</v>
      </c>
      <c r="J79" t="inlineStr">
        <is>
          <t>century_field</t>
        </is>
      </c>
    </row>
    <row r="80">
      <c r="A80" t="inlineStr">
        <is>
          <t>929689381603</t>
        </is>
      </c>
      <c r="B80" t="inlineStr">
        <is>
          <t>TORNADO 12W CDL E14 220-240V 1PH/12</t>
        </is>
      </c>
      <c r="C80" t="inlineStr"/>
      <c r="D80" t="n">
        <v>0.03</v>
      </c>
      <c r="E80" t="inlineStr"/>
      <c r="F80" t="inlineStr"/>
      <c r="G80" t="inlineStr"/>
      <c r="H80" t="n">
        <v>0.03</v>
      </c>
      <c r="I80" t="n">
        <v>29</v>
      </c>
      <c r="J80" t="inlineStr">
        <is>
          <t>century_field</t>
        </is>
      </c>
    </row>
    <row r="81">
      <c r="A81" t="inlineStr">
        <is>
          <t>929689848110</t>
        </is>
      </c>
      <c r="B81" t="inlineStr">
        <is>
          <t>TORNADO 15W WW E27 220-240V 1PF/12</t>
        </is>
      </c>
      <c r="C81" t="inlineStr"/>
      <c r="D81" t="n">
        <v>0.03</v>
      </c>
      <c r="E81" t="inlineStr"/>
      <c r="F81" t="inlineStr"/>
      <c r="G81" t="inlineStr"/>
      <c r="H81" t="n">
        <v>0.03</v>
      </c>
      <c r="I81" t="n">
        <v>30</v>
      </c>
      <c r="J81" t="inlineStr">
        <is>
          <t>century_field</t>
        </is>
      </c>
    </row>
    <row r="82">
      <c r="A82" t="inlineStr">
        <is>
          <t>929689848210</t>
        </is>
      </c>
      <c r="B82" t="inlineStr">
        <is>
          <t>TORNADO 15W CDL E27 220-240V 1PF/12</t>
        </is>
      </c>
      <c r="C82" t="inlineStr"/>
      <c r="D82" t="n">
        <v>0.03</v>
      </c>
      <c r="E82" t="inlineStr"/>
      <c r="F82" t="inlineStr"/>
      <c r="G82" t="inlineStr"/>
      <c r="H82" t="n">
        <v>0.03</v>
      </c>
      <c r="I82" t="n">
        <v>31</v>
      </c>
      <c r="J82" t="inlineStr">
        <is>
          <t>century_field</t>
        </is>
      </c>
    </row>
    <row r="83">
      <c r="A83" t="inlineStr">
        <is>
          <t>929689848312</t>
        </is>
      </c>
      <c r="B83" t="inlineStr">
        <is>
          <t>TORNADO 20W WW E27 220-240V 1PF/12</t>
        </is>
      </c>
      <c r="C83" t="inlineStr"/>
      <c r="D83" t="n">
        <v>0.03</v>
      </c>
      <c r="E83" t="inlineStr"/>
      <c r="F83" t="inlineStr"/>
      <c r="G83" t="inlineStr"/>
      <c r="H83" t="n">
        <v>0.03</v>
      </c>
      <c r="I83" t="n">
        <v>33</v>
      </c>
      <c r="J83" t="inlineStr">
        <is>
          <t>century_field</t>
        </is>
      </c>
    </row>
    <row r="84">
      <c r="A84" t="inlineStr">
        <is>
          <t>929689848510</t>
        </is>
      </c>
      <c r="B84" t="inlineStr">
        <is>
          <t>TORNADO 23W WW E27 220-240V 1PF/12</t>
        </is>
      </c>
      <c r="C84" t="inlineStr"/>
      <c r="D84" t="n">
        <v>0.03</v>
      </c>
      <c r="E84" t="inlineStr"/>
      <c r="F84" t="inlineStr"/>
      <c r="G84" t="inlineStr"/>
      <c r="H84" t="n">
        <v>0.03</v>
      </c>
      <c r="I84" t="n">
        <v>34</v>
      </c>
      <c r="J84" t="inlineStr">
        <is>
          <t>century_field</t>
        </is>
      </c>
    </row>
    <row r="85">
      <c r="A85" t="inlineStr">
        <is>
          <t>929689868405</t>
        </is>
      </c>
      <c r="B85" t="inlineStr">
        <is>
          <t>TORNADO 8W CDL E27 220-240V 1PF/12</t>
        </is>
      </c>
      <c r="C85" t="inlineStr"/>
      <c r="D85" t="n">
        <v>0.03</v>
      </c>
      <c r="E85" t="inlineStr"/>
      <c r="F85" t="inlineStr"/>
      <c r="G85" t="inlineStr"/>
      <c r="H85" t="n">
        <v>0.03</v>
      </c>
      <c r="I85" t="n">
        <v>35</v>
      </c>
      <c r="J85" t="inlineStr">
        <is>
          <t>century_field</t>
        </is>
      </c>
    </row>
    <row r="86">
      <c r="A86" t="inlineStr">
        <is>
          <t>929689868505</t>
        </is>
      </c>
      <c r="B86" t="inlineStr">
        <is>
          <t>TORNADO 12W WW E27 220-240V 1PH/12</t>
        </is>
      </c>
      <c r="C86" t="inlineStr"/>
      <c r="D86" t="n">
        <v>0.03</v>
      </c>
      <c r="E86" t="inlineStr"/>
      <c r="F86" t="inlineStr"/>
      <c r="G86" t="inlineStr"/>
      <c r="H86" t="n">
        <v>0.03</v>
      </c>
      <c r="I86" t="n">
        <v>36</v>
      </c>
      <c r="J86" t="inlineStr">
        <is>
          <t>century_field</t>
        </is>
      </c>
    </row>
    <row r="87">
      <c r="A87" t="inlineStr">
        <is>
          <t>969689240206</t>
        </is>
      </c>
      <c r="B87" t="inlineStr">
        <is>
          <t>GENIE 8W WW E14 220-240V 2PF/6</t>
        </is>
      </c>
      <c r="C87" t="inlineStr"/>
      <c r="D87" t="n">
        <v>0.03</v>
      </c>
      <c r="E87" t="inlineStr"/>
      <c r="F87" t="inlineStr"/>
      <c r="G87" t="inlineStr"/>
      <c r="H87" t="n">
        <v>0.03</v>
      </c>
      <c r="I87" t="n">
        <v>37</v>
      </c>
      <c r="J87" t="inlineStr">
        <is>
          <t>century_field</t>
        </is>
      </c>
    </row>
    <row r="88">
      <c r="A88" t="inlineStr">
        <is>
          <t>A3983</t>
        </is>
      </c>
      <c r="B88" t="inlineStr">
        <is>
          <t>未分類</t>
        </is>
      </c>
      <c r="C88" t="inlineStr"/>
      <c r="D88" t="n">
        <v>0.03</v>
      </c>
      <c r="E88" t="inlineStr"/>
      <c r="F88" t="inlineStr"/>
      <c r="G88" t="inlineStr"/>
      <c r="H88" t="n">
        <v>0.03</v>
      </c>
      <c r="I88" t="n">
        <v>7035</v>
      </c>
      <c r="J88" t="inlineStr">
        <is>
          <t>century_field</t>
        </is>
      </c>
    </row>
    <row r="89">
      <c r="A89" t="inlineStr">
        <is>
          <t>ABP2937+AWP211</t>
        </is>
      </c>
      <c r="B89" t="inlineStr">
        <is>
          <t>濾水壺濾芯</t>
        </is>
      </c>
      <c r="C89" t="inlineStr"/>
      <c r="D89" t="n">
        <v>0.03</v>
      </c>
      <c r="E89" t="inlineStr"/>
      <c r="F89" t="inlineStr"/>
      <c r="G89" t="inlineStr"/>
      <c r="H89" t="n">
        <v>0.03</v>
      </c>
      <c r="I89" t="n">
        <v>38</v>
      </c>
      <c r="J89" t="inlineStr">
        <is>
          <t>century_field</t>
        </is>
      </c>
    </row>
    <row r="90">
      <c r="A90" t="inlineStr">
        <is>
          <t>ADD2980WH</t>
        </is>
      </c>
      <c r="B90" t="inlineStr">
        <is>
          <t>即時濾水器 Micro X-Clean</t>
        </is>
      </c>
      <c r="C90" t="inlineStr"/>
      <c r="D90" t="n">
        <v>0.03</v>
      </c>
      <c r="E90" t="inlineStr"/>
      <c r="F90" t="inlineStr"/>
      <c r="G90" t="inlineStr"/>
      <c r="H90" t="n">
        <v>0.03</v>
      </c>
      <c r="I90" t="n">
        <v>39</v>
      </c>
      <c r="J90" t="inlineStr">
        <is>
          <t>century_field</t>
        </is>
      </c>
    </row>
    <row r="91">
      <c r="A91" t="inlineStr">
        <is>
          <t>ADD4811+AWP2722</t>
        </is>
      </c>
      <c r="B91" t="inlineStr">
        <is>
          <t>即熱飲水機+補水水樽</t>
        </is>
      </c>
      <c r="C91" t="inlineStr"/>
      <c r="D91" t="n">
        <v>0.03</v>
      </c>
      <c r="E91" t="inlineStr"/>
      <c r="F91" t="inlineStr"/>
      <c r="G91" t="inlineStr"/>
      <c r="H91" t="n">
        <v>0.03</v>
      </c>
      <c r="I91" t="n">
        <v>41</v>
      </c>
      <c r="J91" t="inlineStr">
        <is>
          <t>century_field</t>
        </is>
      </c>
    </row>
    <row r="92">
      <c r="A92" t="inlineStr">
        <is>
          <t>ADD4902</t>
        </is>
      </c>
      <c r="B92" t="inlineStr">
        <is>
          <t>家用梳打水機</t>
        </is>
      </c>
      <c r="C92" t="inlineStr"/>
      <c r="D92" t="n">
        <v>0.03</v>
      </c>
      <c r="E92" t="inlineStr"/>
      <c r="F92" t="inlineStr"/>
      <c r="G92" t="inlineStr"/>
      <c r="H92" t="n">
        <v>0.03</v>
      </c>
      <c r="I92" t="n">
        <v>42</v>
      </c>
      <c r="J92" t="inlineStr">
        <is>
          <t>century_field</t>
        </is>
      </c>
    </row>
    <row r="93">
      <c r="A93" t="inlineStr">
        <is>
          <t>ADD4902+ADD913</t>
        </is>
      </c>
      <c r="B93" t="inlineStr">
        <is>
          <t>家用梳打水機SET</t>
        </is>
      </c>
      <c r="C93" t="inlineStr"/>
      <c r="D93" t="n">
        <v>0.03</v>
      </c>
      <c r="E93" t="inlineStr"/>
      <c r="F93" t="inlineStr"/>
      <c r="G93" t="inlineStr"/>
      <c r="H93" t="n">
        <v>0.03</v>
      </c>
      <c r="I93" t="n">
        <v>43</v>
      </c>
      <c r="J93" t="inlineStr">
        <is>
          <t>century_field</t>
        </is>
      </c>
    </row>
    <row r="94">
      <c r="A94" t="inlineStr">
        <is>
          <t>ADD4902WH</t>
        </is>
      </c>
      <c r="B94" t="inlineStr">
        <is>
          <t>梳打水機</t>
        </is>
      </c>
      <c r="C94" t="inlineStr"/>
      <c r="D94" t="n">
        <v>0.03</v>
      </c>
      <c r="E94" t="inlineStr"/>
      <c r="F94" t="inlineStr"/>
      <c r="G94" t="inlineStr"/>
      <c r="H94" t="n">
        <v>0.03</v>
      </c>
      <c r="I94" t="n">
        <v>44</v>
      </c>
      <c r="J94" t="inlineStr">
        <is>
          <t>century_field</t>
        </is>
      </c>
    </row>
    <row r="95">
      <c r="A95" t="inlineStr">
        <is>
          <t>ADD4902WH+ADD913</t>
        </is>
      </c>
      <c r="B95" t="inlineStr">
        <is>
          <t>梳打水機+二氧化碳氣體</t>
        </is>
      </c>
      <c r="C95" t="inlineStr"/>
      <c r="D95" t="n">
        <v>0.03</v>
      </c>
      <c r="E95" t="inlineStr"/>
      <c r="F95" t="inlineStr"/>
      <c r="G95" t="inlineStr"/>
      <c r="H95" t="n">
        <v>0.03</v>
      </c>
      <c r="I95" t="n">
        <v>46</v>
      </c>
      <c r="J95" t="inlineStr">
        <is>
          <t>century_field</t>
        </is>
      </c>
    </row>
    <row r="96">
      <c r="A96" t="inlineStr">
        <is>
          <t>ADD4902WH/90</t>
        </is>
      </c>
      <c r="B96" t="inlineStr">
        <is>
          <t>梳打水機</t>
        </is>
      </c>
      <c r="C96" t="inlineStr"/>
      <c r="D96" t="n">
        <v>0.03</v>
      </c>
      <c r="E96" t="inlineStr"/>
      <c r="F96" t="inlineStr"/>
      <c r="G96" t="inlineStr"/>
      <c r="H96" t="n">
        <v>0.03</v>
      </c>
      <c r="I96" t="n">
        <v>45</v>
      </c>
      <c r="J96" t="inlineStr">
        <is>
          <t>century_field</t>
        </is>
      </c>
    </row>
    <row r="97">
      <c r="A97" t="inlineStr">
        <is>
          <t>ADD4911</t>
        </is>
      </c>
      <c r="B97" t="inlineStr">
        <is>
          <t>ADD4911/90 即熱式飲水機</t>
        </is>
      </c>
      <c r="C97" t="inlineStr"/>
      <c r="D97" t="n">
        <v>0.03</v>
      </c>
      <c r="E97" t="inlineStr"/>
      <c r="F97" t="inlineStr"/>
      <c r="G97" t="inlineStr"/>
      <c r="H97" t="n">
        <v>0.03</v>
      </c>
      <c r="I97" t="n">
        <v>47</v>
      </c>
      <c r="J97" t="inlineStr">
        <is>
          <t>century_field</t>
        </is>
      </c>
    </row>
    <row r="98">
      <c r="A98" t="inlineStr">
        <is>
          <t>ADD4920</t>
        </is>
      </c>
      <c r="B98" t="inlineStr">
        <is>
          <t>家用梳打水機</t>
        </is>
      </c>
      <c r="C98" t="inlineStr"/>
      <c r="D98" t="n">
        <v>0.03</v>
      </c>
      <c r="E98" t="inlineStr"/>
      <c r="F98" t="inlineStr"/>
      <c r="G98" t="inlineStr"/>
      <c r="H98" t="n">
        <v>0.03</v>
      </c>
      <c r="I98" t="n">
        <v>48</v>
      </c>
      <c r="J98" t="inlineStr">
        <is>
          <t>century_field</t>
        </is>
      </c>
    </row>
    <row r="99">
      <c r="A99" t="inlineStr">
        <is>
          <t>ADD541</t>
        </is>
      </c>
      <c r="B99" t="inlineStr">
        <is>
          <t>RO 純淨飲水機濾水芯</t>
        </is>
      </c>
      <c r="C99" t="inlineStr"/>
      <c r="D99" t="n">
        <v>0.03</v>
      </c>
      <c r="E99" t="inlineStr"/>
      <c r="F99" t="inlineStr"/>
      <c r="G99" t="inlineStr"/>
      <c r="H99" t="n">
        <v>0.03</v>
      </c>
      <c r="I99" t="n">
        <v>49</v>
      </c>
      <c r="J99" t="inlineStr">
        <is>
          <t>century_field</t>
        </is>
      </c>
    </row>
    <row r="100">
      <c r="A100" t="inlineStr">
        <is>
          <t>ADD547</t>
        </is>
      </c>
      <c r="B100" t="inlineStr">
        <is>
          <t>RO純淨飲水機</t>
        </is>
      </c>
      <c r="C100" t="inlineStr"/>
      <c r="D100" t="n">
        <v>0.03</v>
      </c>
      <c r="E100" t="inlineStr"/>
      <c r="F100" t="inlineStr"/>
      <c r="G100" t="inlineStr"/>
      <c r="H100" t="n">
        <v>0.03</v>
      </c>
      <c r="I100" t="n">
        <v>290</v>
      </c>
      <c r="J100" t="inlineStr">
        <is>
          <t>century_field</t>
        </is>
      </c>
    </row>
    <row r="101">
      <c r="A101" t="inlineStr">
        <is>
          <t>ADD550</t>
        </is>
      </c>
      <c r="B101" t="inlineStr">
        <is>
          <t>濾芯</t>
        </is>
      </c>
      <c r="C101" t="inlineStr"/>
      <c r="D101" t="n">
        <v>0.03</v>
      </c>
      <c r="E101" t="inlineStr"/>
      <c r="F101" t="inlineStr"/>
      <c r="G101" t="inlineStr"/>
      <c r="H101" t="n">
        <v>0.03</v>
      </c>
      <c r="I101" t="n">
        <v>50</v>
      </c>
      <c r="J101" t="inlineStr">
        <is>
          <t>century_field</t>
        </is>
      </c>
    </row>
    <row r="102">
      <c r="A102" t="inlineStr">
        <is>
          <t>ADD553</t>
        </is>
      </c>
      <c r="B102" t="inlineStr">
        <is>
          <t>濾芯</t>
        </is>
      </c>
      <c r="C102" t="inlineStr"/>
      <c r="D102" t="n">
        <v>0.03</v>
      </c>
      <c r="E102" t="inlineStr"/>
      <c r="F102" t="inlineStr"/>
      <c r="G102" t="inlineStr"/>
      <c r="H102" t="n">
        <v>0.03</v>
      </c>
      <c r="I102" t="n">
        <v>51</v>
      </c>
      <c r="J102" t="inlineStr">
        <is>
          <t>century_field</t>
        </is>
      </c>
    </row>
    <row r="103">
      <c r="A103" t="inlineStr">
        <is>
          <t>ADD553/97</t>
        </is>
      </c>
      <c r="B103" t="inlineStr">
        <is>
          <t>濾芯</t>
        </is>
      </c>
      <c r="C103" t="inlineStr"/>
      <c r="D103" t="n">
        <v>0.03</v>
      </c>
      <c r="E103" t="inlineStr"/>
      <c r="F103" t="inlineStr"/>
      <c r="G103" t="inlineStr"/>
      <c r="H103" t="n">
        <v>0.03</v>
      </c>
      <c r="I103" t="n">
        <v>52</v>
      </c>
      <c r="J103" t="inlineStr">
        <is>
          <t>century_field</t>
        </is>
      </c>
    </row>
    <row r="104">
      <c r="A104" t="inlineStr">
        <is>
          <t>ADD583</t>
        </is>
      </c>
      <c r="B104" t="inlineStr">
        <is>
          <t>RO純淨飲水機ADD6920濾水芯</t>
        </is>
      </c>
      <c r="C104" t="inlineStr"/>
      <c r="D104" t="n">
        <v>0.03</v>
      </c>
      <c r="E104" t="inlineStr"/>
      <c r="F104" t="inlineStr"/>
      <c r="G104" t="inlineStr"/>
      <c r="H104" t="n">
        <v>0.03</v>
      </c>
      <c r="I104" t="n">
        <v>53</v>
      </c>
      <c r="J104" t="inlineStr">
        <is>
          <t>century_field</t>
        </is>
      </c>
    </row>
    <row r="105">
      <c r="A105" t="inlineStr">
        <is>
          <t>ADD5910M</t>
        </is>
      </c>
      <c r="B105" t="inlineStr">
        <is>
          <t>即熱過濾飲水機</t>
        </is>
      </c>
      <c r="C105" t="inlineStr"/>
      <c r="D105" t="n">
        <v>0.03</v>
      </c>
      <c r="E105" t="inlineStr"/>
      <c r="F105" t="inlineStr"/>
      <c r="G105" t="inlineStr"/>
      <c r="H105" t="n">
        <v>0.03</v>
      </c>
      <c r="I105" t="n">
        <v>54</v>
      </c>
      <c r="J105" t="inlineStr">
        <is>
          <t>century_field</t>
        </is>
      </c>
    </row>
    <row r="106">
      <c r="A106" t="inlineStr">
        <is>
          <t>ADD5980M</t>
        </is>
      </c>
      <c r="B106" t="inlineStr">
        <is>
          <t>冷熱過濾飲水機</t>
        </is>
      </c>
      <c r="C106" t="inlineStr"/>
      <c r="D106" t="n">
        <v>0.03</v>
      </c>
      <c r="E106" t="inlineStr"/>
      <c r="F106" t="inlineStr"/>
      <c r="G106" t="inlineStr"/>
      <c r="H106" t="n">
        <v>0.03</v>
      </c>
      <c r="I106" t="n">
        <v>56</v>
      </c>
      <c r="J106" t="inlineStr">
        <is>
          <t>century_field</t>
        </is>
      </c>
    </row>
    <row r="107">
      <c r="A107" t="inlineStr">
        <is>
          <t>ADD5981</t>
        </is>
      </c>
      <c r="B107" t="inlineStr">
        <is>
          <t>冷熱過濾飲水機</t>
        </is>
      </c>
      <c r="C107" t="inlineStr"/>
      <c r="D107" t="n">
        <v>0.03</v>
      </c>
      <c r="E107" t="inlineStr"/>
      <c r="F107" t="inlineStr"/>
      <c r="G107" t="inlineStr"/>
      <c r="H107" t="n">
        <v>0.03</v>
      </c>
      <c r="I107" t="n">
        <v>303</v>
      </c>
      <c r="J107" t="inlineStr">
        <is>
          <t>century_field</t>
        </is>
      </c>
    </row>
    <row r="108">
      <c r="A108" t="inlineStr">
        <is>
          <t>ADD6901 /01</t>
        </is>
      </c>
      <c r="B108" t="inlineStr">
        <is>
          <t>即熱純淨飲水機</t>
        </is>
      </c>
      <c r="C108" t="inlineStr"/>
      <c r="D108" t="n">
        <v>0.03</v>
      </c>
      <c r="E108" t="inlineStr"/>
      <c r="F108" t="inlineStr"/>
      <c r="G108" t="inlineStr"/>
      <c r="H108" t="n">
        <v>0.03</v>
      </c>
      <c r="I108" t="n">
        <v>299</v>
      </c>
      <c r="J108" t="inlineStr">
        <is>
          <t>century_field</t>
        </is>
      </c>
    </row>
    <row r="109">
      <c r="A109" t="inlineStr">
        <is>
          <t>ADD6901+ADD541</t>
        </is>
      </c>
      <c r="B109" t="inlineStr">
        <is>
          <t>ADD6901H RO純淨飲水機+濾芯</t>
        </is>
      </c>
      <c r="C109" t="inlineStr"/>
      <c r="D109" t="n">
        <v>0.03</v>
      </c>
      <c r="E109" t="inlineStr"/>
      <c r="F109" t="inlineStr"/>
      <c r="G109" t="inlineStr"/>
      <c r="H109" t="n">
        <v>0.03</v>
      </c>
      <c r="I109" t="n">
        <v>57</v>
      </c>
      <c r="J109" t="inlineStr">
        <is>
          <t>century_field</t>
        </is>
      </c>
    </row>
    <row r="110">
      <c r="A110" t="inlineStr">
        <is>
          <t>ADD6901H</t>
        </is>
      </c>
      <c r="B110" t="inlineStr">
        <is>
          <t>ADD6901H RO純淨飲水機</t>
        </is>
      </c>
      <c r="C110" t="inlineStr"/>
      <c r="D110" t="n">
        <v>0.03</v>
      </c>
      <c r="E110" t="inlineStr"/>
      <c r="F110" t="inlineStr"/>
      <c r="G110" t="inlineStr"/>
      <c r="H110" t="n">
        <v>0.03</v>
      </c>
      <c r="I110" t="n">
        <v>58</v>
      </c>
      <c r="J110" t="inlineStr">
        <is>
          <t>century_field</t>
        </is>
      </c>
    </row>
    <row r="111">
      <c r="A111" t="inlineStr">
        <is>
          <t>ADD6902</t>
        </is>
      </c>
      <c r="B111" t="inlineStr">
        <is>
          <t>RO純淨飲水機</t>
        </is>
      </c>
      <c r="C111" t="inlineStr"/>
      <c r="D111" t="n">
        <v>0.03</v>
      </c>
      <c r="E111" t="inlineStr"/>
      <c r="F111" t="inlineStr"/>
      <c r="G111" t="inlineStr"/>
      <c r="H111" t="n">
        <v>0.03</v>
      </c>
      <c r="I111" t="n">
        <v>283</v>
      </c>
      <c r="J111" t="inlineStr">
        <is>
          <t>century_field</t>
        </is>
      </c>
    </row>
    <row r="112">
      <c r="A112" t="inlineStr">
        <is>
          <t>ADD6910+AWP1775</t>
        </is>
      </c>
      <c r="B112" t="inlineStr">
        <is>
          <t>RO純淨飲水機+淋浴淨水器</t>
        </is>
      </c>
      <c r="C112" t="inlineStr"/>
      <c r="D112" t="n">
        <v>0.03</v>
      </c>
      <c r="E112" t="inlineStr"/>
      <c r="F112" t="inlineStr"/>
      <c r="G112" t="inlineStr"/>
      <c r="H112" t="n">
        <v>0.03</v>
      </c>
      <c r="I112" t="n">
        <v>61</v>
      </c>
      <c r="J112" t="inlineStr">
        <is>
          <t>century_field</t>
        </is>
      </c>
    </row>
    <row r="113">
      <c r="A113" t="inlineStr">
        <is>
          <t>ADD6910/90</t>
        </is>
      </c>
      <c r="B113" t="inlineStr">
        <is>
          <t>飲水機</t>
        </is>
      </c>
      <c r="C113" t="inlineStr"/>
      <c r="D113" t="n">
        <v>0.03</v>
      </c>
      <c r="E113" t="inlineStr"/>
      <c r="F113" t="inlineStr"/>
      <c r="G113" t="inlineStr"/>
      <c r="H113" t="n">
        <v>0.03</v>
      </c>
      <c r="I113" t="n">
        <v>59</v>
      </c>
      <c r="J113" t="inlineStr">
        <is>
          <t>century_field</t>
        </is>
      </c>
    </row>
    <row r="114">
      <c r="A114" t="inlineStr">
        <is>
          <t>ADD6910DG</t>
        </is>
      </c>
      <c r="B114" t="inlineStr">
        <is>
          <t>RO純淨飲水機</t>
        </is>
      </c>
      <c r="C114" t="inlineStr"/>
      <c r="D114" t="n">
        <v>0.03</v>
      </c>
      <c r="E114" t="inlineStr"/>
      <c r="F114" t="inlineStr"/>
      <c r="G114" t="inlineStr"/>
      <c r="H114" t="n">
        <v>0.03</v>
      </c>
      <c r="I114" t="n">
        <v>62</v>
      </c>
      <c r="J114" t="inlineStr">
        <is>
          <t>century_field</t>
        </is>
      </c>
    </row>
    <row r="115">
      <c r="A115" t="inlineStr">
        <is>
          <t>ADD6910WH</t>
        </is>
      </c>
      <c r="B115" t="inlineStr">
        <is>
          <t>RO純淨飲水機</t>
        </is>
      </c>
      <c r="C115" t="inlineStr"/>
      <c r="D115" t="n">
        <v>0.03</v>
      </c>
      <c r="E115" t="inlineStr"/>
      <c r="F115" t="inlineStr"/>
      <c r="G115" t="inlineStr"/>
      <c r="H115" t="n">
        <v>0.03</v>
      </c>
      <c r="I115" t="n">
        <v>63</v>
      </c>
      <c r="J115" t="inlineStr">
        <is>
          <t>century_field</t>
        </is>
      </c>
    </row>
    <row r="116">
      <c r="A116" t="inlineStr">
        <is>
          <t>ADD6911</t>
        </is>
      </c>
      <c r="B116" t="inlineStr">
        <is>
          <t>飲水機</t>
        </is>
      </c>
      <c r="C116" t="inlineStr"/>
      <c r="D116" t="n">
        <v>0.03</v>
      </c>
      <c r="E116" t="inlineStr"/>
      <c r="F116" t="inlineStr"/>
      <c r="G116" t="inlineStr"/>
      <c r="H116" t="n">
        <v>0.03</v>
      </c>
      <c r="I116" t="n">
        <v>64</v>
      </c>
      <c r="J116" t="inlineStr">
        <is>
          <t>century_field</t>
        </is>
      </c>
    </row>
    <row r="117">
      <c r="A117" t="inlineStr">
        <is>
          <t>ADD6911+1775</t>
        </is>
      </c>
      <c r="B117" t="inlineStr">
        <is>
          <t>純淨飲水機+淋浴淨水器</t>
        </is>
      </c>
      <c r="C117" t="inlineStr"/>
      <c r="D117" t="n">
        <v>0.03</v>
      </c>
      <c r="E117" t="inlineStr"/>
      <c r="F117" t="inlineStr"/>
      <c r="G117" t="inlineStr"/>
      <c r="H117" t="n">
        <v>0.03</v>
      </c>
      <c r="I117" t="n">
        <v>922</v>
      </c>
      <c r="J117" t="inlineStr">
        <is>
          <t>century_field</t>
        </is>
      </c>
    </row>
    <row r="118">
      <c r="A118" t="inlineStr">
        <is>
          <t>ADD6911+AWP1775CH</t>
        </is>
      </c>
      <c r="B118" t="inlineStr">
        <is>
          <t>純淨飲水機+淋浴淨水器</t>
        </is>
      </c>
      <c r="C118" t="inlineStr"/>
      <c r="D118" t="n">
        <v>0.03</v>
      </c>
      <c r="E118" t="inlineStr"/>
      <c r="F118" t="inlineStr"/>
      <c r="G118" t="inlineStr"/>
      <c r="H118" t="n">
        <v>0.03</v>
      </c>
      <c r="I118" t="n">
        <v>66</v>
      </c>
      <c r="J118" t="inlineStr">
        <is>
          <t>century_field</t>
        </is>
      </c>
    </row>
    <row r="119">
      <c r="A119" t="inlineStr">
        <is>
          <t>ADD6911L</t>
        </is>
      </c>
      <c r="B119" t="inlineStr">
        <is>
          <t>RO純淨飲水機</t>
        </is>
      </c>
      <c r="C119" t="inlineStr"/>
      <c r="D119" t="n">
        <v>0.03</v>
      </c>
      <c r="E119" t="inlineStr"/>
      <c r="F119" t="inlineStr"/>
      <c r="G119" t="inlineStr"/>
      <c r="H119" t="n">
        <v>0.03</v>
      </c>
      <c r="I119" t="n">
        <v>67</v>
      </c>
      <c r="J119" t="inlineStr">
        <is>
          <t>century_field</t>
        </is>
      </c>
    </row>
    <row r="120">
      <c r="A120" t="inlineStr">
        <is>
          <t>ADD6912/BL</t>
        </is>
      </c>
      <c r="B120" t="inlineStr">
        <is>
          <t>RO純淨飲水機</t>
        </is>
      </c>
      <c r="C120" t="inlineStr"/>
      <c r="D120" t="n">
        <v>0.03</v>
      </c>
      <c r="E120" t="inlineStr"/>
      <c r="F120" t="inlineStr"/>
      <c r="G120" t="inlineStr"/>
      <c r="H120" t="n">
        <v>0.03</v>
      </c>
      <c r="I120" t="n">
        <v>297</v>
      </c>
      <c r="J120" t="inlineStr">
        <is>
          <t>century_field</t>
        </is>
      </c>
    </row>
    <row r="121">
      <c r="A121" t="inlineStr">
        <is>
          <t>ADD6915</t>
        </is>
      </c>
      <c r="B121" t="inlineStr">
        <is>
          <t>純淨飲水機</t>
        </is>
      </c>
      <c r="C121" t="inlineStr"/>
      <c r="D121" t="n">
        <v>0.03</v>
      </c>
      <c r="E121" t="inlineStr"/>
      <c r="F121" t="inlineStr"/>
      <c r="G121" t="inlineStr"/>
      <c r="H121" t="n">
        <v>0.03</v>
      </c>
      <c r="I121" t="n">
        <v>68</v>
      </c>
      <c r="J121" t="inlineStr">
        <is>
          <t>century_field</t>
        </is>
      </c>
    </row>
    <row r="122">
      <c r="A122" t="inlineStr">
        <is>
          <t>ADD6915DG</t>
        </is>
      </c>
      <c r="B122" t="inlineStr">
        <is>
          <t>RO純淨飲水機+濾水芯ADD550套裝版</t>
        </is>
      </c>
      <c r="C122" t="inlineStr"/>
      <c r="D122" t="n">
        <v>0.03</v>
      </c>
      <c r="E122" t="inlineStr"/>
      <c r="F122" t="inlineStr"/>
      <c r="G122" t="inlineStr"/>
      <c r="H122" t="n">
        <v>0.03</v>
      </c>
      <c r="I122" t="n">
        <v>69</v>
      </c>
      <c r="J122" t="inlineStr">
        <is>
          <t>century_field</t>
        </is>
      </c>
    </row>
    <row r="123">
      <c r="A123" t="inlineStr">
        <is>
          <t>ADD6920</t>
        </is>
      </c>
      <c r="B123" t="inlineStr">
        <is>
          <t>RO 純淨飲水機AquaShield IPS</t>
        </is>
      </c>
      <c r="C123" t="inlineStr"/>
      <c r="D123" t="n">
        <v>0.03</v>
      </c>
      <c r="E123" t="inlineStr"/>
      <c r="F123" t="inlineStr"/>
      <c r="G123" t="inlineStr"/>
      <c r="H123" t="n">
        <v>0.03</v>
      </c>
      <c r="I123" t="n">
        <v>70</v>
      </c>
      <c r="J123" t="inlineStr">
        <is>
          <t>century_field</t>
        </is>
      </c>
    </row>
    <row r="124">
      <c r="A124" t="inlineStr">
        <is>
          <t>ADD6921</t>
        </is>
      </c>
      <c r="B124" t="inlineStr">
        <is>
          <t>純淨冷熱飲水機</t>
        </is>
      </c>
      <c r="C124" t="inlineStr"/>
      <c r="D124" t="n">
        <v>0.03</v>
      </c>
      <c r="E124" t="inlineStr"/>
      <c r="F124" t="inlineStr"/>
      <c r="G124" t="inlineStr"/>
      <c r="H124" t="n">
        <v>0.03</v>
      </c>
      <c r="I124" t="n">
        <v>281</v>
      </c>
      <c r="J124" t="inlineStr">
        <is>
          <t>century_field</t>
        </is>
      </c>
    </row>
    <row r="125">
      <c r="A125" t="inlineStr">
        <is>
          <t>ADD6922</t>
        </is>
      </c>
      <c r="B125" t="inlineStr">
        <is>
          <t>RO純淨冷熱製冰飲水機</t>
        </is>
      </c>
      <c r="C125" t="inlineStr"/>
      <c r="D125" t="n">
        <v>0.03</v>
      </c>
      <c r="E125" t="inlineStr"/>
      <c r="F125" t="inlineStr"/>
      <c r="G125" t="inlineStr"/>
      <c r="H125" t="n">
        <v>0.03</v>
      </c>
      <c r="I125" t="n">
        <v>301</v>
      </c>
      <c r="J125" t="inlineStr">
        <is>
          <t>century_field</t>
        </is>
      </c>
    </row>
    <row r="126">
      <c r="A126" t="inlineStr">
        <is>
          <t>ADD8041H</t>
        </is>
      </c>
      <c r="B126" t="inlineStr">
        <is>
          <t>掛牆式即熱飲水機</t>
        </is>
      </c>
      <c r="C126" t="inlineStr"/>
      <c r="D126" t="n">
        <v>0.03</v>
      </c>
      <c r="E126" t="inlineStr"/>
      <c r="F126" t="inlineStr"/>
      <c r="G126" t="inlineStr"/>
      <c r="H126" t="n">
        <v>0.03</v>
      </c>
      <c r="I126" t="n">
        <v>294</v>
      </c>
      <c r="J126" t="inlineStr">
        <is>
          <t>century_field</t>
        </is>
      </c>
    </row>
    <row r="127">
      <c r="A127" t="inlineStr">
        <is>
          <t>ADD8906/97</t>
        </is>
      </c>
      <c r="B127" t="inlineStr">
        <is>
          <t>微納米氣泡潔膚儀</t>
        </is>
      </c>
      <c r="C127" t="inlineStr"/>
      <c r="D127" t="n">
        <v>0.03</v>
      </c>
      <c r="E127" t="inlineStr"/>
      <c r="F127" t="inlineStr"/>
      <c r="G127" t="inlineStr"/>
      <c r="H127" t="n">
        <v>0.03</v>
      </c>
      <c r="I127" t="n">
        <v>289</v>
      </c>
      <c r="J127" t="inlineStr">
        <is>
          <t>century_field</t>
        </is>
      </c>
    </row>
    <row r="128">
      <c r="A128" t="inlineStr">
        <is>
          <t>ADD912</t>
        </is>
      </c>
      <c r="B128" t="inlineStr">
        <is>
          <t>梳打水機專用水瓶</t>
        </is>
      </c>
      <c r="C128" t="inlineStr"/>
      <c r="D128" t="n">
        <v>0.03</v>
      </c>
      <c r="E128" t="inlineStr"/>
      <c r="F128" t="inlineStr"/>
      <c r="G128" t="inlineStr"/>
      <c r="H128" t="n">
        <v>0.03</v>
      </c>
      <c r="I128" t="n">
        <v>71</v>
      </c>
      <c r="J128" t="inlineStr">
        <is>
          <t>century_field</t>
        </is>
      </c>
    </row>
    <row r="129">
      <c r="A129" t="inlineStr">
        <is>
          <t>ADD912/97</t>
        </is>
      </c>
      <c r="B129" t="inlineStr">
        <is>
          <t>梳打水機專用水瓶</t>
        </is>
      </c>
      <c r="C129" t="inlineStr"/>
      <c r="D129" t="n">
        <v>0.03</v>
      </c>
      <c r="E129" t="inlineStr"/>
      <c r="F129" t="inlineStr"/>
      <c r="G129" t="inlineStr"/>
      <c r="H129" t="n">
        <v>0.03</v>
      </c>
      <c r="I129" t="n">
        <v>72</v>
      </c>
      <c r="J129" t="inlineStr">
        <is>
          <t>century_field</t>
        </is>
      </c>
    </row>
    <row r="130">
      <c r="A130" t="inlineStr">
        <is>
          <t>ADD913</t>
        </is>
      </c>
      <c r="B130" t="inlineStr">
        <is>
          <t>二氧化碳氣瓶</t>
        </is>
      </c>
      <c r="C130" t="inlineStr"/>
      <c r="D130" t="n">
        <v>0.03</v>
      </c>
      <c r="E130" t="inlineStr"/>
      <c r="F130" t="inlineStr"/>
      <c r="G130" t="inlineStr"/>
      <c r="H130" t="n">
        <v>0.03</v>
      </c>
      <c r="I130" t="n">
        <v>73</v>
      </c>
      <c r="J130" t="inlineStr">
        <is>
          <t>century_field</t>
        </is>
      </c>
    </row>
    <row r="131">
      <c r="A131" t="inlineStr">
        <is>
          <t>ADD913 二氧化碳氣瓶</t>
        </is>
      </c>
      <c r="B131" t="inlineStr">
        <is>
          <t>二氧化碳氣瓶</t>
        </is>
      </c>
      <c r="C131" t="inlineStr"/>
      <c r="D131" t="n">
        <v>0.03</v>
      </c>
      <c r="E131" t="inlineStr"/>
      <c r="F131" t="inlineStr"/>
      <c r="G131" t="inlineStr"/>
      <c r="H131" t="n">
        <v>0.03</v>
      </c>
      <c r="I131" t="n">
        <v>305</v>
      </c>
      <c r="J131" t="inlineStr">
        <is>
          <t>century_field</t>
        </is>
      </c>
    </row>
    <row r="132">
      <c r="A132" t="inlineStr">
        <is>
          <t>ASH138/97</t>
        </is>
      </c>
      <c r="B132" t="inlineStr">
        <is>
          <t>濾芯 (適用於 ASH1516CH 過濾花灑頭)</t>
        </is>
      </c>
      <c r="C132" t="inlineStr"/>
      <c r="D132" t="n">
        <v>0.03</v>
      </c>
      <c r="E132" t="inlineStr"/>
      <c r="F132" t="inlineStr"/>
      <c r="G132" t="inlineStr"/>
      <c r="H132" t="n">
        <v>0.03</v>
      </c>
      <c r="I132" t="n">
        <v>295</v>
      </c>
      <c r="J132" t="inlineStr">
        <is>
          <t>century_field</t>
        </is>
      </c>
    </row>
    <row r="133">
      <c r="A133" t="inlineStr">
        <is>
          <t>AUT1211</t>
        </is>
      </c>
      <c r="B133" t="inlineStr">
        <is>
          <t>AUT1211 座枱式濾水器</t>
        </is>
      </c>
      <c r="C133" t="inlineStr"/>
      <c r="D133" t="n">
        <v>0.03</v>
      </c>
      <c r="E133" t="inlineStr"/>
      <c r="F133" t="inlineStr"/>
      <c r="G133" t="inlineStr"/>
      <c r="H133" t="n">
        <v>0.03</v>
      </c>
      <c r="I133" t="n">
        <v>74</v>
      </c>
      <c r="J133" t="inlineStr">
        <is>
          <t>century_field</t>
        </is>
      </c>
    </row>
    <row r="134">
      <c r="A134" t="inlineStr">
        <is>
          <t>AUT2015</t>
        </is>
      </c>
      <c r="B134" t="inlineStr">
        <is>
          <t>櫥下型濾水器AUT2015/90</t>
        </is>
      </c>
      <c r="C134" t="inlineStr"/>
      <c r="D134" t="n">
        <v>0.03</v>
      </c>
      <c r="E134" t="inlineStr"/>
      <c r="F134" t="inlineStr"/>
      <c r="G134" t="inlineStr"/>
      <c r="H134" t="n">
        <v>0.03</v>
      </c>
      <c r="I134" t="n">
        <v>75</v>
      </c>
      <c r="J134" t="inlineStr">
        <is>
          <t>century_field</t>
        </is>
      </c>
    </row>
    <row r="135">
      <c r="A135" t="inlineStr">
        <is>
          <t>AUT3234/97</t>
        </is>
      </c>
      <c r="B135" t="inlineStr">
        <is>
          <t>櫥下型濾水器</t>
        </is>
      </c>
      <c r="C135" t="inlineStr"/>
      <c r="D135" t="n">
        <v>0.03</v>
      </c>
      <c r="E135" t="inlineStr"/>
      <c r="F135" t="inlineStr"/>
      <c r="G135" t="inlineStr"/>
      <c r="H135" t="n">
        <v>0.03</v>
      </c>
      <c r="I135" t="n">
        <v>76</v>
      </c>
      <c r="J135" t="inlineStr">
        <is>
          <t>century_field</t>
        </is>
      </c>
    </row>
    <row r="136">
      <c r="A136" t="inlineStr">
        <is>
          <t>AUT3234/97 櫥下型濾水器</t>
        </is>
      </c>
      <c r="B136" t="inlineStr">
        <is>
          <t>櫥下型濾水器</t>
        </is>
      </c>
      <c r="C136" t="inlineStr"/>
      <c r="D136" t="n">
        <v>0.03</v>
      </c>
      <c r="E136" t="inlineStr"/>
      <c r="F136" t="inlineStr"/>
      <c r="G136" t="inlineStr"/>
      <c r="H136" t="n">
        <v>0.03</v>
      </c>
      <c r="I136" t="n">
        <v>1178</v>
      </c>
      <c r="J136" t="inlineStr">
        <is>
          <t>century_field</t>
        </is>
      </c>
    </row>
    <row r="137">
      <c r="A137" t="inlineStr">
        <is>
          <t>AUT3234/97+AWP1775CH</t>
        </is>
      </c>
      <c r="B137" t="inlineStr">
        <is>
          <t>櫥下式濾水器+淋浴過濾器</t>
        </is>
      </c>
      <c r="C137" t="inlineStr"/>
      <c r="D137" t="n">
        <v>0.03</v>
      </c>
      <c r="E137" t="inlineStr"/>
      <c r="F137" t="inlineStr"/>
      <c r="G137" t="inlineStr"/>
      <c r="H137" t="n">
        <v>0.03</v>
      </c>
      <c r="I137" t="n">
        <v>77</v>
      </c>
      <c r="J137" t="inlineStr">
        <is>
          <t>century_field</t>
        </is>
      </c>
    </row>
    <row r="138">
      <c r="A138" t="inlineStr">
        <is>
          <t>AUT4030R600/90</t>
        </is>
      </c>
      <c r="B138" t="inlineStr">
        <is>
          <t>櫥下型濾水器</t>
        </is>
      </c>
      <c r="C138" t="inlineStr"/>
      <c r="D138" t="n">
        <v>0.03</v>
      </c>
      <c r="E138" t="inlineStr"/>
      <c r="F138" t="inlineStr"/>
      <c r="G138" t="inlineStr"/>
      <c r="H138" t="n">
        <v>0.03</v>
      </c>
      <c r="I138" t="n">
        <v>287</v>
      </c>
      <c r="J138" t="inlineStr">
        <is>
          <t>century_field</t>
        </is>
      </c>
    </row>
    <row r="139">
      <c r="A139" t="inlineStr">
        <is>
          <t>AUT6036/90</t>
        </is>
      </c>
      <c r="B139" t="inlineStr">
        <is>
          <t>櫥下型系統</t>
        </is>
      </c>
      <c r="C139" t="inlineStr"/>
      <c r="D139" t="n">
        <v>0.03</v>
      </c>
      <c r="E139" t="inlineStr"/>
      <c r="F139" t="inlineStr"/>
      <c r="G139" t="inlineStr"/>
      <c r="H139" t="n">
        <v>0.03</v>
      </c>
      <c r="I139" t="n">
        <v>282</v>
      </c>
      <c r="J139" t="inlineStr">
        <is>
          <t>century_field</t>
        </is>
      </c>
    </row>
    <row r="140">
      <c r="A140" t="inlineStr">
        <is>
          <t>AUT604CB/90</t>
        </is>
      </c>
      <c r="B140" t="inlineStr">
        <is>
          <t>櫥下式濾芯</t>
        </is>
      </c>
      <c r="C140" t="inlineStr"/>
      <c r="D140" t="n">
        <v>0.03</v>
      </c>
      <c r="E140" t="inlineStr"/>
      <c r="F140" t="inlineStr"/>
      <c r="G140" t="inlineStr"/>
      <c r="H140" t="n">
        <v>0.03</v>
      </c>
      <c r="I140" t="n">
        <v>302</v>
      </c>
      <c r="J140" t="inlineStr">
        <is>
          <t>century_field</t>
        </is>
      </c>
    </row>
    <row r="141">
      <c r="A141" t="inlineStr">
        <is>
          <t>AUT706</t>
        </is>
      </c>
      <c r="B141" t="inlineStr">
        <is>
          <t>RO 廚下式濾水芯CP 複合活性碳濾芯</t>
        </is>
      </c>
      <c r="C141" t="inlineStr"/>
      <c r="D141" t="n">
        <v>0.03</v>
      </c>
      <c r="E141" t="inlineStr"/>
      <c r="F141" t="inlineStr"/>
      <c r="G141" t="inlineStr"/>
      <c r="H141" t="n">
        <v>0.03</v>
      </c>
      <c r="I141" t="n">
        <v>78</v>
      </c>
      <c r="J141" t="inlineStr">
        <is>
          <t>century_field</t>
        </is>
      </c>
    </row>
    <row r="142">
      <c r="A142" t="inlineStr">
        <is>
          <t>AUT7063R23/90</t>
        </is>
      </c>
      <c r="B142" t="inlineStr">
        <is>
          <t>櫥下型系統</t>
        </is>
      </c>
      <c r="C142" t="inlineStr"/>
      <c r="D142" t="n">
        <v>0.03</v>
      </c>
      <c r="E142" t="inlineStr"/>
      <c r="F142" t="inlineStr"/>
      <c r="G142" t="inlineStr"/>
      <c r="H142" t="n">
        <v>0.03</v>
      </c>
      <c r="I142" t="n">
        <v>291</v>
      </c>
      <c r="J142" t="inlineStr">
        <is>
          <t>century_field</t>
        </is>
      </c>
    </row>
    <row r="143">
      <c r="A143" t="inlineStr">
        <is>
          <t>AUT805/97</t>
        </is>
      </c>
      <c r="B143" t="inlineStr">
        <is>
          <t>複合式濾芯CBPA</t>
        </is>
      </c>
      <c r="C143" t="inlineStr"/>
      <c r="D143" t="n">
        <v>0.03</v>
      </c>
      <c r="E143" t="inlineStr"/>
      <c r="F143" t="inlineStr"/>
      <c r="G143" t="inlineStr"/>
      <c r="H143" t="n">
        <v>0.03</v>
      </c>
      <c r="I143" t="n">
        <v>79</v>
      </c>
      <c r="J143" t="inlineStr">
        <is>
          <t>century_field</t>
        </is>
      </c>
    </row>
    <row r="144">
      <c r="A144" t="inlineStr">
        <is>
          <t>AUT806/97</t>
        </is>
      </c>
      <c r="B144" t="inlineStr">
        <is>
          <t>CB長效濾芯</t>
        </is>
      </c>
      <c r="C144" t="inlineStr"/>
      <c r="D144" t="n">
        <v>0.03</v>
      </c>
      <c r="E144" t="inlineStr"/>
      <c r="F144" t="inlineStr"/>
      <c r="G144" t="inlineStr"/>
      <c r="H144" t="n">
        <v>0.03</v>
      </c>
      <c r="I144" t="n">
        <v>80</v>
      </c>
      <c r="J144" t="inlineStr">
        <is>
          <t>century_field</t>
        </is>
      </c>
    </row>
    <row r="145">
      <c r="A145" t="inlineStr">
        <is>
          <t>AUT810/90</t>
        </is>
      </c>
      <c r="B145" t="inlineStr">
        <is>
          <t>座枱式濾水器濾水芯</t>
        </is>
      </c>
      <c r="C145" t="inlineStr"/>
      <c r="D145" t="n">
        <v>0.03</v>
      </c>
      <c r="E145" t="inlineStr"/>
      <c r="F145" t="inlineStr"/>
      <c r="G145" t="inlineStr"/>
      <c r="H145" t="n">
        <v>0.03</v>
      </c>
      <c r="I145" t="n">
        <v>304</v>
      </c>
      <c r="J145" t="inlineStr">
        <is>
          <t>century_field</t>
        </is>
      </c>
    </row>
    <row r="146">
      <c r="A146" t="inlineStr">
        <is>
          <t>AUT825/97</t>
        </is>
      </c>
      <c r="B146" t="inlineStr">
        <is>
          <t>UF 超長效濾芯</t>
        </is>
      </c>
      <c r="C146" t="inlineStr"/>
      <c r="D146" t="n">
        <v>0.03</v>
      </c>
      <c r="E146" t="inlineStr"/>
      <c r="F146" t="inlineStr"/>
      <c r="G146" t="inlineStr"/>
      <c r="H146" t="n">
        <v>0.03</v>
      </c>
      <c r="I146" t="n">
        <v>81</v>
      </c>
      <c r="J146" t="inlineStr">
        <is>
          <t>century_field</t>
        </is>
      </c>
    </row>
    <row r="147">
      <c r="A147" t="inlineStr">
        <is>
          <t>AUT9028DG/90 RO櫥下式冷熱淨水器</t>
        </is>
      </c>
      <c r="B147" t="inlineStr">
        <is>
          <t>櫥下式冷熱淨水器</t>
        </is>
      </c>
      <c r="C147" t="inlineStr"/>
      <c r="D147" t="n">
        <v>0.03</v>
      </c>
      <c r="E147" t="inlineStr"/>
      <c r="F147" t="inlineStr"/>
      <c r="G147" t="inlineStr"/>
      <c r="H147" t="n">
        <v>0.03</v>
      </c>
      <c r="I147" t="n">
        <v>321</v>
      </c>
      <c r="J147" t="inlineStr">
        <is>
          <t>century_field</t>
        </is>
      </c>
    </row>
    <row r="148">
      <c r="A148" t="inlineStr">
        <is>
          <t>AWP175</t>
        </is>
      </c>
      <c r="B148" t="inlineStr">
        <is>
          <t>淋浴淨水器濾芯</t>
        </is>
      </c>
      <c r="C148" t="inlineStr"/>
      <c r="D148" t="n">
        <v>0.03</v>
      </c>
      <c r="E148" t="inlineStr"/>
      <c r="F148" t="inlineStr"/>
      <c r="G148" t="inlineStr"/>
      <c r="H148" t="n">
        <v>0.03</v>
      </c>
      <c r="I148" t="n">
        <v>83</v>
      </c>
      <c r="J148" t="inlineStr">
        <is>
          <t>century_field</t>
        </is>
      </c>
    </row>
    <row r="149">
      <c r="A149" t="inlineStr">
        <is>
          <t>AWP1751</t>
        </is>
      </c>
      <c r="B149" t="inlineStr">
        <is>
          <t>淋浴淨水器濾芯</t>
        </is>
      </c>
      <c r="C149" t="inlineStr"/>
      <c r="D149" t="n">
        <v>0.03</v>
      </c>
      <c r="E149" t="inlineStr"/>
      <c r="F149" t="inlineStr"/>
      <c r="G149" t="inlineStr"/>
      <c r="H149" t="n">
        <v>0.03</v>
      </c>
      <c r="I149" t="n">
        <v>84</v>
      </c>
      <c r="J149" t="inlineStr">
        <is>
          <t>century_field</t>
        </is>
      </c>
    </row>
    <row r="150">
      <c r="A150" t="inlineStr">
        <is>
          <t>AWP1775</t>
        </is>
      </c>
      <c r="B150" t="inlineStr">
        <is>
          <t>淋浴過濾器</t>
        </is>
      </c>
      <c r="C150" t="inlineStr"/>
      <c r="D150" t="n">
        <v>0.03</v>
      </c>
      <c r="E150" t="inlineStr"/>
      <c r="F150" t="inlineStr"/>
      <c r="G150" t="inlineStr"/>
      <c r="H150" t="n">
        <v>0.03</v>
      </c>
      <c r="I150" t="n">
        <v>85</v>
      </c>
      <c r="J150" t="inlineStr">
        <is>
          <t>century_field</t>
        </is>
      </c>
    </row>
    <row r="151">
      <c r="A151" t="inlineStr">
        <is>
          <t>AWP1775+175</t>
        </is>
      </c>
      <c r="B151" t="inlineStr">
        <is>
          <t>淋浴淨水器套裝</t>
        </is>
      </c>
      <c r="C151" t="inlineStr"/>
      <c r="D151" t="n">
        <v>0.03</v>
      </c>
      <c r="E151" t="inlineStr"/>
      <c r="F151" t="inlineStr"/>
      <c r="G151" t="inlineStr"/>
      <c r="H151" t="n">
        <v>0.03</v>
      </c>
      <c r="I151" t="n">
        <v>943</v>
      </c>
      <c r="J151" t="inlineStr">
        <is>
          <t>century_field</t>
        </is>
      </c>
    </row>
    <row r="152">
      <c r="A152" t="inlineStr">
        <is>
          <t>AWP1775+AWP175</t>
        </is>
      </c>
      <c r="B152" t="inlineStr">
        <is>
          <t>淋浴淨水器套裝</t>
        </is>
      </c>
      <c r="C152" t="inlineStr"/>
      <c r="D152" t="n">
        <v>0.03</v>
      </c>
      <c r="E152" t="inlineStr"/>
      <c r="F152" t="inlineStr"/>
      <c r="G152" t="inlineStr"/>
      <c r="H152" t="n">
        <v>0.03</v>
      </c>
      <c r="I152" t="n">
        <v>87</v>
      </c>
      <c r="J152" t="inlineStr">
        <is>
          <t>century_field</t>
        </is>
      </c>
    </row>
    <row r="153">
      <c r="A153" t="inlineStr">
        <is>
          <t>AWP1775/90</t>
        </is>
      </c>
      <c r="B153" t="inlineStr">
        <is>
          <t>淋浴過濾器</t>
        </is>
      </c>
      <c r="C153" t="inlineStr"/>
      <c r="D153" t="n">
        <v>0.03</v>
      </c>
      <c r="E153" t="inlineStr"/>
      <c r="F153" t="inlineStr"/>
      <c r="G153" t="inlineStr"/>
      <c r="H153" t="n">
        <v>0.03</v>
      </c>
      <c r="I153" t="n">
        <v>86</v>
      </c>
      <c r="J153" t="inlineStr">
        <is>
          <t>century_field</t>
        </is>
      </c>
    </row>
    <row r="154">
      <c r="A154" t="inlineStr">
        <is>
          <t>AWP1775WH</t>
        </is>
      </c>
      <c r="B154" t="inlineStr">
        <is>
          <t>淋浴過濾器</t>
        </is>
      </c>
      <c r="C154" t="inlineStr"/>
      <c r="D154" t="n">
        <v>0.03</v>
      </c>
      <c r="E154" t="inlineStr"/>
      <c r="F154" t="inlineStr"/>
      <c r="G154" t="inlineStr"/>
      <c r="H154" t="n">
        <v>0.03</v>
      </c>
      <c r="I154" t="n">
        <v>89</v>
      </c>
      <c r="J154" t="inlineStr">
        <is>
          <t>century_field</t>
        </is>
      </c>
    </row>
    <row r="155">
      <c r="A155" t="inlineStr">
        <is>
          <t>AWP201</t>
        </is>
      </c>
      <c r="B155" t="inlineStr">
        <is>
          <t>濾水壺濾芯</t>
        </is>
      </c>
      <c r="C155" t="inlineStr"/>
      <c r="D155" t="n">
        <v>0.03</v>
      </c>
      <c r="E155" t="inlineStr"/>
      <c r="F155" t="inlineStr"/>
      <c r="G155" t="inlineStr"/>
      <c r="H155" t="n">
        <v>0.03</v>
      </c>
      <c r="I155" t="n">
        <v>90</v>
      </c>
      <c r="J155" t="inlineStr">
        <is>
          <t>century_field</t>
        </is>
      </c>
    </row>
    <row r="156">
      <c r="A156" t="inlineStr">
        <is>
          <t>AWP210/97</t>
        </is>
      </c>
      <c r="B156" t="inlineStr">
        <is>
          <t>濾芯</t>
        </is>
      </c>
      <c r="C156" t="inlineStr"/>
      <c r="D156" t="n">
        <v>0.03</v>
      </c>
      <c r="E156" t="inlineStr"/>
      <c r="F156" t="inlineStr"/>
      <c r="G156" t="inlineStr"/>
      <c r="H156" t="n">
        <v>0.03</v>
      </c>
      <c r="I156" t="n">
        <v>91</v>
      </c>
      <c r="J156" t="inlineStr">
        <is>
          <t>century_field</t>
        </is>
      </c>
    </row>
    <row r="157">
      <c r="A157" t="inlineStr">
        <is>
          <t>AWP211</t>
        </is>
      </c>
      <c r="B157" t="inlineStr">
        <is>
          <t>飛利浦 Micro Pure 濾水芯</t>
        </is>
      </c>
      <c r="C157" t="inlineStr"/>
      <c r="D157" t="n">
        <v>0.03</v>
      </c>
      <c r="E157" t="inlineStr"/>
      <c r="F157" t="inlineStr"/>
      <c r="G157" t="inlineStr"/>
      <c r="H157" t="n">
        <v>0.03</v>
      </c>
      <c r="I157" t="n">
        <v>92</v>
      </c>
      <c r="J157" t="inlineStr">
        <is>
          <t>century_field</t>
        </is>
      </c>
    </row>
    <row r="158">
      <c r="A158" t="inlineStr">
        <is>
          <t>AWP211/97</t>
        </is>
      </c>
      <c r="B158" t="inlineStr">
        <is>
          <t>濾水芯 (三個裝)</t>
        </is>
      </c>
      <c r="C158" t="inlineStr"/>
      <c r="D158" t="n">
        <v>0.03</v>
      </c>
      <c r="E158" t="inlineStr"/>
      <c r="F158" t="inlineStr"/>
      <c r="G158" t="inlineStr"/>
      <c r="H158" t="n">
        <v>0.03</v>
      </c>
      <c r="I158" t="n">
        <v>93</v>
      </c>
      <c r="J158" t="inlineStr">
        <is>
          <t>century_field</t>
        </is>
      </c>
    </row>
    <row r="159">
      <c r="A159" t="inlineStr">
        <is>
          <t>AWP212</t>
        </is>
      </c>
      <c r="B159" t="inlineStr">
        <is>
          <t>濾水壺濾芯</t>
        </is>
      </c>
      <c r="C159" t="inlineStr"/>
      <c r="D159" t="n">
        <v>0.03</v>
      </c>
      <c r="E159" t="inlineStr"/>
      <c r="F159" t="inlineStr"/>
      <c r="G159" t="inlineStr"/>
      <c r="H159" t="n">
        <v>0.03</v>
      </c>
      <c r="I159" t="n">
        <v>94</v>
      </c>
      <c r="J159" t="inlineStr">
        <is>
          <t>century_field</t>
        </is>
      </c>
    </row>
    <row r="160">
      <c r="A160" t="inlineStr">
        <is>
          <t>AWP225/97</t>
        </is>
      </c>
      <c r="B160" t="inlineStr">
        <is>
          <t>輕攜電動濾水機濾芯 3支裝</t>
        </is>
      </c>
      <c r="C160" t="inlineStr"/>
      <c r="D160" t="n">
        <v>0.03</v>
      </c>
      <c r="E160" t="inlineStr"/>
      <c r="F160" t="inlineStr"/>
      <c r="G160" t="inlineStr"/>
      <c r="H160" t="n">
        <v>0.03</v>
      </c>
      <c r="I160" t="n">
        <v>95</v>
      </c>
      <c r="J160" t="inlineStr">
        <is>
          <t>century_field</t>
        </is>
      </c>
    </row>
    <row r="161">
      <c r="A161" t="inlineStr">
        <is>
          <t>AWP2754 便攜煲水咖啡杯</t>
        </is>
      </c>
      <c r="B161" t="inlineStr">
        <is>
          <t>咖啡杯</t>
        </is>
      </c>
      <c r="C161" t="inlineStr"/>
      <c r="D161" t="n">
        <v>0.03</v>
      </c>
      <c r="E161" t="inlineStr"/>
      <c r="F161" t="inlineStr"/>
      <c r="G161" t="inlineStr"/>
      <c r="H161" t="n">
        <v>0.03</v>
      </c>
      <c r="I161" t="n">
        <v>1179</v>
      </c>
      <c r="J161" t="inlineStr">
        <is>
          <t>century_field</t>
        </is>
      </c>
    </row>
    <row r="162">
      <c r="A162" t="inlineStr">
        <is>
          <t>AWP2769AP/97</t>
        </is>
      </c>
      <c r="B162" t="inlineStr">
        <is>
          <t>電熱水樽</t>
        </is>
      </c>
      <c r="C162" t="inlineStr"/>
      <c r="D162" t="n">
        <v>0.03</v>
      </c>
      <c r="E162" t="inlineStr"/>
      <c r="F162" t="inlineStr"/>
      <c r="G162" t="inlineStr"/>
      <c r="H162" t="n">
        <v>0.03</v>
      </c>
      <c r="I162" t="n">
        <v>284</v>
      </c>
      <c r="J162" t="inlineStr">
        <is>
          <t>century_field</t>
        </is>
      </c>
    </row>
    <row r="163">
      <c r="A163" t="inlineStr">
        <is>
          <t>AWP2920+AWP201</t>
        </is>
      </c>
      <c r="B163" t="inlineStr">
        <is>
          <t>濾水壺+濾芯</t>
        </is>
      </c>
      <c r="C163" t="inlineStr"/>
      <c r="D163" t="n">
        <v>0.03</v>
      </c>
      <c r="E163" t="inlineStr"/>
      <c r="F163" t="inlineStr"/>
      <c r="G163" t="inlineStr"/>
      <c r="H163" t="n">
        <v>0.03</v>
      </c>
      <c r="I163" t="n">
        <v>99</v>
      </c>
      <c r="J163" t="inlineStr">
        <is>
          <t>century_field</t>
        </is>
      </c>
    </row>
    <row r="164">
      <c r="A164" t="inlineStr">
        <is>
          <t>AWP2920/03</t>
        </is>
      </c>
      <c r="B164" t="inlineStr">
        <is>
          <t>濾水壺</t>
        </is>
      </c>
      <c r="C164" t="inlineStr"/>
      <c r="D164" t="n">
        <v>0.03</v>
      </c>
      <c r="E164" t="inlineStr"/>
      <c r="F164" t="inlineStr"/>
      <c r="G164" t="inlineStr"/>
      <c r="H164" t="n">
        <v>0.03</v>
      </c>
      <c r="I164" t="n">
        <v>97</v>
      </c>
      <c r="J164" t="inlineStr">
        <is>
          <t>century_field</t>
        </is>
      </c>
    </row>
    <row r="165">
      <c r="A165" t="inlineStr">
        <is>
          <t>AWP2935</t>
        </is>
      </c>
      <c r="B165" t="inlineStr">
        <is>
          <t>濾水壺</t>
        </is>
      </c>
      <c r="C165" t="inlineStr"/>
      <c r="D165" t="n">
        <v>0.03</v>
      </c>
      <c r="E165" t="inlineStr"/>
      <c r="F165" t="inlineStr"/>
      <c r="G165" t="inlineStr"/>
      <c r="H165" t="n">
        <v>0.03</v>
      </c>
      <c r="I165" t="n">
        <v>100</v>
      </c>
      <c r="J165" t="inlineStr">
        <is>
          <t>century_field</t>
        </is>
      </c>
    </row>
    <row r="166">
      <c r="A166" t="inlineStr">
        <is>
          <t>AWP2935+WHT197</t>
        </is>
      </c>
      <c r="B166" t="inlineStr">
        <is>
          <t>濾水壺+濾心</t>
        </is>
      </c>
      <c r="C166" t="inlineStr"/>
      <c r="D166" t="n">
        <v>0.03</v>
      </c>
      <c r="E166" t="inlineStr"/>
      <c r="F166" t="inlineStr"/>
      <c r="G166" t="inlineStr"/>
      <c r="H166" t="n">
        <v>0.03</v>
      </c>
      <c r="I166" t="n">
        <v>103</v>
      </c>
      <c r="J166" t="inlineStr">
        <is>
          <t>century_field</t>
        </is>
      </c>
    </row>
    <row r="167">
      <c r="A167" t="inlineStr">
        <is>
          <t>AWP2937</t>
        </is>
      </c>
      <c r="B167" t="inlineStr">
        <is>
          <t>3.4公升濾水壺</t>
        </is>
      </c>
      <c r="C167" t="inlineStr"/>
      <c r="D167" t="n">
        <v>0.03</v>
      </c>
      <c r="E167" t="inlineStr"/>
      <c r="F167" t="inlineStr"/>
      <c r="G167" t="inlineStr"/>
      <c r="H167" t="n">
        <v>0.03</v>
      </c>
      <c r="I167" t="n">
        <v>106</v>
      </c>
      <c r="J167" t="inlineStr">
        <is>
          <t>century_field</t>
        </is>
      </c>
    </row>
    <row r="168">
      <c r="A168" t="inlineStr">
        <is>
          <t>AWP2937+AWP211</t>
        </is>
      </c>
      <c r="B168" t="inlineStr">
        <is>
          <t>3.4公升濾水壺 AWP2937 + AWP211 (1壺4芯套裝)</t>
        </is>
      </c>
      <c r="C168" t="inlineStr"/>
      <c r="D168" t="n">
        <v>0.03</v>
      </c>
      <c r="E168" t="inlineStr"/>
      <c r="F168" t="inlineStr"/>
      <c r="G168" t="inlineStr"/>
      <c r="H168" t="n">
        <v>0.03</v>
      </c>
      <c r="I168" t="n">
        <v>107</v>
      </c>
      <c r="J168" t="inlineStr">
        <is>
          <t>century_field</t>
        </is>
      </c>
    </row>
    <row r="169">
      <c r="A169" t="inlineStr">
        <is>
          <t>AWP2937WHT/97+AWP211</t>
        </is>
      </c>
      <c r="B169" t="inlineStr">
        <is>
          <t>濾水壺 + 濾芯 優惠套裝</t>
        </is>
      </c>
      <c r="C169" t="inlineStr"/>
      <c r="D169" t="n">
        <v>0.03</v>
      </c>
      <c r="E169" t="inlineStr"/>
      <c r="F169" t="inlineStr"/>
      <c r="G169" t="inlineStr"/>
      <c r="H169" t="n">
        <v>0.03</v>
      </c>
      <c r="I169" t="n">
        <v>108</v>
      </c>
      <c r="J169" t="inlineStr">
        <is>
          <t>century_field</t>
        </is>
      </c>
    </row>
    <row r="170">
      <c r="A170" t="inlineStr">
        <is>
          <t>AWP2965GNT+AWP211</t>
        </is>
      </c>
      <c r="B170" t="inlineStr">
        <is>
          <t>濾水壺連3個濾芯套裝Mirco Pure</t>
        </is>
      </c>
      <c r="C170" t="inlineStr"/>
      <c r="D170" t="n">
        <v>0.03</v>
      </c>
      <c r="E170" t="inlineStr"/>
      <c r="F170" t="inlineStr"/>
      <c r="G170" t="inlineStr"/>
      <c r="H170" t="n">
        <v>0.03</v>
      </c>
      <c r="I170" t="n">
        <v>110</v>
      </c>
      <c r="J170" t="inlineStr">
        <is>
          <t>century_field</t>
        </is>
      </c>
    </row>
    <row r="171">
      <c r="A171" t="inlineStr">
        <is>
          <t>AWP2970+AWP260</t>
        </is>
      </c>
      <c r="B171" t="inlineStr">
        <is>
          <t>濾水壺替換濾芯兩個裝</t>
        </is>
      </c>
      <c r="C171" t="inlineStr"/>
      <c r="D171" t="n">
        <v>0.03</v>
      </c>
      <c r="E171" t="inlineStr"/>
      <c r="F171" t="inlineStr"/>
      <c r="G171" t="inlineStr"/>
      <c r="H171" t="n">
        <v>0.03</v>
      </c>
      <c r="I171" t="n">
        <v>113</v>
      </c>
      <c r="J171" t="inlineStr">
        <is>
          <t>century_field</t>
        </is>
      </c>
    </row>
    <row r="172">
      <c r="A172" t="inlineStr">
        <is>
          <t>AWP2970/03</t>
        </is>
      </c>
      <c r="B172" t="inlineStr">
        <is>
          <t>濾水壺</t>
        </is>
      </c>
      <c r="C172" t="inlineStr"/>
      <c r="D172" t="n">
        <v>0.03</v>
      </c>
      <c r="E172" t="inlineStr"/>
      <c r="F172" t="inlineStr"/>
      <c r="G172" t="inlineStr"/>
      <c r="H172" t="n">
        <v>0.03</v>
      </c>
      <c r="I172" t="n">
        <v>111</v>
      </c>
      <c r="J172" t="inlineStr">
        <is>
          <t>century_field</t>
        </is>
      </c>
    </row>
    <row r="173">
      <c r="A173" t="inlineStr">
        <is>
          <t>AWP2970/AWP260</t>
        </is>
      </c>
      <c r="B173" t="inlineStr">
        <is>
          <t>濾水壺替換濾芯兩個裝</t>
        </is>
      </c>
      <c r="C173" t="inlineStr"/>
      <c r="D173" t="n">
        <v>0.03</v>
      </c>
      <c r="E173" t="inlineStr"/>
      <c r="F173" t="inlineStr"/>
      <c r="G173" t="inlineStr"/>
      <c r="H173" t="n">
        <v>0.03</v>
      </c>
      <c r="I173" t="n">
        <v>112</v>
      </c>
      <c r="J173" t="inlineStr">
        <is>
          <t>century_field</t>
        </is>
      </c>
    </row>
    <row r="174">
      <c r="A174" t="inlineStr">
        <is>
          <t>AWP2980</t>
        </is>
      </c>
      <c r="B174" t="inlineStr">
        <is>
          <t>3公升 輕攜電動濾水機飲水機</t>
        </is>
      </c>
      <c r="C174" t="inlineStr"/>
      <c r="D174" t="n">
        <v>0.03</v>
      </c>
      <c r="E174" t="inlineStr"/>
      <c r="F174" t="inlineStr"/>
      <c r="G174" t="inlineStr"/>
      <c r="H174" t="n">
        <v>0.03</v>
      </c>
      <c r="I174" t="n">
        <v>114</v>
      </c>
      <c r="J174" t="inlineStr">
        <is>
          <t>century_field</t>
        </is>
      </c>
    </row>
    <row r="175">
      <c r="A175" t="inlineStr">
        <is>
          <t>AWP2980WH/97</t>
        </is>
      </c>
      <c r="B175" t="inlineStr">
        <is>
          <t>輕攜電動濾水機</t>
        </is>
      </c>
      <c r="C175" t="inlineStr"/>
      <c r="D175" t="n">
        <v>0.03</v>
      </c>
      <c r="E175" t="inlineStr"/>
      <c r="F175" t="inlineStr"/>
      <c r="G175" t="inlineStr"/>
      <c r="H175" t="n">
        <v>0.03</v>
      </c>
      <c r="I175" t="n">
        <v>115</v>
      </c>
      <c r="J175" t="inlineStr">
        <is>
          <t>century_field</t>
        </is>
      </c>
    </row>
    <row r="176">
      <c r="A176" t="inlineStr">
        <is>
          <t>AWP305</t>
        </is>
      </c>
      <c r="B176" t="inlineStr">
        <is>
          <t>三重過濾濾芯</t>
        </is>
      </c>
      <c r="C176" t="inlineStr"/>
      <c r="D176" t="n">
        <v>0.03</v>
      </c>
      <c r="E176" t="inlineStr"/>
      <c r="F176" t="inlineStr"/>
      <c r="G176" t="inlineStr"/>
      <c r="H176" t="n">
        <v>0.03</v>
      </c>
      <c r="I176" t="n">
        <v>288</v>
      </c>
      <c r="J176" t="inlineStr">
        <is>
          <t>century_field</t>
        </is>
      </c>
    </row>
    <row r="177">
      <c r="A177" t="inlineStr">
        <is>
          <t>AWP315/97</t>
        </is>
      </c>
      <c r="B177" t="inlineStr">
        <is>
          <t>濾芯盒</t>
        </is>
      </c>
      <c r="C177" t="inlineStr"/>
      <c r="D177" t="n">
        <v>0.03</v>
      </c>
      <c r="E177" t="inlineStr"/>
      <c r="F177" t="inlineStr"/>
      <c r="G177" t="inlineStr"/>
      <c r="H177" t="n">
        <v>0.03</v>
      </c>
      <c r="I177" t="n">
        <v>116</v>
      </c>
      <c r="J177" t="inlineStr">
        <is>
          <t>century_field</t>
        </is>
      </c>
    </row>
    <row r="178">
      <c r="A178" t="inlineStr">
        <is>
          <t>AWP3381</t>
        </is>
      </c>
      <c r="B178" t="inlineStr">
        <is>
          <t>便攜養生樽</t>
        </is>
      </c>
      <c r="C178" t="inlineStr"/>
      <c r="D178" t="n">
        <v>0.03</v>
      </c>
      <c r="E178" t="inlineStr"/>
      <c r="F178" t="inlineStr"/>
      <c r="G178" t="inlineStr"/>
      <c r="H178" t="n">
        <v>0.03</v>
      </c>
      <c r="I178" t="n">
        <v>296</v>
      </c>
      <c r="J178" t="inlineStr">
        <is>
          <t>century_field</t>
        </is>
      </c>
    </row>
    <row r="179">
      <c r="A179" t="inlineStr">
        <is>
          <t>AWP3703/97</t>
        </is>
      </c>
      <c r="B179" t="inlineStr">
        <is>
          <t>水龍頭過濾器</t>
        </is>
      </c>
      <c r="C179" t="inlineStr"/>
      <c r="D179" t="n">
        <v>0.03</v>
      </c>
      <c r="E179" t="inlineStr"/>
      <c r="F179" t="inlineStr"/>
      <c r="G179" t="inlineStr"/>
      <c r="H179" t="n">
        <v>0.03</v>
      </c>
      <c r="I179" t="n">
        <v>286</v>
      </c>
      <c r="J179" t="inlineStr">
        <is>
          <t>century_field</t>
        </is>
      </c>
    </row>
    <row r="180">
      <c r="A180" t="inlineStr">
        <is>
          <t>AWP3733+3922</t>
        </is>
      </c>
      <c r="B180" t="inlineStr">
        <is>
          <t>超濾龍頭式淨水器組合</t>
        </is>
      </c>
      <c r="C180" t="inlineStr"/>
      <c r="D180" t="n">
        <v>0.03</v>
      </c>
      <c r="E180" t="inlineStr"/>
      <c r="F180" t="inlineStr"/>
      <c r="G180" t="inlineStr"/>
      <c r="H180" t="n">
        <v>0.03</v>
      </c>
      <c r="I180" t="n">
        <v>117</v>
      </c>
      <c r="J180" t="inlineStr">
        <is>
          <t>century_field</t>
        </is>
      </c>
    </row>
    <row r="181">
      <c r="A181" t="inlineStr">
        <is>
          <t>AWP3753/97</t>
        </is>
      </c>
      <c r="B181" t="inlineStr">
        <is>
          <t>水龍頭過濾器</t>
        </is>
      </c>
      <c r="C181" t="inlineStr"/>
      <c r="D181" t="n">
        <v>0.03</v>
      </c>
      <c r="E181" t="inlineStr"/>
      <c r="F181" t="inlineStr"/>
      <c r="G181" t="inlineStr"/>
      <c r="H181" t="n">
        <v>0.03</v>
      </c>
      <c r="I181" t="n">
        <v>118</v>
      </c>
      <c r="J181" t="inlineStr">
        <is>
          <t>century_field</t>
        </is>
      </c>
    </row>
    <row r="182">
      <c r="A182" t="inlineStr">
        <is>
          <t>AWP3754/97</t>
        </is>
      </c>
      <c r="B182" t="inlineStr">
        <is>
          <t>水龍頭過濾器</t>
        </is>
      </c>
      <c r="C182" t="inlineStr"/>
      <c r="D182" t="n">
        <v>0.03</v>
      </c>
      <c r="E182" t="inlineStr"/>
      <c r="F182" t="inlineStr"/>
      <c r="G182" t="inlineStr"/>
      <c r="H182" t="n">
        <v>0.03</v>
      </c>
      <c r="I182" t="n">
        <v>119</v>
      </c>
      <c r="J182" t="inlineStr">
        <is>
          <t>century_field</t>
        </is>
      </c>
    </row>
    <row r="183">
      <c r="A183" t="inlineStr">
        <is>
          <t>AWP3773</t>
        </is>
      </c>
      <c r="B183" t="inlineStr">
        <is>
          <t>AquaShield 水龍頭過濾器</t>
        </is>
      </c>
      <c r="C183" t="inlineStr"/>
      <c r="D183" t="n">
        <v>0.03</v>
      </c>
      <c r="E183" t="inlineStr"/>
      <c r="F183" t="inlineStr"/>
      <c r="G183" t="inlineStr"/>
      <c r="H183" t="n">
        <v>0.03</v>
      </c>
      <c r="I183" t="n">
        <v>120</v>
      </c>
      <c r="J183" t="inlineStr">
        <is>
          <t>century_field</t>
        </is>
      </c>
    </row>
    <row r="184">
      <c r="A184" t="inlineStr">
        <is>
          <t>AWP3773+AWP3922</t>
        </is>
      </c>
      <c r="B184" t="inlineStr">
        <is>
          <t>水龍頭過濾器+濾心</t>
        </is>
      </c>
      <c r="C184" t="inlineStr"/>
      <c r="D184" t="n">
        <v>0.03</v>
      </c>
      <c r="E184" t="inlineStr"/>
      <c r="F184" t="inlineStr"/>
      <c r="G184" t="inlineStr"/>
      <c r="H184" t="n">
        <v>0.03</v>
      </c>
      <c r="I184" t="n">
        <v>121</v>
      </c>
      <c r="J184" t="inlineStr">
        <is>
          <t>century_field</t>
        </is>
      </c>
    </row>
    <row r="185">
      <c r="A185" t="inlineStr">
        <is>
          <t>AWP3773+WP3922</t>
        </is>
      </c>
      <c r="B185" t="inlineStr">
        <is>
          <t>水龍頭過濾器+濾心</t>
        </is>
      </c>
      <c r="C185" t="inlineStr"/>
      <c r="D185" t="n">
        <v>0.03</v>
      </c>
      <c r="E185" t="inlineStr"/>
      <c r="F185" t="inlineStr"/>
      <c r="G185" t="inlineStr"/>
      <c r="H185" t="n">
        <v>0.03</v>
      </c>
      <c r="I185" t="n">
        <v>122</v>
      </c>
      <c r="J185" t="inlineStr">
        <is>
          <t>century_field</t>
        </is>
      </c>
    </row>
    <row r="186">
      <c r="A186" t="inlineStr">
        <is>
          <t>AWP3780/97</t>
        </is>
      </c>
      <c r="B186" t="inlineStr">
        <is>
          <t>座檯濾水器</t>
        </is>
      </c>
      <c r="C186" t="inlineStr"/>
      <c r="D186" t="n">
        <v>0.03</v>
      </c>
      <c r="E186" t="inlineStr"/>
      <c r="F186" t="inlineStr"/>
      <c r="G186" t="inlineStr"/>
      <c r="H186" t="n">
        <v>0.03</v>
      </c>
      <c r="I186" t="n">
        <v>123</v>
      </c>
      <c r="J186" t="inlineStr">
        <is>
          <t>century_field</t>
        </is>
      </c>
    </row>
    <row r="187">
      <c r="A187" t="inlineStr">
        <is>
          <t>AWP3811</t>
        </is>
      </c>
      <c r="B187" t="inlineStr">
        <is>
          <t>Micro Pure 水龍頭濾水器WP3811</t>
        </is>
      </c>
      <c r="C187" t="inlineStr"/>
      <c r="D187" t="n">
        <v>0.03</v>
      </c>
      <c r="E187" t="inlineStr"/>
      <c r="F187" t="inlineStr"/>
      <c r="G187" t="inlineStr"/>
      <c r="H187" t="n">
        <v>0.03</v>
      </c>
      <c r="I187" t="n">
        <v>124</v>
      </c>
      <c r="J187" t="inlineStr">
        <is>
          <t>century_field</t>
        </is>
      </c>
    </row>
    <row r="188">
      <c r="A188" t="inlineStr">
        <is>
          <t>AWP3983</t>
        </is>
      </c>
      <c r="B188" t="inlineStr">
        <is>
          <t>超濾複合濾水芯</t>
        </is>
      </c>
      <c r="C188" t="inlineStr"/>
      <c r="D188" t="n">
        <v>0.03</v>
      </c>
      <c r="E188" t="inlineStr"/>
      <c r="F188" t="inlineStr"/>
      <c r="G188" t="inlineStr"/>
      <c r="H188" t="n">
        <v>0.03</v>
      </c>
      <c r="I188" t="n">
        <v>125</v>
      </c>
      <c r="J188" t="inlineStr">
        <is>
          <t>century_field</t>
        </is>
      </c>
    </row>
    <row r="189">
      <c r="A189" t="inlineStr">
        <is>
          <t>AWPA75CH/P7</t>
        </is>
      </c>
      <c r="B189" t="inlineStr">
        <is>
          <t>Shower Filter</t>
        </is>
      </c>
      <c r="C189" t="inlineStr"/>
      <c r="D189" t="n">
        <v>0.03</v>
      </c>
      <c r="E189" t="inlineStr"/>
      <c r="F189" t="inlineStr"/>
      <c r="G189" t="inlineStr"/>
      <c r="H189" t="n">
        <v>0.03</v>
      </c>
      <c r="I189" t="n">
        <v>126</v>
      </c>
      <c r="J189" t="inlineStr">
        <is>
          <t>century_field</t>
        </is>
      </c>
    </row>
    <row r="190">
      <c r="A190" t="inlineStr">
        <is>
          <t>BHB864</t>
        </is>
      </c>
      <c r="B190" t="inlineStr">
        <is>
          <t>捲髮器</t>
        </is>
      </c>
      <c r="C190" t="inlineStr"/>
      <c r="D190" t="n">
        <v>0.03</v>
      </c>
      <c r="E190" t="inlineStr"/>
      <c r="F190" t="inlineStr"/>
      <c r="G190" t="inlineStr"/>
      <c r="H190" t="n">
        <v>0.03</v>
      </c>
      <c r="I190" t="n">
        <v>127</v>
      </c>
      <c r="J190" t="inlineStr">
        <is>
          <t>century_field</t>
        </is>
      </c>
    </row>
    <row r="191">
      <c r="A191" t="inlineStr">
        <is>
          <t>BHB869</t>
        </is>
      </c>
      <c r="B191" t="inlineStr">
        <is>
          <t>強韌髮梢捲髮器</t>
        </is>
      </c>
      <c r="C191" t="inlineStr"/>
      <c r="D191" t="n">
        <v>0.03</v>
      </c>
      <c r="E191" t="inlineStr"/>
      <c r="F191" t="inlineStr"/>
      <c r="G191" t="inlineStr"/>
      <c r="H191" t="n">
        <v>0.03</v>
      </c>
      <c r="I191" t="n">
        <v>128</v>
      </c>
      <c r="J191" t="inlineStr">
        <is>
          <t>century_field</t>
        </is>
      </c>
    </row>
    <row r="192">
      <c r="A192" t="inlineStr">
        <is>
          <t>BHD274</t>
        </is>
      </c>
      <c r="B192" t="inlineStr">
        <is>
          <t>DryCare Pro 電風筒 BHD274/03</t>
        </is>
      </c>
      <c r="C192" t="inlineStr"/>
      <c r="D192" t="n">
        <v>0.03</v>
      </c>
      <c r="E192" t="inlineStr"/>
      <c r="F192" t="inlineStr"/>
      <c r="G192" t="inlineStr"/>
      <c r="H192" t="n">
        <v>0.03</v>
      </c>
      <c r="I192" t="n">
        <v>129</v>
      </c>
      <c r="J192" t="inlineStr">
        <is>
          <t>century_field</t>
        </is>
      </c>
    </row>
    <row r="193">
      <c r="A193" t="inlineStr">
        <is>
          <t>BHD274/03風筒</t>
        </is>
      </c>
      <c r="B193" t="inlineStr">
        <is>
          <t>DA小家電</t>
        </is>
      </c>
      <c r="C193" t="inlineStr"/>
      <c r="D193" t="n">
        <v>0.03</v>
      </c>
      <c r="E193" t="inlineStr"/>
      <c r="F193" t="inlineStr"/>
      <c r="G193" t="inlineStr"/>
      <c r="H193" t="n">
        <v>0.03</v>
      </c>
      <c r="I193" t="n">
        <v>318</v>
      </c>
      <c r="J193" t="inlineStr">
        <is>
          <t>century_field</t>
        </is>
      </c>
    </row>
    <row r="194">
      <c r="A194" t="inlineStr">
        <is>
          <t>BHD308</t>
        </is>
      </c>
      <c r="B194" t="inlineStr">
        <is>
          <t>風筒</t>
        </is>
      </c>
      <c r="C194" t="inlineStr"/>
      <c r="D194" t="n">
        <v>0.03</v>
      </c>
      <c r="E194" t="inlineStr"/>
      <c r="F194" t="inlineStr"/>
      <c r="G194" t="inlineStr"/>
      <c r="H194" t="n">
        <v>0.03</v>
      </c>
      <c r="I194" t="n">
        <v>131</v>
      </c>
      <c r="J194" t="inlineStr">
        <is>
          <t>century_field</t>
        </is>
      </c>
    </row>
    <row r="195">
      <c r="A195" t="inlineStr">
        <is>
          <t>BHD351</t>
        </is>
      </c>
      <c r="B195" t="inlineStr">
        <is>
          <t>3000 Series 電風筒 BHD351/13</t>
        </is>
      </c>
      <c r="C195" t="inlineStr"/>
      <c r="D195" t="n">
        <v>0.03</v>
      </c>
      <c r="E195" t="inlineStr"/>
      <c r="F195" t="inlineStr"/>
      <c r="G195" t="inlineStr"/>
      <c r="H195" t="n">
        <v>0.03</v>
      </c>
      <c r="I195" t="n">
        <v>132</v>
      </c>
      <c r="J195" t="inlineStr">
        <is>
          <t>century_field</t>
        </is>
      </c>
    </row>
    <row r="196">
      <c r="A196" t="inlineStr">
        <is>
          <t>BHD388</t>
        </is>
      </c>
      <c r="B196" t="inlineStr">
        <is>
          <t>風筒</t>
        </is>
      </c>
      <c r="C196" t="inlineStr"/>
      <c r="D196" t="n">
        <v>0.03</v>
      </c>
      <c r="E196" t="inlineStr"/>
      <c r="F196" t="inlineStr"/>
      <c r="G196" t="inlineStr"/>
      <c r="H196" t="n">
        <v>0.03</v>
      </c>
      <c r="I196" t="n">
        <v>133</v>
      </c>
      <c r="J196" t="inlineStr">
        <is>
          <t>century_field</t>
        </is>
      </c>
    </row>
    <row r="197">
      <c r="A197" t="inlineStr">
        <is>
          <t>BHD388/13</t>
        </is>
      </c>
      <c r="B197" t="inlineStr">
        <is>
          <t>電風筒</t>
        </is>
      </c>
      <c r="C197" t="inlineStr"/>
      <c r="D197" t="n">
        <v>0.03</v>
      </c>
      <c r="E197" t="inlineStr"/>
      <c r="F197" t="inlineStr"/>
      <c r="G197" t="inlineStr"/>
      <c r="H197" t="n">
        <v>0.03</v>
      </c>
      <c r="I197" t="n">
        <v>134</v>
      </c>
      <c r="J197" t="inlineStr">
        <is>
          <t>century_field</t>
        </is>
      </c>
    </row>
    <row r="198">
      <c r="A198" t="inlineStr">
        <is>
          <t>BHD510</t>
        </is>
      </c>
      <c r="B198" t="inlineStr">
        <is>
          <t>5000 Series 電風筒BHD510/03</t>
        </is>
      </c>
      <c r="C198" t="inlineStr"/>
      <c r="D198" t="n">
        <v>0.03</v>
      </c>
      <c r="E198" t="inlineStr"/>
      <c r="F198" t="inlineStr"/>
      <c r="G198" t="inlineStr"/>
      <c r="H198" t="n">
        <v>0.03</v>
      </c>
      <c r="I198" t="n">
        <v>135</v>
      </c>
      <c r="J198" t="inlineStr">
        <is>
          <t>century_field</t>
        </is>
      </c>
    </row>
    <row r="199">
      <c r="A199" t="inlineStr">
        <is>
          <t>BHD628</t>
        </is>
      </c>
      <c r="B199" t="inlineStr">
        <is>
          <t>SenseIQ 電風筒</t>
        </is>
      </c>
      <c r="C199" t="inlineStr"/>
      <c r="D199" t="n">
        <v>0.03</v>
      </c>
      <c r="E199" t="inlineStr"/>
      <c r="F199" t="inlineStr"/>
      <c r="G199" t="inlineStr"/>
      <c r="H199" t="n">
        <v>0.03</v>
      </c>
      <c r="I199" t="n">
        <v>136</v>
      </c>
      <c r="J199" t="inlineStr">
        <is>
          <t>century_field</t>
        </is>
      </c>
    </row>
    <row r="200">
      <c r="A200" t="inlineStr">
        <is>
          <t>BHH822</t>
        </is>
      </c>
      <c r="B200" t="inlineStr">
        <is>
          <t>多功能造型 (直/捲髮/梳)</t>
        </is>
      </c>
      <c r="C200" t="inlineStr"/>
      <c r="D200" t="n">
        <v>0.03</v>
      </c>
      <c r="E200" t="inlineStr"/>
      <c r="F200" t="inlineStr"/>
      <c r="G200" t="inlineStr"/>
      <c r="H200" t="n">
        <v>0.03</v>
      </c>
      <c r="I200" t="n">
        <v>137</v>
      </c>
      <c r="J200" t="inlineStr">
        <is>
          <t>century_field</t>
        </is>
      </c>
    </row>
    <row r="201">
      <c r="A201" t="inlineStr">
        <is>
          <t>BHS375/03</t>
        </is>
      </c>
      <c r="B201" t="inlineStr">
        <is>
          <t>直髮器</t>
        </is>
      </c>
      <c r="C201" t="inlineStr"/>
      <c r="D201" t="n">
        <v>0.03</v>
      </c>
      <c r="E201" t="inlineStr"/>
      <c r="F201" t="inlineStr"/>
      <c r="G201" t="inlineStr"/>
      <c r="H201" t="n">
        <v>0.03</v>
      </c>
      <c r="I201" t="n">
        <v>138</v>
      </c>
      <c r="J201" t="inlineStr">
        <is>
          <t>century_field</t>
        </is>
      </c>
    </row>
    <row r="202">
      <c r="A202" t="inlineStr">
        <is>
          <t>BHS376</t>
        </is>
      </c>
      <c r="B202" t="inlineStr">
        <is>
          <t>直髮器</t>
        </is>
      </c>
      <c r="C202" t="inlineStr"/>
      <c r="D202" t="n">
        <v>0.03</v>
      </c>
      <c r="E202" t="inlineStr"/>
      <c r="F202" t="inlineStr"/>
      <c r="G202" t="inlineStr"/>
      <c r="H202" t="n">
        <v>0.03</v>
      </c>
      <c r="I202" t="n">
        <v>139</v>
      </c>
      <c r="J202" t="inlineStr">
        <is>
          <t>century_field</t>
        </is>
      </c>
    </row>
    <row r="203">
      <c r="A203" t="inlineStr">
        <is>
          <t>BHS378</t>
        </is>
      </c>
      <c r="B203" t="inlineStr">
        <is>
          <t>直髮器</t>
        </is>
      </c>
      <c r="C203" t="inlineStr"/>
      <c r="D203" t="n">
        <v>0.03</v>
      </c>
      <c r="E203" t="inlineStr"/>
      <c r="F203" t="inlineStr"/>
      <c r="G203" t="inlineStr"/>
      <c r="H203" t="n">
        <v>0.03</v>
      </c>
      <c r="I203" t="n">
        <v>140</v>
      </c>
      <c r="J203" t="inlineStr">
        <is>
          <t>century_field</t>
        </is>
      </c>
    </row>
    <row r="204">
      <c r="A204" t="inlineStr">
        <is>
          <t>BHS830/03</t>
        </is>
      </c>
      <c r="B204" t="inlineStr">
        <is>
          <t>直髮器</t>
        </is>
      </c>
      <c r="C204" t="inlineStr"/>
      <c r="D204" t="n">
        <v>0.03</v>
      </c>
      <c r="E204" t="inlineStr"/>
      <c r="F204" t="inlineStr"/>
      <c r="G204" t="inlineStr"/>
      <c r="H204" t="n">
        <v>0.03</v>
      </c>
      <c r="I204" t="n">
        <v>141</v>
      </c>
      <c r="J204" t="inlineStr">
        <is>
          <t>century_field</t>
        </is>
      </c>
    </row>
    <row r="205">
      <c r="A205" t="inlineStr">
        <is>
          <t>BRE710</t>
        </is>
      </c>
      <c r="B205" t="inlineStr">
        <is>
          <t>Epilator Series 8000乾濕兩用脫毛器 BRE710/01</t>
        </is>
      </c>
      <c r="C205" t="inlineStr"/>
      <c r="D205" t="n">
        <v>0.03</v>
      </c>
      <c r="E205" t="inlineStr"/>
      <c r="F205" t="inlineStr"/>
      <c r="G205" t="inlineStr"/>
      <c r="H205" t="n">
        <v>0.03</v>
      </c>
      <c r="I205" t="n">
        <v>142</v>
      </c>
      <c r="J205" t="inlineStr">
        <is>
          <t>century_field</t>
        </is>
      </c>
    </row>
    <row r="206">
      <c r="A206" t="inlineStr">
        <is>
          <t>Bhd300</t>
        </is>
      </c>
      <c r="B206" t="inlineStr">
        <is>
          <t>電風筒</t>
        </is>
      </c>
      <c r="C206" t="inlineStr"/>
      <c r="D206" t="n">
        <v>0.03</v>
      </c>
      <c r="E206" t="inlineStr"/>
      <c r="F206" t="inlineStr"/>
      <c r="G206" t="inlineStr"/>
      <c r="H206" t="n">
        <v>0.03</v>
      </c>
      <c r="I206" t="n">
        <v>130</v>
      </c>
      <c r="J206" t="inlineStr">
        <is>
          <t>century_field</t>
        </is>
      </c>
    </row>
    <row r="207">
      <c r="A207" t="inlineStr">
        <is>
          <t>DE3203</t>
        </is>
      </c>
      <c r="B207" t="inlineStr">
        <is>
          <t>Series 3000 抽濕機 DE3203/30</t>
        </is>
      </c>
      <c r="C207" t="inlineStr"/>
      <c r="D207" t="n">
        <v>0.03</v>
      </c>
      <c r="E207" t="inlineStr"/>
      <c r="F207" t="inlineStr"/>
      <c r="G207" t="inlineStr"/>
      <c r="H207" t="n">
        <v>0.03</v>
      </c>
      <c r="I207" t="n">
        <v>143</v>
      </c>
      <c r="J207" t="inlineStr">
        <is>
          <t>century_field</t>
        </is>
      </c>
    </row>
    <row r="208">
      <c r="A208" t="inlineStr">
        <is>
          <t>DEM-MQ910</t>
        </is>
      </c>
      <c r="B208" t="inlineStr">
        <is>
          <t>德爾瑪 Deerma MQ910 毛球修剪器</t>
        </is>
      </c>
      <c r="C208" t="inlineStr"/>
      <c r="D208" t="n">
        <v>0.03</v>
      </c>
      <c r="E208" t="inlineStr"/>
      <c r="F208" t="inlineStr"/>
      <c r="G208" t="inlineStr"/>
      <c r="H208" t="n">
        <v>0.03</v>
      </c>
      <c r="I208" t="n">
        <v>144</v>
      </c>
      <c r="J208" t="inlineStr">
        <is>
          <t>century_field</t>
        </is>
      </c>
    </row>
    <row r="209">
      <c r="A209" t="inlineStr">
        <is>
          <t>DST2020燙斗</t>
        </is>
      </c>
      <c r="B209" t="inlineStr">
        <is>
          <t>DA小家電</t>
        </is>
      </c>
      <c r="C209" t="inlineStr"/>
      <c r="D209" t="n">
        <v>0.03</v>
      </c>
      <c r="E209" t="inlineStr"/>
      <c r="F209" t="inlineStr"/>
      <c r="G209" t="inlineStr"/>
      <c r="H209" t="n">
        <v>0.03</v>
      </c>
      <c r="I209" t="n">
        <v>314</v>
      </c>
      <c r="J209" t="inlineStr">
        <is>
          <t>century_field</t>
        </is>
      </c>
    </row>
    <row r="210">
      <c r="A210" t="inlineStr">
        <is>
          <t>DST5020/36 燙斗</t>
        </is>
      </c>
      <c r="B210" t="inlineStr">
        <is>
          <t>DA小家電</t>
        </is>
      </c>
      <c r="C210" t="inlineStr"/>
      <c r="D210" t="n">
        <v>0.03</v>
      </c>
      <c r="E210" t="inlineStr"/>
      <c r="F210" t="inlineStr"/>
      <c r="G210" t="inlineStr"/>
      <c r="H210" t="n">
        <v>0.03</v>
      </c>
      <c r="I210" t="n">
        <v>1180</v>
      </c>
      <c r="J210" t="inlineStr">
        <is>
          <t>century_field</t>
        </is>
      </c>
    </row>
    <row r="211">
      <c r="A211" t="inlineStr">
        <is>
          <t>DST5040/86燙斗</t>
        </is>
      </c>
      <c r="B211" t="inlineStr">
        <is>
          <t>DA小家電</t>
        </is>
      </c>
      <c r="C211" t="inlineStr"/>
      <c r="D211" t="n">
        <v>0.03</v>
      </c>
      <c r="E211" t="inlineStr"/>
      <c r="F211" t="inlineStr"/>
      <c r="G211" t="inlineStr"/>
      <c r="H211" t="n">
        <v>0.03</v>
      </c>
      <c r="I211" t="n">
        <v>319</v>
      </c>
      <c r="J211" t="inlineStr">
        <is>
          <t>century_field</t>
        </is>
      </c>
    </row>
    <row r="212">
      <c r="A212" t="inlineStr">
        <is>
          <t>EP2230/10</t>
        </is>
      </c>
      <c r="B212" t="inlineStr">
        <is>
          <t>全自動意式咖啡機</t>
        </is>
      </c>
      <c r="C212" t="inlineStr"/>
      <c r="D212" t="n">
        <v>0.03</v>
      </c>
      <c r="E212" t="inlineStr"/>
      <c r="F212" t="inlineStr"/>
      <c r="G212" t="inlineStr"/>
      <c r="H212" t="n">
        <v>0.03</v>
      </c>
      <c r="I212" t="n">
        <v>285</v>
      </c>
      <c r="J212" t="inlineStr">
        <is>
          <t>century_field</t>
        </is>
      </c>
    </row>
    <row r="213">
      <c r="A213" t="inlineStr">
        <is>
          <t>FC6172</t>
        </is>
      </c>
      <c r="B213" t="inlineStr">
        <is>
          <t>PowerPro Duo 二合一手提/直立吸塵機FC6172/61</t>
        </is>
      </c>
      <c r="C213" t="inlineStr"/>
      <c r="D213" t="n">
        <v>0.03</v>
      </c>
      <c r="E213" t="inlineStr"/>
      <c r="F213" t="inlineStr"/>
      <c r="G213" t="inlineStr"/>
      <c r="H213" t="n">
        <v>0.03</v>
      </c>
      <c r="I213" t="n">
        <v>145</v>
      </c>
      <c r="J213" t="inlineStr">
        <is>
          <t>century_field</t>
        </is>
      </c>
    </row>
    <row r="214">
      <c r="A214" t="inlineStr">
        <is>
          <t>FC8021/03</t>
        </is>
      </c>
      <c r="B214" t="inlineStr">
        <is>
          <t>塵袋</t>
        </is>
      </c>
      <c r="C214" t="inlineStr"/>
      <c r="D214" t="n">
        <v>0.03</v>
      </c>
      <c r="E214" t="inlineStr"/>
      <c r="F214" t="inlineStr"/>
      <c r="G214" t="inlineStr"/>
      <c r="H214" t="n">
        <v>0.03</v>
      </c>
      <c r="I214" t="n">
        <v>146</v>
      </c>
      <c r="J214" t="inlineStr">
        <is>
          <t>century_field</t>
        </is>
      </c>
    </row>
    <row r="215">
      <c r="A215" t="inlineStr">
        <is>
          <t>FY0194</t>
        </is>
      </c>
      <c r="B215" t="inlineStr">
        <is>
          <t>空氣清新機過濾網</t>
        </is>
      </c>
      <c r="C215" t="inlineStr"/>
      <c r="D215" t="n">
        <v>0.03</v>
      </c>
      <c r="E215" t="inlineStr"/>
      <c r="F215" t="inlineStr"/>
      <c r="G215" t="inlineStr"/>
      <c r="H215" t="n">
        <v>0.03</v>
      </c>
      <c r="I215" t="n">
        <v>148</v>
      </c>
      <c r="J215" t="inlineStr">
        <is>
          <t>century_field</t>
        </is>
      </c>
    </row>
    <row r="216">
      <c r="A216" t="inlineStr">
        <is>
          <t>Filter cartridge</t>
        </is>
      </c>
      <c r="B216" t="inlineStr">
        <is>
          <t>Filter cartridge</t>
        </is>
      </c>
      <c r="C216" t="inlineStr"/>
      <c r="D216" t="n">
        <v>0.03</v>
      </c>
      <c r="E216" t="inlineStr"/>
      <c r="F216" t="inlineStr"/>
      <c r="G216" t="inlineStr"/>
      <c r="H216" t="n">
        <v>0.03</v>
      </c>
      <c r="I216" t="n">
        <v>147</v>
      </c>
      <c r="J216" t="inlineStr">
        <is>
          <t>century_field</t>
        </is>
      </c>
    </row>
    <row r="217">
      <c r="A217" t="inlineStr">
        <is>
          <t>GC1752/36</t>
        </is>
      </c>
      <c r="B217" t="inlineStr">
        <is>
          <t>EasySpeed 2000W 蒸氣電熨斗</t>
        </is>
      </c>
      <c r="C217" t="inlineStr"/>
      <c r="D217" t="n">
        <v>0.03</v>
      </c>
      <c r="E217" t="inlineStr"/>
      <c r="F217" t="inlineStr"/>
      <c r="G217" t="inlineStr"/>
      <c r="H217" t="n">
        <v>0.03</v>
      </c>
      <c r="I217" t="n">
        <v>150</v>
      </c>
      <c r="J217" t="inlineStr">
        <is>
          <t>century_field</t>
        </is>
      </c>
    </row>
    <row r="218">
      <c r="A218" t="inlineStr">
        <is>
          <t>GC3929</t>
        </is>
      </c>
      <c r="B218" t="inlineStr">
        <is>
          <t>PerfectCare 蒸氣熨斗2600W</t>
        </is>
      </c>
      <c r="C218" t="inlineStr"/>
      <c r="D218" t="n">
        <v>0.03</v>
      </c>
      <c r="E218" t="inlineStr"/>
      <c r="F218" t="inlineStr"/>
      <c r="G218" t="inlineStr"/>
      <c r="H218" t="n">
        <v>0.03</v>
      </c>
      <c r="I218" t="n">
        <v>151</v>
      </c>
      <c r="J218" t="inlineStr">
        <is>
          <t>century_field</t>
        </is>
      </c>
    </row>
    <row r="219">
      <c r="A219" t="inlineStr">
        <is>
          <t>GC4533</t>
        </is>
      </c>
      <c r="B219" t="inlineStr">
        <is>
          <t>Azur 蒸氣熨斗GC4533</t>
        </is>
      </c>
      <c r="C219" t="inlineStr"/>
      <c r="D219" t="n">
        <v>0.03</v>
      </c>
      <c r="E219" t="inlineStr"/>
      <c r="F219" t="inlineStr"/>
      <c r="G219" t="inlineStr"/>
      <c r="H219" t="n">
        <v>0.03</v>
      </c>
      <c r="I219" t="n">
        <v>152</v>
      </c>
      <c r="J219" t="inlineStr">
        <is>
          <t>century_field</t>
        </is>
      </c>
    </row>
    <row r="220">
      <c r="A220" t="inlineStr">
        <is>
          <t>GC557</t>
        </is>
      </c>
      <c r="B220" t="inlineStr">
        <is>
          <t>ComfortTouch 蒸汽掛熨機</t>
        </is>
      </c>
      <c r="C220" t="inlineStr"/>
      <c r="D220" t="n">
        <v>0.03</v>
      </c>
      <c r="E220" t="inlineStr"/>
      <c r="F220" t="inlineStr"/>
      <c r="G220" t="inlineStr"/>
      <c r="H220" t="n">
        <v>0.03</v>
      </c>
      <c r="I220" t="n">
        <v>153</v>
      </c>
      <c r="J220" t="inlineStr">
        <is>
          <t>century_field</t>
        </is>
      </c>
    </row>
    <row r="221">
      <c r="A221" t="inlineStr">
        <is>
          <t>GC810</t>
        </is>
      </c>
      <c r="B221" t="inlineStr">
        <is>
          <t>8000 Series 手提式蒸氣掛熨機 GC810/26</t>
        </is>
      </c>
      <c r="C221" t="inlineStr"/>
      <c r="D221" t="n">
        <v>0.03</v>
      </c>
      <c r="E221" t="inlineStr"/>
      <c r="F221" t="inlineStr"/>
      <c r="G221" t="inlineStr"/>
      <c r="H221" t="n">
        <v>0.03</v>
      </c>
      <c r="I221" t="n">
        <v>154</v>
      </c>
      <c r="J221" t="inlineStr">
        <is>
          <t>century_field</t>
        </is>
      </c>
    </row>
    <row r="222">
      <c r="A222" t="inlineStr">
        <is>
          <t>GCA1000</t>
        </is>
      </c>
      <c r="B222" t="inlineStr">
        <is>
          <t>電動洗鞋機</t>
        </is>
      </c>
      <c r="C222" t="inlineStr"/>
      <c r="D222" t="n">
        <v>0.03</v>
      </c>
      <c r="E222" t="inlineStr"/>
      <c r="F222" t="inlineStr"/>
      <c r="G222" t="inlineStr"/>
      <c r="H222" t="n">
        <v>0.03</v>
      </c>
      <c r="I222" t="n">
        <v>155</v>
      </c>
      <c r="J222" t="inlineStr">
        <is>
          <t>century_field</t>
        </is>
      </c>
    </row>
    <row r="223">
      <c r="A223" t="inlineStr">
        <is>
          <t>GCA1000/60</t>
        </is>
      </c>
      <c r="B223" t="inlineStr">
        <is>
          <t>電動潔鞋機</t>
        </is>
      </c>
      <c r="C223" t="inlineStr"/>
      <c r="D223" t="n">
        <v>0.03</v>
      </c>
      <c r="E223" t="inlineStr"/>
      <c r="F223" t="inlineStr"/>
      <c r="G223" t="inlineStr"/>
      <c r="H223" t="n">
        <v>0.03</v>
      </c>
      <c r="I223" t="n">
        <v>156</v>
      </c>
      <c r="J223" t="inlineStr">
        <is>
          <t>century_field</t>
        </is>
      </c>
    </row>
    <row r="224">
      <c r="A224" t="inlineStr">
        <is>
          <t>GCA10000</t>
        </is>
      </c>
      <c r="B224" t="inlineStr">
        <is>
          <t>GCA1000/60 電動潔鞋機</t>
        </is>
      </c>
      <c r="C224" t="inlineStr"/>
      <c r="D224" t="n">
        <v>0.03</v>
      </c>
      <c r="E224" t="inlineStr"/>
      <c r="F224" t="inlineStr"/>
      <c r="G224" t="inlineStr"/>
      <c r="H224" t="n">
        <v>0.03</v>
      </c>
      <c r="I224" t="n">
        <v>149</v>
      </c>
      <c r="J224" t="inlineStr">
        <is>
          <t>century_field</t>
        </is>
      </c>
    </row>
    <row r="225">
      <c r="A225" t="inlineStr">
        <is>
          <t>HC3505</t>
        </is>
      </c>
      <c r="B225" t="inlineStr">
        <is>
          <t>Hairclipper series 3000剪髮器 HC3505/15</t>
        </is>
      </c>
      <c r="C225" t="inlineStr"/>
      <c r="D225" t="n">
        <v>0.03</v>
      </c>
      <c r="E225" t="inlineStr"/>
      <c r="F225" t="inlineStr"/>
      <c r="G225" t="inlineStr"/>
      <c r="H225" t="n">
        <v>0.03</v>
      </c>
      <c r="I225" t="n">
        <v>157</v>
      </c>
      <c r="J225" t="inlineStr">
        <is>
          <t>century_field</t>
        </is>
      </c>
    </row>
    <row r="226">
      <c r="A226" t="inlineStr">
        <is>
          <t>HD2517</t>
        </is>
      </c>
      <c r="B226" t="inlineStr">
        <is>
          <t>Daily Collection 多士爐 HD2517</t>
        </is>
      </c>
      <c r="C226" t="inlineStr"/>
      <c r="D226" t="n">
        <v>0.03</v>
      </c>
      <c r="E226" t="inlineStr"/>
      <c r="F226" t="inlineStr"/>
      <c r="G226" t="inlineStr"/>
      <c r="H226" t="n">
        <v>0.03</v>
      </c>
      <c r="I226" t="n">
        <v>158</v>
      </c>
      <c r="J226" t="inlineStr">
        <is>
          <t>century_field</t>
        </is>
      </c>
    </row>
    <row r="227">
      <c r="A227" t="inlineStr">
        <is>
          <t>HD2582/01</t>
        </is>
      </c>
      <c r="B227" t="inlineStr">
        <is>
          <t>Daily Collection 多士爐HD2582/01</t>
        </is>
      </c>
      <c r="C227" t="inlineStr"/>
      <c r="D227" t="n">
        <v>0.03</v>
      </c>
      <c r="E227" t="inlineStr"/>
      <c r="F227" t="inlineStr"/>
      <c r="G227" t="inlineStr"/>
      <c r="H227" t="n">
        <v>0.03</v>
      </c>
      <c r="I227" t="n">
        <v>159</v>
      </c>
      <c r="J227" t="inlineStr">
        <is>
          <t>century_field</t>
        </is>
      </c>
    </row>
    <row r="228">
      <c r="A228" t="inlineStr">
        <is>
          <t>HD2584</t>
        </is>
      </c>
      <c r="B228" t="inlineStr">
        <is>
          <t>Daily Collection
多士爐 HD2584/51</t>
        </is>
      </c>
      <c r="C228" t="inlineStr"/>
      <c r="D228" t="n">
        <v>0.03</v>
      </c>
      <c r="E228" t="inlineStr"/>
      <c r="F228" t="inlineStr"/>
      <c r="G228" t="inlineStr"/>
      <c r="H228" t="n">
        <v>0.03</v>
      </c>
      <c r="I228" t="n">
        <v>160</v>
      </c>
      <c r="J228" t="inlineStr">
        <is>
          <t>century_field</t>
        </is>
      </c>
    </row>
    <row r="229">
      <c r="A229" t="inlineStr">
        <is>
          <t>HD3060</t>
        </is>
      </c>
      <c r="B229" t="inlineStr">
        <is>
          <t>Viva Collection電飯煲HD3060/52</t>
        </is>
      </c>
      <c r="C229" t="inlineStr"/>
      <c r="D229" t="n">
        <v>0.03</v>
      </c>
      <c r="E229" t="inlineStr"/>
      <c r="F229" t="inlineStr"/>
      <c r="G229" t="inlineStr"/>
      <c r="H229" t="n">
        <v>0.03</v>
      </c>
      <c r="I229" t="n">
        <v>161</v>
      </c>
      <c r="J229" t="inlineStr">
        <is>
          <t>century_field</t>
        </is>
      </c>
    </row>
    <row r="230">
      <c r="A230" t="inlineStr">
        <is>
          <t>HD3071/52</t>
        </is>
      </c>
      <c r="B230" t="inlineStr">
        <is>
          <t>迷你電飯煲</t>
        </is>
      </c>
      <c r="C230" t="inlineStr"/>
      <c r="D230" t="n">
        <v>0.03</v>
      </c>
      <c r="E230" t="inlineStr"/>
      <c r="F230" t="inlineStr"/>
      <c r="G230" t="inlineStr"/>
      <c r="H230" t="n">
        <v>0.03</v>
      </c>
      <c r="I230" t="n">
        <v>162</v>
      </c>
      <c r="J230" t="inlineStr">
        <is>
          <t>century_field</t>
        </is>
      </c>
    </row>
    <row r="231">
      <c r="A231" t="inlineStr">
        <is>
          <t>HD3802</t>
        </is>
      </c>
      <c r="B231" t="inlineStr">
        <is>
          <t>濾水器</t>
        </is>
      </c>
      <c r="C231" t="inlineStr"/>
      <c r="D231" t="n">
        <v>0.03</v>
      </c>
      <c r="E231" t="inlineStr"/>
      <c r="F231" t="inlineStr"/>
      <c r="G231" t="inlineStr"/>
      <c r="H231" t="n">
        <v>0.03</v>
      </c>
      <c r="I231" t="n">
        <v>163</v>
      </c>
      <c r="J231" t="inlineStr">
        <is>
          <t>century_field</t>
        </is>
      </c>
    </row>
    <row r="232">
      <c r="A232" t="inlineStr">
        <is>
          <t>HD3902/00</t>
        </is>
      </c>
      <c r="B232" t="inlineStr">
        <is>
          <t>濾水器專用替換濾芯</t>
        </is>
      </c>
      <c r="C232" t="inlineStr"/>
      <c r="D232" t="n">
        <v>0.03</v>
      </c>
      <c r="E232" t="inlineStr"/>
      <c r="F232" t="inlineStr"/>
      <c r="G232" t="inlineStr"/>
      <c r="H232" t="n">
        <v>0.03</v>
      </c>
      <c r="I232" t="n">
        <v>164</v>
      </c>
      <c r="J232" t="inlineStr">
        <is>
          <t>century_field</t>
        </is>
      </c>
    </row>
    <row r="233">
      <c r="A233" t="inlineStr">
        <is>
          <t>HD4911/80 電磁爐</t>
        </is>
      </c>
      <c r="B233" t="inlineStr">
        <is>
          <t>DA小家電</t>
        </is>
      </c>
      <c r="C233" t="inlineStr"/>
      <c r="D233" t="n">
        <v>0.03</v>
      </c>
      <c r="E233" t="inlineStr"/>
      <c r="F233" t="inlineStr"/>
      <c r="G233" t="inlineStr"/>
      <c r="H233" t="n">
        <v>0.03</v>
      </c>
      <c r="I233" t="n">
        <v>312</v>
      </c>
      <c r="J233" t="inlineStr">
        <is>
          <t>century_field</t>
        </is>
      </c>
    </row>
    <row r="234">
      <c r="A234" t="inlineStr">
        <is>
          <t>HD9252</t>
        </is>
      </c>
      <c r="B234" t="inlineStr">
        <is>
          <t>HD9252/81 Essential 健康空氣炸鍋</t>
        </is>
      </c>
      <c r="C234" t="inlineStr"/>
      <c r="D234" t="n">
        <v>0.03</v>
      </c>
      <c r="E234" t="inlineStr"/>
      <c r="F234" t="inlineStr"/>
      <c r="G234" t="inlineStr"/>
      <c r="H234" t="n">
        <v>0.03</v>
      </c>
      <c r="I234" t="n">
        <v>165</v>
      </c>
      <c r="J234" t="inlineStr">
        <is>
          <t>century_field</t>
        </is>
      </c>
    </row>
    <row r="235">
      <c r="A235" t="inlineStr">
        <is>
          <t>HD9318</t>
        </is>
      </c>
      <c r="B235" t="inlineStr">
        <is>
          <t>Series 3000
塑料電熱水煲 HD9318/01</t>
        </is>
      </c>
      <c r="C235" t="inlineStr"/>
      <c r="D235" t="n">
        <v>0.03</v>
      </c>
      <c r="E235" t="inlineStr"/>
      <c r="F235" t="inlineStr"/>
      <c r="G235" t="inlineStr"/>
      <c r="H235" t="n">
        <v>0.03</v>
      </c>
      <c r="I235" t="n">
        <v>166</v>
      </c>
      <c r="J235" t="inlineStr">
        <is>
          <t>century_field</t>
        </is>
      </c>
    </row>
    <row r="236">
      <c r="A236" t="inlineStr">
        <is>
          <t>HD9339</t>
        </is>
      </c>
      <c r="B236" t="inlineStr">
        <is>
          <t>Series 5000 玻璃電熱水煲 (1.7公升) HD9339/81</t>
        </is>
      </c>
      <c r="C236" t="inlineStr"/>
      <c r="D236" t="n">
        <v>0.03</v>
      </c>
      <c r="E236" t="inlineStr"/>
      <c r="F236" t="inlineStr"/>
      <c r="G236" t="inlineStr"/>
      <c r="H236" t="n">
        <v>0.03</v>
      </c>
      <c r="I236" t="n">
        <v>167</v>
      </c>
      <c r="J236" t="inlineStr">
        <is>
          <t>century_field</t>
        </is>
      </c>
    </row>
    <row r="237">
      <c r="A237" t="inlineStr">
        <is>
          <t>HD9348</t>
        </is>
      </c>
      <c r="B237" t="inlineStr">
        <is>
          <t>電熱水煲</t>
        </is>
      </c>
      <c r="C237" t="inlineStr"/>
      <c r="D237" t="n">
        <v>0.03</v>
      </c>
      <c r="E237" t="inlineStr"/>
      <c r="F237" t="inlineStr"/>
      <c r="G237" t="inlineStr"/>
      <c r="H237" t="n">
        <v>0.03</v>
      </c>
      <c r="I237" t="n">
        <v>168</v>
      </c>
      <c r="J237" t="inlineStr">
        <is>
          <t>century_field</t>
        </is>
      </c>
    </row>
    <row r="238">
      <c r="A238" t="inlineStr">
        <is>
          <t>HD9351</t>
        </is>
      </c>
      <c r="B238" t="inlineStr">
        <is>
          <t>Viva Collection 電熱水煲 HD9351/92</t>
        </is>
      </c>
      <c r="C238" t="inlineStr"/>
      <c r="D238" t="n">
        <v>0.03</v>
      </c>
      <c r="E238" t="inlineStr"/>
      <c r="F238" t="inlineStr"/>
      <c r="G238" t="inlineStr"/>
      <c r="H238" t="n">
        <v>0.03</v>
      </c>
      <c r="I238" t="n">
        <v>169</v>
      </c>
      <c r="J238" t="inlineStr">
        <is>
          <t>century_field</t>
        </is>
      </c>
    </row>
    <row r="239">
      <c r="A239" t="inlineStr">
        <is>
          <t>HD9355</t>
        </is>
      </c>
      <c r="B239" t="inlineStr">
        <is>
          <t>Viva Collection 電熱水煲 (1.7公升) HD9355/92</t>
        </is>
      </c>
      <c r="C239" t="inlineStr"/>
      <c r="D239" t="n">
        <v>0.03</v>
      </c>
      <c r="E239" t="inlineStr"/>
      <c r="F239" t="inlineStr"/>
      <c r="G239" t="inlineStr"/>
      <c r="H239" t="n">
        <v>0.03</v>
      </c>
      <c r="I239" t="n">
        <v>170</v>
      </c>
      <c r="J239" t="inlineStr">
        <is>
          <t>century_field</t>
        </is>
      </c>
    </row>
    <row r="240">
      <c r="A240" t="inlineStr">
        <is>
          <t>HD9372 電水壺</t>
        </is>
      </c>
      <c r="B240" t="inlineStr">
        <is>
          <t>DA小家電</t>
        </is>
      </c>
      <c r="C240" t="inlineStr"/>
      <c r="D240" t="n">
        <v>0.03</v>
      </c>
      <c r="E240" t="inlineStr"/>
      <c r="F240" t="inlineStr"/>
      <c r="G240" t="inlineStr"/>
      <c r="H240" t="n">
        <v>0.03</v>
      </c>
      <c r="I240" t="n">
        <v>1181</v>
      </c>
      <c r="J240" t="inlineStr">
        <is>
          <t>century_field</t>
        </is>
      </c>
    </row>
    <row r="241">
      <c r="A241" t="inlineStr">
        <is>
          <t>HD93919電水壺</t>
        </is>
      </c>
      <c r="B241" t="inlineStr">
        <is>
          <t>DA小家電</t>
        </is>
      </c>
      <c r="C241" t="inlineStr"/>
      <c r="D241" t="n">
        <v>0.03</v>
      </c>
      <c r="E241" t="inlineStr"/>
      <c r="F241" t="inlineStr"/>
      <c r="G241" t="inlineStr"/>
      <c r="H241" t="n">
        <v>0.03</v>
      </c>
      <c r="I241" t="n">
        <v>313</v>
      </c>
      <c r="J241" t="inlineStr">
        <is>
          <t>century_field</t>
        </is>
      </c>
    </row>
    <row r="242">
      <c r="A242" t="inlineStr">
        <is>
          <t>HD9399電水壺</t>
        </is>
      </c>
      <c r="B242" t="inlineStr">
        <is>
          <t>DA小家電</t>
        </is>
      </c>
      <c r="C242" t="inlineStr"/>
      <c r="D242" t="n">
        <v>0.03</v>
      </c>
      <c r="E242" t="inlineStr"/>
      <c r="F242" t="inlineStr"/>
      <c r="G242" t="inlineStr"/>
      <c r="H242" t="n">
        <v>0.03</v>
      </c>
      <c r="I242" t="n">
        <v>315</v>
      </c>
      <c r="J242" t="inlineStr">
        <is>
          <t>century_field</t>
        </is>
      </c>
    </row>
    <row r="243">
      <c r="A243" t="inlineStr">
        <is>
          <t>HD9723/11</t>
        </is>
      </c>
      <c r="B243" t="inlineStr">
        <is>
          <t>健康空氣炸鍋</t>
        </is>
      </c>
      <c r="C243" t="inlineStr"/>
      <c r="D243" t="n">
        <v>0.03</v>
      </c>
      <c r="E243" t="inlineStr"/>
      <c r="F243" t="inlineStr"/>
      <c r="G243" t="inlineStr"/>
      <c r="H243" t="n">
        <v>0.03</v>
      </c>
      <c r="I243" t="n">
        <v>171</v>
      </c>
      <c r="J243" t="inlineStr">
        <is>
          <t>century_field</t>
        </is>
      </c>
    </row>
    <row r="244">
      <c r="A244" t="inlineStr">
        <is>
          <t>HP4589</t>
        </is>
      </c>
      <c r="B244" t="inlineStr">
        <is>
          <t>EasyShine
負離子造型髮梳 HP4589/05
1 獎項</t>
        </is>
      </c>
      <c r="C244" t="inlineStr"/>
      <c r="D244" t="n">
        <v>0.03</v>
      </c>
      <c r="E244" t="inlineStr"/>
      <c r="F244" t="inlineStr"/>
      <c r="G244" t="inlineStr"/>
      <c r="H244" t="n">
        <v>0.03</v>
      </c>
      <c r="I244" t="n">
        <v>173</v>
      </c>
      <c r="J244" t="inlineStr">
        <is>
          <t>century_field</t>
        </is>
      </c>
    </row>
    <row r="245">
      <c r="A245" t="inlineStr">
        <is>
          <t>HP4722</t>
        </is>
      </c>
      <c r="B245" t="inlineStr">
        <is>
          <t>負離子造型髮梳</t>
        </is>
      </c>
      <c r="C245" t="inlineStr"/>
      <c r="D245" t="n">
        <v>0.03</v>
      </c>
      <c r="E245" t="inlineStr"/>
      <c r="F245" t="inlineStr"/>
      <c r="G245" t="inlineStr"/>
      <c r="H245" t="n">
        <v>0.03</v>
      </c>
      <c r="I245" t="n">
        <v>174</v>
      </c>
      <c r="J245" t="inlineStr">
        <is>
          <t>century_field</t>
        </is>
      </c>
    </row>
    <row r="246">
      <c r="A246" t="inlineStr">
        <is>
          <t>HR1811榨汁機</t>
        </is>
      </c>
      <c r="B246" t="inlineStr">
        <is>
          <t>DA小家電</t>
        </is>
      </c>
      <c r="C246" t="inlineStr"/>
      <c r="D246" t="n">
        <v>0.03</v>
      </c>
      <c r="E246" t="inlineStr"/>
      <c r="F246" t="inlineStr"/>
      <c r="G246" t="inlineStr"/>
      <c r="H246" t="n">
        <v>0.03</v>
      </c>
      <c r="I246" t="n">
        <v>317</v>
      </c>
      <c r="J246" t="inlineStr">
        <is>
          <t>century_field</t>
        </is>
      </c>
    </row>
    <row r="247">
      <c r="A247" t="inlineStr">
        <is>
          <t>HR2041攪拌機</t>
        </is>
      </c>
      <c r="B247" t="inlineStr">
        <is>
          <t>DA小家電</t>
        </is>
      </c>
      <c r="C247" t="inlineStr"/>
      <c r="D247" t="n">
        <v>0.03</v>
      </c>
      <c r="E247" t="inlineStr"/>
      <c r="F247" t="inlineStr"/>
      <c r="G247" t="inlineStr"/>
      <c r="H247" t="n">
        <v>0.03</v>
      </c>
      <c r="I247" t="n">
        <v>316</v>
      </c>
      <c r="J247" t="inlineStr">
        <is>
          <t>century_field</t>
        </is>
      </c>
    </row>
    <row r="248">
      <c r="A248" t="inlineStr">
        <is>
          <t>HR2088</t>
        </is>
      </c>
      <c r="B248" t="inlineStr">
        <is>
          <t>Viva Collection 冷熱烹調攪拌機 HR2088/91</t>
        </is>
      </c>
      <c r="C248" t="inlineStr"/>
      <c r="D248" t="n">
        <v>0.03</v>
      </c>
      <c r="E248" t="inlineStr"/>
      <c r="F248" t="inlineStr"/>
      <c r="G248" t="inlineStr"/>
      <c r="H248" t="n">
        <v>0.03</v>
      </c>
      <c r="I248" t="n">
        <v>175</v>
      </c>
      <c r="J248" t="inlineStr">
        <is>
          <t>century_field</t>
        </is>
      </c>
    </row>
    <row r="249">
      <c r="A249" t="inlineStr">
        <is>
          <t>HR2607</t>
        </is>
      </c>
      <c r="B249" t="inlineStr">
        <is>
          <t>迷你攪拌機</t>
        </is>
      </c>
      <c r="C249" t="inlineStr"/>
      <c r="D249" t="n">
        <v>0.03</v>
      </c>
      <c r="E249" t="inlineStr"/>
      <c r="F249" t="inlineStr"/>
      <c r="G249" t="inlineStr"/>
      <c r="H249" t="n">
        <v>0.03</v>
      </c>
      <c r="I249" t="n">
        <v>176</v>
      </c>
      <c r="J249" t="inlineStr">
        <is>
          <t>century_field</t>
        </is>
      </c>
    </row>
    <row r="250">
      <c r="A250" t="inlineStr">
        <is>
          <t>HR3705/01</t>
        </is>
      </c>
      <c r="B250" t="inlineStr">
        <is>
          <t>Daily Collection 打蛋器</t>
        </is>
      </c>
      <c r="C250" t="inlineStr"/>
      <c r="D250" t="n">
        <v>0.03</v>
      </c>
      <c r="E250" t="inlineStr"/>
      <c r="F250" t="inlineStr"/>
      <c r="G250" t="inlineStr"/>
      <c r="H250" t="n">
        <v>0.03</v>
      </c>
      <c r="I250" t="n">
        <v>177</v>
      </c>
      <c r="J250" t="inlineStr">
        <is>
          <t>century_field</t>
        </is>
      </c>
    </row>
    <row r="251">
      <c r="A251" t="inlineStr">
        <is>
          <t>HR9355電熱水壺</t>
        </is>
      </c>
      <c r="B251" t="inlineStr">
        <is>
          <t>DA小家電</t>
        </is>
      </c>
      <c r="C251" t="inlineStr"/>
      <c r="D251" t="n">
        <v>0.03</v>
      </c>
      <c r="E251" t="inlineStr"/>
      <c r="F251" t="inlineStr"/>
      <c r="G251" t="inlineStr"/>
      <c r="H251" t="n">
        <v>0.03</v>
      </c>
      <c r="I251" t="n">
        <v>320</v>
      </c>
      <c r="J251" t="inlineStr">
        <is>
          <t>century_field</t>
        </is>
      </c>
    </row>
    <row r="252">
      <c r="A252" t="inlineStr">
        <is>
          <t>HX4722</t>
        </is>
      </c>
      <c r="B252" t="inlineStr">
        <is>
          <t>EasyShine負離子造型髮梳 HP4722/40</t>
        </is>
      </c>
      <c r="C252" t="inlineStr"/>
      <c r="D252" t="n">
        <v>0.03</v>
      </c>
      <c r="E252" t="inlineStr"/>
      <c r="F252" t="inlineStr"/>
      <c r="G252" t="inlineStr"/>
      <c r="H252" t="n">
        <v>0.03</v>
      </c>
      <c r="I252" t="n">
        <v>179</v>
      </c>
      <c r="J252" t="inlineStr">
        <is>
          <t>century_field</t>
        </is>
      </c>
    </row>
    <row r="253">
      <c r="A253" t="inlineStr">
        <is>
          <t>HX6013</t>
        </is>
      </c>
      <c r="B253" t="inlineStr">
        <is>
          <t>Sonicare ProResults 標準型聲波牙刷刷頭</t>
        </is>
      </c>
      <c r="C253" t="inlineStr"/>
      <c r="D253" t="n">
        <v>0.03</v>
      </c>
      <c r="E253" t="inlineStr"/>
      <c r="F253" t="inlineStr"/>
      <c r="G253" t="inlineStr"/>
      <c r="H253" t="n">
        <v>0.03</v>
      </c>
      <c r="I253" t="n">
        <v>180</v>
      </c>
      <c r="J253" t="inlineStr">
        <is>
          <t>century_field</t>
        </is>
      </c>
    </row>
    <row r="254">
      <c r="A254" t="inlineStr">
        <is>
          <t>HX6053</t>
        </is>
      </c>
      <c r="B254" t="inlineStr">
        <is>
          <t>Philips Sonicare S Sensitive標準型聲波牙刷刷頭 HX6053/63</t>
        </is>
      </c>
      <c r="C254" t="inlineStr"/>
      <c r="D254" t="n">
        <v>0.03</v>
      </c>
      <c r="E254" t="inlineStr"/>
      <c r="F254" t="inlineStr"/>
      <c r="G254" t="inlineStr"/>
      <c r="H254" t="n">
        <v>0.03</v>
      </c>
      <c r="I254" t="n">
        <v>181</v>
      </c>
      <c r="J254" t="inlineStr">
        <is>
          <t>century_field</t>
        </is>
      </c>
    </row>
    <row r="255">
      <c r="A255" t="inlineStr">
        <is>
          <t>HX6063</t>
        </is>
      </c>
      <c r="B255" t="inlineStr">
        <is>
          <t>Sonicare DiamondClean 標準聲波牙刷刷頭 HX6063</t>
        </is>
      </c>
      <c r="C255" t="inlineStr"/>
      <c r="D255" t="n">
        <v>0.03</v>
      </c>
      <c r="E255" t="inlineStr"/>
      <c r="F255" t="inlineStr"/>
      <c r="G255" t="inlineStr"/>
      <c r="H255" t="n">
        <v>0.03</v>
      </c>
      <c r="I255" t="n">
        <v>182</v>
      </c>
      <c r="J255" t="inlineStr">
        <is>
          <t>century_field</t>
        </is>
      </c>
    </row>
    <row r="256">
      <c r="A256" t="inlineStr">
        <is>
          <t>HX6073</t>
        </is>
      </c>
      <c r="B256" t="inlineStr">
        <is>
          <t>Sonicare DiamondClean
精細型聲波牙刷刷頭 HX6073/05</t>
        </is>
      </c>
      <c r="C256" t="inlineStr"/>
      <c r="D256" t="n">
        <v>0.03</v>
      </c>
      <c r="E256" t="inlineStr"/>
      <c r="F256" t="inlineStr"/>
      <c r="G256" t="inlineStr"/>
      <c r="H256" t="n">
        <v>0.03</v>
      </c>
      <c r="I256" t="n">
        <v>183</v>
      </c>
      <c r="J256" t="inlineStr">
        <is>
          <t>century_field</t>
        </is>
      </c>
    </row>
    <row r="257">
      <c r="A257" t="inlineStr">
        <is>
          <t>HX680/37</t>
        </is>
      </c>
      <c r="B257" t="inlineStr">
        <is>
          <t>音波震動牙刷</t>
        </is>
      </c>
      <c r="C257" t="inlineStr"/>
      <c r="D257" t="n">
        <v>0.03</v>
      </c>
      <c r="E257" t="inlineStr"/>
      <c r="F257" t="inlineStr"/>
      <c r="G257" t="inlineStr"/>
      <c r="H257" t="n">
        <v>0.03</v>
      </c>
      <c r="I257" t="n">
        <v>184</v>
      </c>
      <c r="J257" t="inlineStr">
        <is>
          <t>century_field</t>
        </is>
      </c>
    </row>
    <row r="258">
      <c r="A258" t="inlineStr">
        <is>
          <t>HX6801</t>
        </is>
      </c>
      <c r="B258" t="inlineStr">
        <is>
          <t>聲波震動牙刷</t>
        </is>
      </c>
      <c r="C258" t="inlineStr"/>
      <c r="D258" t="n">
        <v>0.03</v>
      </c>
      <c r="E258" t="inlineStr"/>
      <c r="F258" t="inlineStr"/>
      <c r="G258" t="inlineStr"/>
      <c r="H258" t="n">
        <v>0.03</v>
      </c>
      <c r="I258" t="n">
        <v>185</v>
      </c>
      <c r="J258" t="inlineStr">
        <is>
          <t>century_field</t>
        </is>
      </c>
    </row>
    <row r="259">
      <c r="A259" t="inlineStr">
        <is>
          <t>HX6801/36</t>
        </is>
      </c>
      <c r="B259" t="inlineStr">
        <is>
          <t>聲波震動牙刷</t>
        </is>
      </c>
      <c r="C259" t="inlineStr"/>
      <c r="D259" t="n">
        <v>0.03</v>
      </c>
      <c r="E259" t="inlineStr"/>
      <c r="F259" t="inlineStr"/>
      <c r="G259" t="inlineStr"/>
      <c r="H259" t="n">
        <v>0.03</v>
      </c>
      <c r="I259" t="n">
        <v>186</v>
      </c>
      <c r="J259" t="inlineStr">
        <is>
          <t>century_field</t>
        </is>
      </c>
    </row>
    <row r="260">
      <c r="A260" t="inlineStr">
        <is>
          <t>HX6801/37</t>
        </is>
      </c>
      <c r="B260" t="inlineStr">
        <is>
          <t>聲波震動牙刷</t>
        </is>
      </c>
      <c r="C260" t="inlineStr"/>
      <c r="D260" t="n">
        <v>0.03</v>
      </c>
      <c r="E260" t="inlineStr"/>
      <c r="F260" t="inlineStr"/>
      <c r="G260" t="inlineStr"/>
      <c r="H260" t="n">
        <v>0.03</v>
      </c>
      <c r="I260" t="n">
        <v>187</v>
      </c>
      <c r="J260" t="inlineStr">
        <is>
          <t>century_field</t>
        </is>
      </c>
    </row>
    <row r="261">
      <c r="A261" t="inlineStr">
        <is>
          <t>HX6803</t>
        </is>
      </c>
      <c r="B261" t="inlineStr">
        <is>
          <t>Sonicare ProtectiveClean 4300
聲波電動牙刷 HX6803/02</t>
        </is>
      </c>
      <c r="C261" t="inlineStr"/>
      <c r="D261" t="n">
        <v>0.03</v>
      </c>
      <c r="E261" t="inlineStr"/>
      <c r="F261" t="inlineStr"/>
      <c r="G261" t="inlineStr"/>
      <c r="H261" t="n">
        <v>0.03</v>
      </c>
      <c r="I261" t="n">
        <v>188</v>
      </c>
      <c r="J261" t="inlineStr">
        <is>
          <t>century_field</t>
        </is>
      </c>
    </row>
    <row r="262">
      <c r="A262" t="inlineStr">
        <is>
          <t>HX6808</t>
        </is>
      </c>
      <c r="B262" t="inlineStr">
        <is>
          <t>Sonicare ProtectiveClean 4300</t>
        </is>
      </c>
      <c r="C262" t="inlineStr"/>
      <c r="D262" t="n">
        <v>0.03</v>
      </c>
      <c r="E262" t="inlineStr"/>
      <c r="F262" t="inlineStr"/>
      <c r="G262" t="inlineStr"/>
      <c r="H262" t="n">
        <v>0.03</v>
      </c>
      <c r="I262" t="n">
        <v>189</v>
      </c>
      <c r="J262" t="inlineStr">
        <is>
          <t>century_field</t>
        </is>
      </c>
    </row>
    <row r="263">
      <c r="A263" t="inlineStr">
        <is>
          <t>HX6853/12</t>
        </is>
      </c>
      <c r="B263" t="inlineStr">
        <is>
          <t>聲波電動牙刷</t>
        </is>
      </c>
      <c r="C263" t="inlineStr"/>
      <c r="D263" t="n">
        <v>0.03</v>
      </c>
      <c r="E263" t="inlineStr"/>
      <c r="F263" t="inlineStr"/>
      <c r="G263" t="inlineStr"/>
      <c r="H263" t="n">
        <v>0.03</v>
      </c>
      <c r="I263" t="n">
        <v>190</v>
      </c>
      <c r="J263" t="inlineStr">
        <is>
          <t>century_field</t>
        </is>
      </c>
    </row>
    <row r="264">
      <c r="A264" t="inlineStr">
        <is>
          <t>HX6856</t>
        </is>
      </c>
      <c r="B264" t="inlineStr">
        <is>
          <t>聲波電動牙刷</t>
        </is>
      </c>
      <c r="C264" t="inlineStr"/>
      <c r="D264" t="n">
        <v>0.03</v>
      </c>
      <c r="E264" t="inlineStr"/>
      <c r="F264" t="inlineStr"/>
      <c r="G264" t="inlineStr"/>
      <c r="H264" t="n">
        <v>0.03</v>
      </c>
      <c r="I264" t="n">
        <v>191</v>
      </c>
      <c r="J264" t="inlineStr">
        <is>
          <t>century_field</t>
        </is>
      </c>
    </row>
    <row r="265">
      <c r="A265" t="inlineStr">
        <is>
          <t>HX6857/20</t>
        </is>
      </c>
      <c r="B265" t="inlineStr">
        <is>
          <t>聲波電動牙刷</t>
        </is>
      </c>
      <c r="C265" t="inlineStr"/>
      <c r="D265" t="n">
        <v>0.03</v>
      </c>
      <c r="E265" t="inlineStr"/>
      <c r="F265" t="inlineStr"/>
      <c r="G265" t="inlineStr"/>
      <c r="H265" t="n">
        <v>0.03</v>
      </c>
      <c r="I265" t="n">
        <v>192</v>
      </c>
      <c r="J265" t="inlineStr">
        <is>
          <t>century_field</t>
        </is>
      </c>
    </row>
    <row r="266">
      <c r="A266" t="inlineStr">
        <is>
          <t>HX6871</t>
        </is>
      </c>
      <c r="B266" t="inlineStr">
        <is>
          <t>HX6871 聲波震動電動牙刷</t>
        </is>
      </c>
      <c r="C266" t="inlineStr"/>
      <c r="D266" t="n">
        <v>0.03</v>
      </c>
      <c r="E266" t="inlineStr"/>
      <c r="F266" t="inlineStr"/>
      <c r="G266" t="inlineStr"/>
      <c r="H266" t="n">
        <v>0.03</v>
      </c>
      <c r="I266" t="n">
        <v>193</v>
      </c>
      <c r="J266" t="inlineStr">
        <is>
          <t>century_field</t>
        </is>
      </c>
    </row>
    <row r="267">
      <c r="A267" t="inlineStr">
        <is>
          <t>HX6897</t>
        </is>
      </c>
      <c r="B267" t="inlineStr">
        <is>
          <t>Sonicare ProtectiveClean 6100 聲波電動牙刷HX6897/22</t>
        </is>
      </c>
      <c r="C267" t="inlineStr"/>
      <c r="D267" t="n">
        <v>0.03</v>
      </c>
      <c r="E267" t="inlineStr"/>
      <c r="F267" t="inlineStr"/>
      <c r="G267" t="inlineStr"/>
      <c r="H267" t="n">
        <v>0.03</v>
      </c>
      <c r="I267" t="n">
        <v>194</v>
      </c>
      <c r="J267" t="inlineStr">
        <is>
          <t>century_field</t>
        </is>
      </c>
    </row>
    <row r="268">
      <c r="A268" t="inlineStr">
        <is>
          <t>HX8072</t>
        </is>
      </c>
      <c r="B268" t="inlineStr">
        <is>
          <t>Sonicare牙刷快速轉為聲波舌頭刷刷頭HX8072替換</t>
        </is>
      </c>
      <c r="C268" t="inlineStr"/>
      <c r="D268" t="n">
        <v>0.03</v>
      </c>
      <c r="E268" t="inlineStr"/>
      <c r="F268" t="inlineStr"/>
      <c r="G268" t="inlineStr"/>
      <c r="H268" t="n">
        <v>0.03</v>
      </c>
      <c r="I268" t="n">
        <v>195</v>
      </c>
      <c r="J268" t="inlineStr">
        <is>
          <t>century_field</t>
        </is>
      </c>
    </row>
    <row r="269">
      <c r="A269" t="inlineStr">
        <is>
          <t>HX9033</t>
        </is>
      </c>
      <c r="B269" t="inlineStr">
        <is>
          <t>G2 Optimal Gum Care (前稱 ProResults 牙齦護理) HX9033/67</t>
        </is>
      </c>
      <c r="C269" t="inlineStr"/>
      <c r="D269" t="n">
        <v>0.03</v>
      </c>
      <c r="E269" t="inlineStr"/>
      <c r="F269" t="inlineStr"/>
      <c r="G269" t="inlineStr"/>
      <c r="H269" t="n">
        <v>0.03</v>
      </c>
      <c r="I269" t="n">
        <v>196</v>
      </c>
      <c r="J269" t="inlineStr">
        <is>
          <t>century_field</t>
        </is>
      </c>
    </row>
    <row r="270">
      <c r="A270" t="inlineStr">
        <is>
          <t>HX9043</t>
        </is>
      </c>
      <c r="B270" t="inlineStr">
        <is>
          <t>Sonicare C3 Premium Plaque Defense</t>
        </is>
      </c>
      <c r="C270" t="inlineStr"/>
      <c r="D270" t="n">
        <v>0.03</v>
      </c>
      <c r="E270" t="inlineStr"/>
      <c r="F270" t="inlineStr"/>
      <c r="G270" t="inlineStr"/>
      <c r="H270" t="n">
        <v>0.03</v>
      </c>
      <c r="I270" t="n">
        <v>197</v>
      </c>
      <c r="J270" t="inlineStr">
        <is>
          <t>century_field</t>
        </is>
      </c>
    </row>
    <row r="271">
      <c r="A271" t="inlineStr">
        <is>
          <t>HX9053</t>
        </is>
      </c>
      <c r="B271" t="inlineStr">
        <is>
          <t>牙刷刷頭</t>
        </is>
      </c>
      <c r="C271" t="inlineStr"/>
      <c r="D271" t="n">
        <v>0.03</v>
      </c>
      <c r="E271" t="inlineStr"/>
      <c r="F271" t="inlineStr"/>
      <c r="G271" t="inlineStr"/>
      <c r="H271" t="n">
        <v>0.03</v>
      </c>
      <c r="I271" t="n">
        <v>198</v>
      </c>
      <c r="J271" t="inlineStr">
        <is>
          <t>century_field</t>
        </is>
      </c>
    </row>
    <row r="272">
      <c r="A272" t="inlineStr">
        <is>
          <t>HX9073</t>
        </is>
      </c>
      <c r="B272" t="inlineStr">
        <is>
          <t>Sonicare 標準刷頭組合套裝</t>
        </is>
      </c>
      <c r="C272" t="inlineStr"/>
      <c r="D272" t="n">
        <v>0.03</v>
      </c>
      <c r="E272" t="inlineStr"/>
      <c r="F272" t="inlineStr"/>
      <c r="G272" t="inlineStr"/>
      <c r="H272" t="n">
        <v>0.03</v>
      </c>
      <c r="I272" t="n">
        <v>200</v>
      </c>
      <c r="J272" t="inlineStr">
        <is>
          <t>century_field</t>
        </is>
      </c>
    </row>
    <row r="273">
      <c r="A273" t="inlineStr">
        <is>
          <t>HX9924</t>
        </is>
      </c>
      <c r="B273" t="inlineStr">
        <is>
          <t>Sonicare DiamondClean Smart 9500 HX9924/42 聲波震動電動牙刷</t>
        </is>
      </c>
      <c r="C273" t="inlineStr"/>
      <c r="D273" t="n">
        <v>0.03</v>
      </c>
      <c r="E273" t="inlineStr"/>
      <c r="F273" t="inlineStr"/>
      <c r="G273" t="inlineStr"/>
      <c r="H273" t="n">
        <v>0.03</v>
      </c>
      <c r="I273" t="n">
        <v>202</v>
      </c>
      <c r="J273" t="inlineStr">
        <is>
          <t>century_field</t>
        </is>
      </c>
    </row>
    <row r="274">
      <c r="A274" t="inlineStr">
        <is>
          <t>HX9954</t>
        </is>
      </c>
      <c r="B274" t="inlineStr">
        <is>
          <t>Sonicare DiamondClean Smart 9700 聲波震動牙刷HX9954/52</t>
        </is>
      </c>
      <c r="C274" t="inlineStr"/>
      <c r="D274" t="n">
        <v>0.03</v>
      </c>
      <c r="E274" t="inlineStr"/>
      <c r="F274" t="inlineStr"/>
      <c r="G274" t="inlineStr"/>
      <c r="H274" t="n">
        <v>0.03</v>
      </c>
      <c r="I274" t="n">
        <v>203</v>
      </c>
      <c r="J274" t="inlineStr">
        <is>
          <t>century_field</t>
        </is>
      </c>
    </row>
    <row r="275">
      <c r="A275" t="inlineStr">
        <is>
          <t>LED 66049</t>
        </is>
      </c>
      <c r="B275" t="inlineStr">
        <is>
          <t>66049 Gadwall LED 座夾兩用檯燈</t>
        </is>
      </c>
      <c r="C275" t="inlineStr"/>
      <c r="D275" t="n">
        <v>0.03</v>
      </c>
      <c r="E275" t="inlineStr"/>
      <c r="F275" t="inlineStr"/>
      <c r="G275" t="inlineStr"/>
      <c r="H275" t="n">
        <v>0.03</v>
      </c>
      <c r="I275" t="n">
        <v>204</v>
      </c>
      <c r="J275" t="inlineStr">
        <is>
          <t>century_field</t>
        </is>
      </c>
    </row>
    <row r="276">
      <c r="A276" t="inlineStr">
        <is>
          <t>LIGHT</t>
        </is>
      </c>
      <c r="B276" t="inlineStr">
        <is>
          <t>LIGHT</t>
        </is>
      </c>
      <c r="C276" t="inlineStr"/>
      <c r="D276" t="n">
        <v>0.03</v>
      </c>
      <c r="E276" t="inlineStr"/>
      <c r="F276" t="inlineStr"/>
      <c r="G276" t="inlineStr"/>
      <c r="H276" t="n">
        <v>0.03</v>
      </c>
      <c r="I276" t="n">
        <v>207</v>
      </c>
      <c r="J276" t="inlineStr">
        <is>
          <t>century_field</t>
        </is>
      </c>
    </row>
    <row r="277">
      <c r="A277" t="inlineStr">
        <is>
          <t>MG5730</t>
        </is>
      </c>
      <c r="B277" t="inlineStr">
        <is>
          <t>Multigroom 11合1 男士修鬚造型修毛器套裝 MG5730/15</t>
        </is>
      </c>
      <c r="C277" t="inlineStr"/>
      <c r="D277" t="n">
        <v>0.03</v>
      </c>
      <c r="E277" t="inlineStr"/>
      <c r="F277" t="inlineStr"/>
      <c r="G277" t="inlineStr"/>
      <c r="H277" t="n">
        <v>0.03</v>
      </c>
      <c r="I277" t="n">
        <v>209</v>
      </c>
      <c r="J277" t="inlineStr">
        <is>
          <t>century_field</t>
        </is>
      </c>
    </row>
    <row r="278">
      <c r="A278" t="inlineStr">
        <is>
          <t>MG5950/15頭髮修剪器</t>
        </is>
      </c>
      <c r="B278" t="inlineStr">
        <is>
          <t>PH個人護理產品</t>
        </is>
      </c>
      <c r="C278" t="inlineStr"/>
      <c r="D278" t="n">
        <v>0.03</v>
      </c>
      <c r="E278" t="inlineStr"/>
      <c r="F278" t="inlineStr"/>
      <c r="G278" t="inlineStr"/>
      <c r="H278" t="n">
        <v>0.03</v>
      </c>
      <c r="I278" t="n">
        <v>311</v>
      </c>
      <c r="J278" t="inlineStr">
        <is>
          <t>century_field</t>
        </is>
      </c>
    </row>
    <row r="279">
      <c r="A279" t="inlineStr">
        <is>
          <t>MG7720</t>
        </is>
      </c>
      <c r="B279" t="inlineStr">
        <is>
          <t>男士造型套裝</t>
        </is>
      </c>
      <c r="C279" t="inlineStr"/>
      <c r="D279" t="n">
        <v>0.03</v>
      </c>
      <c r="E279" t="inlineStr"/>
      <c r="F279" t="inlineStr"/>
      <c r="G279" t="inlineStr"/>
      <c r="H279" t="n">
        <v>0.03</v>
      </c>
      <c r="I279" t="n">
        <v>210</v>
      </c>
      <c r="J279" t="inlineStr">
        <is>
          <t>century_field</t>
        </is>
      </c>
    </row>
    <row r="280">
      <c r="A280" t="inlineStr">
        <is>
          <t>Medisana BU 580</t>
        </is>
      </c>
      <c r="B280" t="inlineStr">
        <is>
          <t>血壓計</t>
        </is>
      </c>
      <c r="C280" t="inlineStr"/>
      <c r="D280" t="n">
        <v>0.03</v>
      </c>
      <c r="E280" t="inlineStr"/>
      <c r="F280" t="inlineStr"/>
      <c r="G280" t="inlineStr"/>
      <c r="H280" t="n">
        <v>0.03</v>
      </c>
      <c r="I280" t="n">
        <v>208</v>
      </c>
      <c r="J280" t="inlineStr">
        <is>
          <t>century_field</t>
        </is>
      </c>
    </row>
    <row r="281">
      <c r="A281" t="inlineStr">
        <is>
          <t>Model-Input-Ref</t>
        </is>
      </c>
      <c r="B281" t="inlineStr">
        <is>
          <t>未分類 (單據新增)</t>
        </is>
      </c>
      <c r="C281" t="inlineStr"/>
      <c r="D281" t="n">
        <v>0.03</v>
      </c>
      <c r="E281" t="inlineStr"/>
      <c r="F281" t="inlineStr"/>
      <c r="G281" t="inlineStr"/>
      <c r="H281" t="n">
        <v>0.03</v>
      </c>
      <c r="I281" t="n">
        <v>3228</v>
      </c>
      <c r="J281" t="inlineStr">
        <is>
          <t>century_field</t>
        </is>
      </c>
    </row>
    <row r="282">
      <c r="A282" t="inlineStr">
        <is>
          <t>NI5650</t>
        </is>
      </c>
      <c r="B282" t="inlineStr">
        <is>
          <t>鬚刨</t>
        </is>
      </c>
      <c r="C282" t="inlineStr"/>
      <c r="D282" t="n">
        <v>0.03</v>
      </c>
      <c r="E282" t="inlineStr"/>
      <c r="F282" t="inlineStr"/>
      <c r="G282" t="inlineStr"/>
      <c r="H282" t="n">
        <v>0.03</v>
      </c>
      <c r="I282" t="n">
        <v>211</v>
      </c>
      <c r="J282" t="inlineStr">
        <is>
          <t>century_field</t>
        </is>
      </c>
    </row>
    <row r="283">
      <c r="A283" t="inlineStr">
        <is>
          <t>NT3650</t>
        </is>
      </c>
      <c r="B283" t="inlineStr">
        <is>
          <t>電動鼻毛修剪器修眉器耳毛修剪器雙面鼻毛修剪器</t>
        </is>
      </c>
      <c r="C283" t="inlineStr"/>
      <c r="D283" t="n">
        <v>0.03</v>
      </c>
      <c r="E283" t="inlineStr"/>
      <c r="F283" t="inlineStr"/>
      <c r="G283" t="inlineStr"/>
      <c r="H283" t="n">
        <v>0.03</v>
      </c>
      <c r="I283" t="n">
        <v>212</v>
      </c>
      <c r="J283" t="inlineStr">
        <is>
          <t>century_field</t>
        </is>
      </c>
    </row>
    <row r="284">
      <c r="A284" t="inlineStr">
        <is>
          <t>NT3651</t>
        </is>
      </c>
      <c r="B284" t="inlineStr">
        <is>
          <t>耳毛及眉毛修剪器</t>
        </is>
      </c>
      <c r="C284" t="inlineStr"/>
      <c r="D284" t="n">
        <v>0.03</v>
      </c>
      <c r="E284" t="inlineStr"/>
      <c r="F284" t="inlineStr"/>
      <c r="G284" t="inlineStr"/>
      <c r="H284" t="n">
        <v>0.03</v>
      </c>
      <c r="I284" t="n">
        <v>213</v>
      </c>
      <c r="J284" t="inlineStr">
        <is>
          <t>century_field</t>
        </is>
      </c>
    </row>
    <row r="285">
      <c r="A285" t="inlineStr">
        <is>
          <t>NT5650</t>
        </is>
      </c>
      <c r="B285" t="inlineStr">
        <is>
          <t>電動鼻毛修剪器修眉器耳毛修剪器雙面鼻毛修剪器</t>
        </is>
      </c>
      <c r="C285" t="inlineStr"/>
      <c r="D285" t="n">
        <v>0.03</v>
      </c>
      <c r="E285" t="inlineStr"/>
      <c r="F285" t="inlineStr"/>
      <c r="G285" t="inlineStr"/>
      <c r="H285" t="n">
        <v>0.03</v>
      </c>
      <c r="I285" t="n">
        <v>214</v>
      </c>
      <c r="J285" t="inlineStr">
        <is>
          <t>century_field</t>
        </is>
      </c>
    </row>
    <row r="286">
      <c r="A286" t="inlineStr">
        <is>
          <t>P09153</t>
        </is>
      </c>
      <c r="B286" t="inlineStr">
        <is>
          <t>輕攜電動濾水機</t>
        </is>
      </c>
      <c r="C286" t="inlineStr"/>
      <c r="D286" t="n">
        <v>0.03</v>
      </c>
      <c r="E286" t="inlineStr"/>
      <c r="F286" t="inlineStr"/>
      <c r="G286" t="inlineStr"/>
      <c r="H286" t="n">
        <v>0.03</v>
      </c>
      <c r="I286" t="n">
        <v>215</v>
      </c>
      <c r="J286" t="inlineStr">
        <is>
          <t>century_field</t>
        </is>
      </c>
    </row>
    <row r="287">
      <c r="A287" t="inlineStr">
        <is>
          <t>P09154</t>
        </is>
      </c>
      <c r="B287" t="inlineStr">
        <is>
          <t>輕攜電動濾水機</t>
        </is>
      </c>
      <c r="C287" t="inlineStr"/>
      <c r="D287" t="n">
        <v>0.03</v>
      </c>
      <c r="E287" t="inlineStr"/>
      <c r="F287" t="inlineStr"/>
      <c r="G287" t="inlineStr"/>
      <c r="H287" t="n">
        <v>0.03</v>
      </c>
      <c r="I287" t="n">
        <v>216</v>
      </c>
      <c r="J287" t="inlineStr">
        <is>
          <t>century_field</t>
        </is>
      </c>
    </row>
    <row r="288">
      <c r="A288" t="inlineStr">
        <is>
          <t>PO9154</t>
        </is>
      </c>
      <c r="B288" t="inlineStr">
        <is>
          <t>set濾芯(1盒3件)AWP2980輕攜電動濾水機飲水機用</t>
        </is>
      </c>
      <c r="C288" t="inlineStr"/>
      <c r="D288" t="n">
        <v>0.03</v>
      </c>
      <c r="E288" t="inlineStr"/>
      <c r="F288" t="inlineStr"/>
      <c r="G288" t="inlineStr"/>
      <c r="H288" t="n">
        <v>0.03</v>
      </c>
      <c r="I288" t="n">
        <v>217</v>
      </c>
      <c r="J288" t="inlineStr">
        <is>
          <t>century_field</t>
        </is>
      </c>
    </row>
    <row r="289">
      <c r="A289" t="inlineStr">
        <is>
          <t>PPM1301</t>
        </is>
      </c>
      <c r="B289" t="inlineStr">
        <is>
          <t>頭部按摩器</t>
        </is>
      </c>
      <c r="C289" t="inlineStr"/>
      <c r="D289" t="n">
        <v>0.03</v>
      </c>
      <c r="E289" t="inlineStr"/>
      <c r="F289" t="inlineStr"/>
      <c r="G289" t="inlineStr"/>
      <c r="H289" t="n">
        <v>0.03</v>
      </c>
      <c r="I289" t="n">
        <v>218</v>
      </c>
      <c r="J289" t="inlineStr">
        <is>
          <t>century_field</t>
        </is>
      </c>
    </row>
    <row r="290">
      <c r="A290" t="inlineStr">
        <is>
          <t>PPM301</t>
        </is>
      </c>
      <c r="B290" t="inlineStr">
        <is>
          <t>頭部按摩器</t>
        </is>
      </c>
      <c r="C290" t="inlineStr"/>
      <c r="D290" t="n">
        <v>0.03</v>
      </c>
      <c r="E290" t="inlineStr"/>
      <c r="F290" t="inlineStr"/>
      <c r="G290" t="inlineStr"/>
      <c r="H290" t="n">
        <v>0.03</v>
      </c>
      <c r="I290" t="n">
        <v>219</v>
      </c>
      <c r="J290" t="inlineStr">
        <is>
          <t>century_field</t>
        </is>
      </c>
    </row>
    <row r="291">
      <c r="A291" t="inlineStr">
        <is>
          <t>PPM3501DB/90</t>
        </is>
      </c>
      <c r="B291" t="inlineStr">
        <is>
          <t>頸部按摩器</t>
        </is>
      </c>
      <c r="C291" t="inlineStr"/>
      <c r="D291" t="n">
        <v>0.03</v>
      </c>
      <c r="E291" t="inlineStr"/>
      <c r="F291" t="inlineStr"/>
      <c r="G291" t="inlineStr"/>
      <c r="H291" t="n">
        <v>0.03</v>
      </c>
      <c r="I291" t="n">
        <v>292</v>
      </c>
      <c r="J291" t="inlineStr">
        <is>
          <t>century_field</t>
        </is>
      </c>
    </row>
    <row r="292">
      <c r="A292" t="inlineStr">
        <is>
          <t>PPM3522DB/90</t>
        </is>
      </c>
      <c r="B292" t="inlineStr">
        <is>
          <t>按摩披肩</t>
        </is>
      </c>
      <c r="C292" t="inlineStr"/>
      <c r="D292" t="n">
        <v>0.03</v>
      </c>
      <c r="E292" t="inlineStr"/>
      <c r="F292" t="inlineStr"/>
      <c r="G292" t="inlineStr"/>
      <c r="H292" t="n">
        <v>0.03</v>
      </c>
      <c r="I292" t="n">
        <v>298</v>
      </c>
      <c r="J292" t="inlineStr">
        <is>
          <t>century_field</t>
        </is>
      </c>
    </row>
    <row r="293">
      <c r="A293" t="inlineStr">
        <is>
          <t>PPM4301</t>
        </is>
      </c>
      <c r="B293" t="inlineStr">
        <is>
          <t>背部按摩器</t>
        </is>
      </c>
      <c r="C293" t="inlineStr"/>
      <c r="D293" t="n">
        <v>0.03</v>
      </c>
      <c r="E293" t="inlineStr"/>
      <c r="F293" t="inlineStr"/>
      <c r="G293" t="inlineStr"/>
      <c r="H293" t="n">
        <v>0.03</v>
      </c>
      <c r="I293" t="n">
        <v>220</v>
      </c>
      <c r="J293" t="inlineStr">
        <is>
          <t>century_field</t>
        </is>
      </c>
    </row>
    <row r="294">
      <c r="A294" t="inlineStr">
        <is>
          <t>PPM5301</t>
        </is>
      </c>
      <c r="B294" t="inlineStr">
        <is>
          <t>膝部按摩器(單隻)</t>
        </is>
      </c>
      <c r="C294" t="inlineStr"/>
      <c r="D294" t="n">
        <v>0.03</v>
      </c>
      <c r="E294" t="inlineStr"/>
      <c r="F294" t="inlineStr"/>
      <c r="G294" t="inlineStr"/>
      <c r="H294" t="n">
        <v>0.03</v>
      </c>
      <c r="I294" t="n">
        <v>221</v>
      </c>
      <c r="J294" t="inlineStr">
        <is>
          <t>century_field</t>
        </is>
      </c>
    </row>
    <row r="295">
      <c r="A295" t="inlineStr">
        <is>
          <t>PPM6501</t>
        </is>
      </c>
      <c r="B295" t="inlineStr">
        <is>
          <t>腳部水療按摩</t>
        </is>
      </c>
      <c r="C295" t="inlineStr"/>
      <c r="D295" t="n">
        <v>0.03</v>
      </c>
      <c r="E295" t="inlineStr"/>
      <c r="F295" t="inlineStr"/>
      <c r="G295" t="inlineStr"/>
      <c r="H295" t="n">
        <v>0.03</v>
      </c>
      <c r="I295" t="n">
        <v>293</v>
      </c>
      <c r="J295" t="inlineStr">
        <is>
          <t>century_field</t>
        </is>
      </c>
    </row>
    <row r="296">
      <c r="A296" t="inlineStr">
        <is>
          <t>PQ206</t>
        </is>
      </c>
      <c r="B296" t="inlineStr">
        <is>
          <t>鬚刨</t>
        </is>
      </c>
      <c r="C296" t="inlineStr"/>
      <c r="D296" t="n">
        <v>0.03</v>
      </c>
      <c r="E296" t="inlineStr"/>
      <c r="F296" t="inlineStr"/>
      <c r="G296" t="inlineStr"/>
      <c r="H296" t="n">
        <v>0.03</v>
      </c>
      <c r="I296" t="n">
        <v>223</v>
      </c>
      <c r="J296" t="inlineStr">
        <is>
          <t>century_field</t>
        </is>
      </c>
    </row>
    <row r="297">
      <c r="A297" t="inlineStr">
        <is>
          <t>PQ208須刨</t>
        </is>
      </c>
      <c r="B297" t="inlineStr">
        <is>
          <t>PH個人護理產品</t>
        </is>
      </c>
      <c r="C297" t="inlineStr"/>
      <c r="D297" t="n">
        <v>0.03</v>
      </c>
      <c r="E297" t="inlineStr"/>
      <c r="F297" t="inlineStr"/>
      <c r="G297" t="inlineStr"/>
      <c r="H297" t="n">
        <v>0.03</v>
      </c>
      <c r="I297" t="n">
        <v>310</v>
      </c>
      <c r="J297" t="inlineStr">
        <is>
          <t>century_field</t>
        </is>
      </c>
    </row>
    <row r="298">
      <c r="A298" t="inlineStr">
        <is>
          <t>RVDR5298UK</t>
        </is>
      </c>
      <c r="B298" t="inlineStr">
        <is>
          <t>Revlon Volumiser</t>
        </is>
      </c>
      <c r="C298" t="inlineStr"/>
      <c r="D298" t="n">
        <v>0.03</v>
      </c>
      <c r="E298" t="inlineStr"/>
      <c r="F298" t="inlineStr"/>
      <c r="G298" t="inlineStr"/>
      <c r="H298" t="n">
        <v>0.03</v>
      </c>
      <c r="I298" t="n">
        <v>224</v>
      </c>
      <c r="J298" t="inlineStr">
        <is>
          <t>century_field</t>
        </is>
      </c>
    </row>
    <row r="299">
      <c r="A299" t="inlineStr">
        <is>
          <t>S1131</t>
        </is>
      </c>
      <c r="B299" t="inlineStr">
        <is>
          <t>Shaver 1100 乾用電動鬚刨</t>
        </is>
      </c>
      <c r="C299" t="inlineStr"/>
      <c r="D299" t="n">
        <v>0.03</v>
      </c>
      <c r="E299" t="inlineStr"/>
      <c r="F299" t="inlineStr"/>
      <c r="G299" t="inlineStr"/>
      <c r="H299" t="n">
        <v>0.03</v>
      </c>
      <c r="I299" t="n">
        <v>225</v>
      </c>
      <c r="J299" t="inlineStr">
        <is>
          <t>century_field</t>
        </is>
      </c>
    </row>
    <row r="300">
      <c r="A300" t="inlineStr">
        <is>
          <t>S1141/00鬚刨</t>
        </is>
      </c>
      <c r="B300" t="inlineStr">
        <is>
          <t>PH個人護理產品</t>
        </is>
      </c>
      <c r="C300" t="inlineStr"/>
      <c r="D300" t="n">
        <v>0.03</v>
      </c>
      <c r="E300" t="inlineStr"/>
      <c r="F300" t="inlineStr"/>
      <c r="G300" t="inlineStr"/>
      <c r="H300" t="n">
        <v>0.03</v>
      </c>
      <c r="I300" t="n">
        <v>1184</v>
      </c>
      <c r="J300" t="inlineStr">
        <is>
          <t>century_field</t>
        </is>
      </c>
    </row>
    <row r="301">
      <c r="A301" t="inlineStr">
        <is>
          <t>S1231</t>
        </is>
      </c>
      <c r="B301" t="inlineStr">
        <is>
          <t>Series 1000 乾用電動鬚刨</t>
        </is>
      </c>
      <c r="C301" t="inlineStr"/>
      <c r="D301" t="n">
        <v>0.03</v>
      </c>
      <c r="E301" t="inlineStr"/>
      <c r="F301" t="inlineStr"/>
      <c r="G301" t="inlineStr"/>
      <c r="H301" t="n">
        <v>0.03</v>
      </c>
      <c r="I301" t="n">
        <v>226</v>
      </c>
      <c r="J301" t="inlineStr">
        <is>
          <t>century_field</t>
        </is>
      </c>
    </row>
    <row r="302">
      <c r="A302" t="inlineStr">
        <is>
          <t>S3134/51</t>
        </is>
      </c>
      <c r="B302" t="inlineStr">
        <is>
          <t>乾濕兩用電鬚刨</t>
        </is>
      </c>
      <c r="C302" t="inlineStr"/>
      <c r="D302" t="n">
        <v>0.03</v>
      </c>
      <c r="E302" t="inlineStr"/>
      <c r="F302" t="inlineStr"/>
      <c r="G302" t="inlineStr"/>
      <c r="H302" t="n">
        <v>0.03</v>
      </c>
      <c r="I302" t="n">
        <v>227</v>
      </c>
      <c r="J302" t="inlineStr">
        <is>
          <t>century_field</t>
        </is>
      </c>
    </row>
    <row r="303">
      <c r="A303" t="inlineStr">
        <is>
          <t>S3134151</t>
        </is>
      </c>
      <c r="B303" t="inlineStr">
        <is>
          <t>泛光燈投光燈 LED Floodlight BVP151</t>
        </is>
      </c>
      <c r="C303" t="inlineStr"/>
      <c r="D303" t="n">
        <v>0.03</v>
      </c>
      <c r="E303" t="inlineStr"/>
      <c r="F303" t="inlineStr"/>
      <c r="G303" t="inlineStr"/>
      <c r="H303" t="n">
        <v>0.03</v>
      </c>
      <c r="I303" t="n">
        <v>228</v>
      </c>
      <c r="J303" t="inlineStr">
        <is>
          <t>century_field</t>
        </is>
      </c>
    </row>
    <row r="304">
      <c r="A304" t="inlineStr">
        <is>
          <t>S3231</t>
        </is>
      </c>
      <c r="B304" t="inlineStr">
        <is>
          <t>乾濕兩用電鬚刨</t>
        </is>
      </c>
      <c r="C304" t="inlineStr"/>
      <c r="D304" t="n">
        <v>0.03</v>
      </c>
      <c r="E304" t="inlineStr"/>
      <c r="F304" t="inlineStr"/>
      <c r="G304" t="inlineStr"/>
      <c r="H304" t="n">
        <v>0.03</v>
      </c>
      <c r="I304" t="n">
        <v>229</v>
      </c>
      <c r="J304" t="inlineStr">
        <is>
          <t>century_field</t>
        </is>
      </c>
    </row>
    <row r="305">
      <c r="A305" t="inlineStr">
        <is>
          <t>S5586</t>
        </is>
      </c>
      <c r="B305" t="inlineStr">
        <is>
          <t>Shaver series 5000乾濕兩用電鬚刨 S5586/66</t>
        </is>
      </c>
      <c r="C305" t="inlineStr"/>
      <c r="D305" t="n">
        <v>0.03</v>
      </c>
      <c r="E305" t="inlineStr"/>
      <c r="F305" t="inlineStr"/>
      <c r="G305" t="inlineStr"/>
      <c r="H305" t="n">
        <v>0.03</v>
      </c>
      <c r="I305" t="n">
        <v>230</v>
      </c>
      <c r="J305" t="inlineStr">
        <is>
          <t>century_field</t>
        </is>
      </c>
    </row>
    <row r="306">
      <c r="A306" t="inlineStr">
        <is>
          <t>S5887/10鬚刨</t>
        </is>
      </c>
      <c r="B306" t="inlineStr">
        <is>
          <t>PH個人護理產品</t>
        </is>
      </c>
      <c r="C306" t="inlineStr"/>
      <c r="D306" t="n">
        <v>0.03</v>
      </c>
      <c r="E306" t="inlineStr"/>
      <c r="F306" t="inlineStr"/>
      <c r="G306" t="inlineStr"/>
      <c r="H306" t="n">
        <v>0.03</v>
      </c>
      <c r="I306" t="n">
        <v>1183</v>
      </c>
      <c r="J306" t="inlineStr">
        <is>
          <t>century_field</t>
        </is>
      </c>
    </row>
    <row r="307">
      <c r="A307" t="inlineStr">
        <is>
          <t>S6680</t>
        </is>
      </c>
      <c r="B307" t="inlineStr">
        <is>
          <t>Shaver series 6000乾濕兩用電鬚刨 S6680/26</t>
        </is>
      </c>
      <c r="C307" t="inlineStr"/>
      <c r="D307" t="n">
        <v>0.03</v>
      </c>
      <c r="E307" t="inlineStr"/>
      <c r="F307" t="inlineStr"/>
      <c r="G307" t="inlineStr"/>
      <c r="H307" t="n">
        <v>0.03</v>
      </c>
      <c r="I307" t="n">
        <v>231</v>
      </c>
      <c r="J307" t="inlineStr">
        <is>
          <t>century_field</t>
        </is>
      </c>
    </row>
    <row r="308">
      <c r="A308" t="inlineStr">
        <is>
          <t>SP9860</t>
        </is>
      </c>
      <c r="B308" t="inlineStr">
        <is>
          <t>電動鬚刨 SP9860</t>
        </is>
      </c>
      <c r="C308" t="inlineStr"/>
      <c r="D308" t="n">
        <v>0.03</v>
      </c>
      <c r="E308" t="inlineStr"/>
      <c r="F308" t="inlineStr"/>
      <c r="G308" t="inlineStr"/>
      <c r="H308" t="n">
        <v>0.03</v>
      </c>
      <c r="I308" t="n">
        <v>232</v>
      </c>
      <c r="J308" t="inlineStr">
        <is>
          <t>century_field</t>
        </is>
      </c>
    </row>
    <row r="309">
      <c r="A309" t="inlineStr">
        <is>
          <t>STH3000/26</t>
        </is>
      </c>
      <c r="B309" t="inlineStr">
        <is>
          <t>手提式蒸氣掛熨機</t>
        </is>
      </c>
      <c r="C309" t="inlineStr"/>
      <c r="D309" t="n">
        <v>0.03</v>
      </c>
      <c r="E309" t="inlineStr"/>
      <c r="F309" t="inlineStr"/>
      <c r="G309" t="inlineStr"/>
      <c r="H309" t="n">
        <v>0.03</v>
      </c>
      <c r="I309" t="n">
        <v>233</v>
      </c>
      <c r="J309" t="inlineStr">
        <is>
          <t>century_field</t>
        </is>
      </c>
    </row>
    <row r="310">
      <c r="A310" t="inlineStr">
        <is>
          <t>STH3020/16</t>
        </is>
      </c>
      <c r="B310" t="inlineStr">
        <is>
          <t>手提式蒸氣掛熨機</t>
        </is>
      </c>
      <c r="C310" t="inlineStr"/>
      <c r="D310" t="n">
        <v>0.03</v>
      </c>
      <c r="E310" t="inlineStr"/>
      <c r="F310" t="inlineStr"/>
      <c r="G310" t="inlineStr"/>
      <c r="H310" t="n">
        <v>0.03</v>
      </c>
      <c r="I310" t="n">
        <v>234</v>
      </c>
      <c r="J310" t="inlineStr">
        <is>
          <t>century_field</t>
        </is>
      </c>
    </row>
    <row r="311">
      <c r="A311" t="inlineStr">
        <is>
          <t>STN3020/16</t>
        </is>
      </c>
      <c r="B311" t="inlineStr">
        <is>
          <t>Detalle - Sterling Safe</t>
        </is>
      </c>
      <c r="C311" t="inlineStr"/>
      <c r="D311" t="n">
        <v>0.03</v>
      </c>
      <c r="E311" t="inlineStr"/>
      <c r="F311" t="inlineStr"/>
      <c r="G311" t="inlineStr"/>
      <c r="H311" t="n">
        <v>0.03</v>
      </c>
      <c r="I311" t="n">
        <v>235</v>
      </c>
      <c r="J311" t="inlineStr">
        <is>
          <t>century_field</t>
        </is>
      </c>
    </row>
    <row r="312">
      <c r="A312" t="inlineStr">
        <is>
          <t>TL5 essential 21w865</t>
        </is>
      </c>
      <c r="B312" t="inlineStr">
        <is>
          <t>Philips lighting TL5 Essential 21W/865</t>
        </is>
      </c>
      <c r="C312" t="inlineStr"/>
      <c r="D312" t="n">
        <v>0.03</v>
      </c>
      <c r="E312" t="inlineStr"/>
      <c r="F312" t="inlineStr"/>
      <c r="G312" t="inlineStr"/>
      <c r="H312" t="n">
        <v>0.03</v>
      </c>
      <c r="I312" t="n">
        <v>236</v>
      </c>
      <c r="J312" t="inlineStr">
        <is>
          <t>century_field</t>
        </is>
      </c>
    </row>
    <row r="313">
      <c r="A313" t="inlineStr">
        <is>
          <t>UV-C</t>
        </is>
      </c>
      <c r="B313" t="inlineStr">
        <is>
          <t>紫外線殺菌 空氣清新機</t>
        </is>
      </c>
      <c r="C313" t="inlineStr"/>
      <c r="D313" t="n">
        <v>0.03</v>
      </c>
      <c r="E313" t="inlineStr"/>
      <c r="F313" t="inlineStr"/>
      <c r="G313" t="inlineStr"/>
      <c r="H313" t="n">
        <v>0.03</v>
      </c>
      <c r="I313" t="n">
        <v>237</v>
      </c>
      <c r="J313" t="inlineStr">
        <is>
          <t>century_field</t>
        </is>
      </c>
    </row>
    <row r="314">
      <c r="A314" t="inlineStr">
        <is>
          <t>UVC disinfection air cleaner</t>
        </is>
      </c>
      <c r="B314" t="inlineStr">
        <is>
          <t>UV-C 紫外線空氣殺菌機</t>
        </is>
      </c>
      <c r="C314" t="inlineStr"/>
      <c r="D314" t="n">
        <v>0.03</v>
      </c>
      <c r="E314" t="inlineStr"/>
      <c r="F314" t="inlineStr"/>
      <c r="G314" t="inlineStr"/>
      <c r="H314" t="n">
        <v>0.03</v>
      </c>
      <c r="I314" t="n">
        <v>238</v>
      </c>
      <c r="J314" t="inlineStr">
        <is>
          <t>century_field</t>
        </is>
      </c>
    </row>
    <row r="315">
      <c r="A315" t="inlineStr">
        <is>
          <t>WP1775CH</t>
        </is>
      </c>
      <c r="B315" t="inlineStr">
        <is>
          <t>贈品</t>
        </is>
      </c>
      <c r="C315" t="inlineStr"/>
      <c r="D315" t="n">
        <v>0.03</v>
      </c>
      <c r="E315" t="inlineStr"/>
      <c r="F315" t="inlineStr"/>
      <c r="G315" t="inlineStr"/>
      <c r="H315" t="n">
        <v>0.03</v>
      </c>
      <c r="I315" t="n">
        <v>240</v>
      </c>
      <c r="J315" t="inlineStr">
        <is>
          <t>century_field</t>
        </is>
      </c>
    </row>
    <row r="316">
      <c r="A316" t="inlineStr">
        <is>
          <t>WP1775CH 贈品</t>
        </is>
      </c>
      <c r="B316" t="inlineStr">
        <is>
          <t>贈品</t>
        </is>
      </c>
      <c r="C316" t="inlineStr"/>
      <c r="D316" t="n">
        <v>0.03</v>
      </c>
      <c r="E316" t="inlineStr"/>
      <c r="F316" t="inlineStr"/>
      <c r="G316" t="inlineStr"/>
      <c r="H316" t="n">
        <v>0.03</v>
      </c>
      <c r="I316" t="n">
        <v>241</v>
      </c>
      <c r="J316" t="inlineStr">
        <is>
          <t>century_field</t>
        </is>
      </c>
    </row>
    <row r="317">
      <c r="A317" t="inlineStr">
        <is>
          <t>WP3773+WP3922</t>
        </is>
      </c>
      <c r="B317" t="inlineStr">
        <is>
          <t>水龍頭過濾器+濾心</t>
        </is>
      </c>
      <c r="C317" t="inlineStr"/>
      <c r="D317" t="n">
        <v>0.03</v>
      </c>
      <c r="E317" t="inlineStr"/>
      <c r="F317" t="inlineStr"/>
      <c r="G317" t="inlineStr"/>
      <c r="H317" t="n">
        <v>0.03</v>
      </c>
      <c r="I317" t="n">
        <v>306</v>
      </c>
      <c r="J317" t="inlineStr">
        <is>
          <t>century_field</t>
        </is>
      </c>
    </row>
    <row r="318">
      <c r="A318" t="inlineStr">
        <is>
          <t>WP3780+WP3922</t>
        </is>
      </c>
      <c r="B318" t="inlineStr">
        <is>
          <t>座檯濾水器+濾芯</t>
        </is>
      </c>
      <c r="C318" t="inlineStr"/>
      <c r="D318" t="n">
        <v>0.03</v>
      </c>
      <c r="E318" t="inlineStr"/>
      <c r="F318" t="inlineStr"/>
      <c r="G318" t="inlineStr"/>
      <c r="H318" t="n">
        <v>0.03</v>
      </c>
      <c r="I318" t="n">
        <v>242</v>
      </c>
      <c r="J318" t="inlineStr">
        <is>
          <t>century_field</t>
        </is>
      </c>
    </row>
    <row r="319">
      <c r="A319" t="inlineStr">
        <is>
          <t>WP3811+3911</t>
        </is>
      </c>
      <c r="B319" t="inlineStr">
        <is>
          <t>超濾水龍頭式淨水器+替換濾芯套裝</t>
        </is>
      </c>
      <c r="C319" t="inlineStr"/>
      <c r="D319" t="n">
        <v>0.03</v>
      </c>
      <c r="E319" t="inlineStr"/>
      <c r="F319" t="inlineStr"/>
      <c r="G319" t="inlineStr"/>
      <c r="H319" t="n">
        <v>0.03</v>
      </c>
      <c r="I319" t="n">
        <v>1101</v>
      </c>
      <c r="J319" t="inlineStr">
        <is>
          <t>century_field</t>
        </is>
      </c>
    </row>
    <row r="320">
      <c r="A320" t="inlineStr">
        <is>
          <t>WP3811+3912</t>
        </is>
      </c>
      <c r="B320" t="inlineStr">
        <is>
          <t>水龍頭濾水器</t>
        </is>
      </c>
      <c r="C320" t="inlineStr"/>
      <c r="D320" t="n">
        <v>0.03</v>
      </c>
      <c r="E320" t="inlineStr"/>
      <c r="F320" t="inlineStr"/>
      <c r="G320" t="inlineStr"/>
      <c r="H320" t="n">
        <v>0.03</v>
      </c>
      <c r="I320" t="n">
        <v>1102</v>
      </c>
      <c r="J320" t="inlineStr">
        <is>
          <t>century_field</t>
        </is>
      </c>
    </row>
    <row r="321">
      <c r="A321" t="inlineStr">
        <is>
          <t>WP3811+3922</t>
        </is>
      </c>
      <c r="B321" t="inlineStr">
        <is>
          <t>淨水器組合</t>
        </is>
      </c>
      <c r="C321" t="inlineStr"/>
      <c r="D321" t="n">
        <v>0.03</v>
      </c>
      <c r="E321" t="inlineStr"/>
      <c r="F321" t="inlineStr"/>
      <c r="G321" t="inlineStr"/>
      <c r="H321" t="n">
        <v>0.03</v>
      </c>
      <c r="I321" t="n">
        <v>1103</v>
      </c>
      <c r="J321" t="inlineStr">
        <is>
          <t>century_field</t>
        </is>
      </c>
    </row>
    <row r="322">
      <c r="A322" t="inlineStr">
        <is>
          <t>WP3811+WP3911</t>
        </is>
      </c>
      <c r="B322" t="inlineStr">
        <is>
          <t>超濾水龍頭式淨水器+替換濾芯套裝</t>
        </is>
      </c>
      <c r="C322" t="inlineStr"/>
      <c r="D322" t="n">
        <v>0.03</v>
      </c>
      <c r="E322" t="inlineStr"/>
      <c r="F322" t="inlineStr"/>
      <c r="G322" t="inlineStr"/>
      <c r="H322" t="n">
        <v>0.03</v>
      </c>
      <c r="I322" t="n">
        <v>245</v>
      </c>
      <c r="J322" t="inlineStr">
        <is>
          <t>century_field</t>
        </is>
      </c>
    </row>
    <row r="323">
      <c r="A323" t="inlineStr">
        <is>
          <t>WP3811+WP3912</t>
        </is>
      </c>
      <c r="B323" t="inlineStr">
        <is>
          <t>水龍頭濾水器</t>
        </is>
      </c>
      <c r="C323" t="inlineStr"/>
      <c r="D323" t="n">
        <v>0.03</v>
      </c>
      <c r="E323" t="inlineStr"/>
      <c r="F323" t="inlineStr"/>
      <c r="G323" t="inlineStr"/>
      <c r="H323" t="n">
        <v>0.03</v>
      </c>
      <c r="I323" t="n">
        <v>246</v>
      </c>
      <c r="J323" t="inlineStr">
        <is>
          <t>century_field</t>
        </is>
      </c>
    </row>
    <row r="324">
      <c r="A324" t="inlineStr">
        <is>
          <t>WP3811+WP3922</t>
        </is>
      </c>
      <c r="B324" t="inlineStr">
        <is>
          <t>淨水器組合</t>
        </is>
      </c>
      <c r="C324" t="inlineStr"/>
      <c r="D324" t="n">
        <v>0.03</v>
      </c>
      <c r="E324" t="inlineStr"/>
      <c r="F324" t="inlineStr"/>
      <c r="G324" t="inlineStr"/>
      <c r="H324" t="n">
        <v>0.03</v>
      </c>
      <c r="I324" t="n">
        <v>247</v>
      </c>
      <c r="J324" t="inlineStr">
        <is>
          <t>century_field</t>
        </is>
      </c>
    </row>
    <row r="325">
      <c r="A325" t="inlineStr">
        <is>
          <t>WP3811/00</t>
        </is>
      </c>
      <c r="B325" t="inlineStr">
        <is>
          <t>水龍頭濾水器</t>
        </is>
      </c>
      <c r="C325" t="inlineStr"/>
      <c r="D325" t="n">
        <v>0.03</v>
      </c>
      <c r="E325" t="inlineStr"/>
      <c r="F325" t="inlineStr"/>
      <c r="G325" t="inlineStr"/>
      <c r="H325" t="n">
        <v>0.03</v>
      </c>
      <c r="I325" t="n">
        <v>243</v>
      </c>
      <c r="J325" t="inlineStr">
        <is>
          <t>century_field</t>
        </is>
      </c>
    </row>
    <row r="326">
      <c r="A326" t="inlineStr">
        <is>
          <t>WP3812+WP3911</t>
        </is>
      </c>
      <c r="B326" t="inlineStr">
        <is>
          <t>超濾龍頭式淨水器SET</t>
        </is>
      </c>
      <c r="C326" t="inlineStr"/>
      <c r="D326" t="n">
        <v>0.03</v>
      </c>
      <c r="E326" t="inlineStr"/>
      <c r="F326" t="inlineStr"/>
      <c r="G326" t="inlineStr"/>
      <c r="H326" t="n">
        <v>0.03</v>
      </c>
      <c r="I326" t="n">
        <v>249</v>
      </c>
      <c r="J326" t="inlineStr">
        <is>
          <t>century_field</t>
        </is>
      </c>
    </row>
    <row r="327">
      <c r="A327" t="inlineStr">
        <is>
          <t>WP3812+WP3922</t>
        </is>
      </c>
      <c r="B327" t="inlineStr">
        <is>
          <t>超濾龍頭式淨水器組合</t>
        </is>
      </c>
      <c r="C327" t="inlineStr"/>
      <c r="D327" t="n">
        <v>0.03</v>
      </c>
      <c r="E327" t="inlineStr"/>
      <c r="F327" t="inlineStr"/>
      <c r="G327" t="inlineStr"/>
      <c r="H327" t="n">
        <v>0.03</v>
      </c>
      <c r="I327" t="n">
        <v>251</v>
      </c>
      <c r="J327" t="inlineStr">
        <is>
          <t>century_field</t>
        </is>
      </c>
    </row>
    <row r="328">
      <c r="A328" t="inlineStr">
        <is>
          <t>WP3812/00</t>
        </is>
      </c>
      <c r="B328" t="inlineStr">
        <is>
          <t>水龍頭濾水器</t>
        </is>
      </c>
      <c r="C328" t="inlineStr"/>
      <c r="D328" t="n">
        <v>0.03</v>
      </c>
      <c r="E328" t="inlineStr"/>
      <c r="F328" t="inlineStr"/>
      <c r="G328" t="inlineStr"/>
      <c r="H328" t="n">
        <v>0.03</v>
      </c>
      <c r="I328" t="n">
        <v>248</v>
      </c>
      <c r="J328" t="inlineStr">
        <is>
          <t>century_field</t>
        </is>
      </c>
    </row>
    <row r="329">
      <c r="A329" t="inlineStr">
        <is>
          <t>WP3822+3922</t>
        </is>
      </c>
      <c r="B329" t="inlineStr">
        <is>
          <t>水龍頭濾水器原裝</t>
        </is>
      </c>
      <c r="C329" t="inlineStr"/>
      <c r="D329" t="n">
        <v>0.03</v>
      </c>
      <c r="E329" t="inlineStr"/>
      <c r="F329" t="inlineStr"/>
      <c r="G329" t="inlineStr"/>
      <c r="H329" t="n">
        <v>0.03</v>
      </c>
      <c r="I329" t="n">
        <v>1109</v>
      </c>
      <c r="J329" t="inlineStr">
        <is>
          <t>century_field</t>
        </is>
      </c>
    </row>
    <row r="330">
      <c r="A330" t="inlineStr">
        <is>
          <t>WP3822+WP3922</t>
        </is>
      </c>
      <c r="B330" t="inlineStr">
        <is>
          <t>水龍頭濾水器原裝</t>
        </is>
      </c>
      <c r="C330" t="inlineStr"/>
      <c r="D330" t="n">
        <v>0.03</v>
      </c>
      <c r="E330" t="inlineStr"/>
      <c r="F330" t="inlineStr"/>
      <c r="G330" t="inlineStr"/>
      <c r="H330" t="n">
        <v>0.03</v>
      </c>
      <c r="I330" t="n">
        <v>253</v>
      </c>
      <c r="J330" t="inlineStr">
        <is>
          <t>century_field</t>
        </is>
      </c>
    </row>
    <row r="331">
      <c r="A331" t="inlineStr">
        <is>
          <t>WP3822/00</t>
        </is>
      </c>
      <c r="B331" t="inlineStr">
        <is>
          <t>水龍頭濾水器</t>
        </is>
      </c>
      <c r="C331" t="inlineStr"/>
      <c r="D331" t="n">
        <v>0.03</v>
      </c>
      <c r="E331" t="inlineStr"/>
      <c r="F331" t="inlineStr"/>
      <c r="G331" t="inlineStr"/>
      <c r="H331" t="n">
        <v>0.03</v>
      </c>
      <c r="I331" t="n">
        <v>252</v>
      </c>
      <c r="J331" t="inlineStr">
        <is>
          <t>century_field</t>
        </is>
      </c>
    </row>
    <row r="332">
      <c r="A332" t="inlineStr">
        <is>
          <t>WP3861</t>
        </is>
      </c>
      <c r="B332" t="inlineStr">
        <is>
          <t>水龍頭濾水器</t>
        </is>
      </c>
      <c r="C332" t="inlineStr"/>
      <c r="D332" t="n">
        <v>0.03</v>
      </c>
      <c r="E332" t="inlineStr"/>
      <c r="F332" t="inlineStr"/>
      <c r="G332" t="inlineStr"/>
      <c r="H332" t="n">
        <v>0.03</v>
      </c>
      <c r="I332" t="n">
        <v>280</v>
      </c>
      <c r="J332" t="inlineStr">
        <is>
          <t>century_field</t>
        </is>
      </c>
    </row>
    <row r="333">
      <c r="A333" t="inlineStr">
        <is>
          <t>WP3861+3961</t>
        </is>
      </c>
      <c r="B333" t="inlineStr">
        <is>
          <t>超濾水龍頭式淨水器+替換濾芯套裝</t>
        </is>
      </c>
      <c r="C333" t="inlineStr"/>
      <c r="D333" t="n">
        <v>0.03</v>
      </c>
      <c r="E333" t="inlineStr"/>
      <c r="F333" t="inlineStr"/>
      <c r="G333" t="inlineStr"/>
      <c r="H333" t="n">
        <v>0.03</v>
      </c>
      <c r="I333" t="n">
        <v>1111</v>
      </c>
      <c r="J333" t="inlineStr">
        <is>
          <t>century_field</t>
        </is>
      </c>
    </row>
    <row r="334">
      <c r="A334" t="inlineStr">
        <is>
          <t>WP3861+WP3961</t>
        </is>
      </c>
      <c r="B334" t="inlineStr">
        <is>
          <t>超濾水龍頭式淨水器+替換濾芯套裝</t>
        </is>
      </c>
      <c r="C334" t="inlineStr"/>
      <c r="D334" t="n">
        <v>0.03</v>
      </c>
      <c r="E334" t="inlineStr"/>
      <c r="F334" t="inlineStr"/>
      <c r="G334" t="inlineStr"/>
      <c r="H334" t="n">
        <v>0.03</v>
      </c>
      <c r="I334" t="n">
        <v>255</v>
      </c>
      <c r="J334" t="inlineStr">
        <is>
          <t>century_field</t>
        </is>
      </c>
    </row>
    <row r="335">
      <c r="A335" t="inlineStr">
        <is>
          <t>WP3861/00</t>
        </is>
      </c>
      <c r="B335" t="inlineStr">
        <is>
          <t>水龍頭濾水器</t>
        </is>
      </c>
      <c r="C335" t="inlineStr"/>
      <c r="D335" t="n">
        <v>0.03</v>
      </c>
      <c r="E335" t="inlineStr"/>
      <c r="F335" t="inlineStr"/>
      <c r="G335" t="inlineStr"/>
      <c r="H335" t="n">
        <v>0.03</v>
      </c>
      <c r="I335" t="n">
        <v>254</v>
      </c>
      <c r="J335" t="inlineStr">
        <is>
          <t>century_field</t>
        </is>
      </c>
    </row>
    <row r="336">
      <c r="A336" t="inlineStr">
        <is>
          <t>WP38611</t>
        </is>
      </c>
      <c r="B336" t="inlineStr">
        <is>
          <t>水龍頭濾水器</t>
        </is>
      </c>
      <c r="C336" t="inlineStr"/>
      <c r="D336" t="n">
        <v>0.03</v>
      </c>
      <c r="E336" t="inlineStr"/>
      <c r="F336" t="inlineStr"/>
      <c r="G336" t="inlineStr"/>
      <c r="H336" t="n">
        <v>0.03</v>
      </c>
      <c r="I336" t="n">
        <v>256</v>
      </c>
      <c r="J336" t="inlineStr">
        <is>
          <t>century_field</t>
        </is>
      </c>
    </row>
    <row r="337">
      <c r="A337" t="inlineStr">
        <is>
          <t>WP3870</t>
        </is>
      </c>
      <c r="B337" t="inlineStr">
        <is>
          <t>淨水器 WP3870</t>
        </is>
      </c>
      <c r="C337" t="inlineStr"/>
      <c r="D337" t="n">
        <v>0.03</v>
      </c>
      <c r="E337" t="inlineStr"/>
      <c r="F337" t="inlineStr"/>
      <c r="G337" t="inlineStr"/>
      <c r="H337" t="n">
        <v>0.03</v>
      </c>
      <c r="I337" t="n">
        <v>257</v>
      </c>
      <c r="J337" t="inlineStr">
        <is>
          <t>century_field</t>
        </is>
      </c>
    </row>
    <row r="338">
      <c r="A338" t="inlineStr">
        <is>
          <t>WP3887/01</t>
        </is>
      </c>
      <c r="B338" t="inlineStr">
        <is>
          <t>廚房座檯濾水器</t>
        </is>
      </c>
      <c r="C338" t="inlineStr"/>
      <c r="D338" t="n">
        <v>0.03</v>
      </c>
      <c r="E338" t="inlineStr"/>
      <c r="F338" t="inlineStr"/>
      <c r="G338" t="inlineStr"/>
      <c r="H338" t="n">
        <v>0.03</v>
      </c>
      <c r="I338" t="n">
        <v>259</v>
      </c>
      <c r="J338" t="inlineStr">
        <is>
          <t>century_field</t>
        </is>
      </c>
    </row>
    <row r="339">
      <c r="A339" t="inlineStr">
        <is>
          <t>WP3902</t>
        </is>
      </c>
      <c r="B339" t="inlineStr">
        <is>
          <t>4重過濾替換濾水芯</t>
        </is>
      </c>
      <c r="C339" t="inlineStr"/>
      <c r="D339" t="n">
        <v>0.03</v>
      </c>
      <c r="E339" t="inlineStr"/>
      <c r="F339" t="inlineStr"/>
      <c r="G339" t="inlineStr"/>
      <c r="H339" t="n">
        <v>0.03</v>
      </c>
      <c r="I339" t="n">
        <v>260</v>
      </c>
      <c r="J339" t="inlineStr">
        <is>
          <t>century_field</t>
        </is>
      </c>
    </row>
    <row r="340">
      <c r="A340" t="inlineStr">
        <is>
          <t>WP3911/00</t>
        </is>
      </c>
      <c r="B340" t="inlineStr">
        <is>
          <t>水龍頭濾水器替換濾芯</t>
        </is>
      </c>
      <c r="C340" t="inlineStr"/>
      <c r="D340" t="n">
        <v>0.03</v>
      </c>
      <c r="E340" t="inlineStr"/>
      <c r="F340" t="inlineStr"/>
      <c r="G340" t="inlineStr"/>
      <c r="H340" t="n">
        <v>0.03</v>
      </c>
      <c r="I340" t="n">
        <v>261</v>
      </c>
      <c r="J340" t="inlineStr">
        <is>
          <t>century_field</t>
        </is>
      </c>
    </row>
    <row r="341">
      <c r="A341" t="inlineStr">
        <is>
          <t>WP3912+3922</t>
        </is>
      </c>
      <c r="B341" t="inlineStr">
        <is>
          <t>水龍頭濾水器 濾芯 X-Clean 5重過濾系統</t>
        </is>
      </c>
      <c r="C341" t="inlineStr"/>
      <c r="D341" t="n">
        <v>0.03</v>
      </c>
      <c r="E341" t="inlineStr"/>
      <c r="F341" t="inlineStr"/>
      <c r="G341" t="inlineStr"/>
      <c r="H341" t="n">
        <v>0.03</v>
      </c>
      <c r="I341" t="n">
        <v>1119</v>
      </c>
      <c r="J341" t="inlineStr">
        <is>
          <t>century_field</t>
        </is>
      </c>
    </row>
    <row r="342">
      <c r="A342" t="inlineStr">
        <is>
          <t>WP3912+WP3922</t>
        </is>
      </c>
      <c r="B342" t="inlineStr">
        <is>
          <t>水龍頭濾水器 濾芯 X-Clean 5重過濾系統</t>
        </is>
      </c>
      <c r="C342" t="inlineStr"/>
      <c r="D342" t="n">
        <v>0.03</v>
      </c>
      <c r="E342" t="inlineStr"/>
      <c r="F342" t="inlineStr"/>
      <c r="G342" t="inlineStr"/>
      <c r="H342" t="n">
        <v>0.03</v>
      </c>
      <c r="I342" t="n">
        <v>263</v>
      </c>
      <c r="J342" t="inlineStr">
        <is>
          <t>century_field</t>
        </is>
      </c>
    </row>
    <row r="343">
      <c r="A343" t="inlineStr">
        <is>
          <t>WP3922</t>
        </is>
      </c>
      <c r="B343" t="inlineStr">
        <is>
          <t>水龍頭濾水器替換濾芯</t>
        </is>
      </c>
      <c r="C343" t="inlineStr"/>
      <c r="D343" t="n">
        <v>0.03</v>
      </c>
      <c r="E343" t="inlineStr"/>
      <c r="F343" t="inlineStr"/>
      <c r="G343" t="inlineStr"/>
      <c r="H343" t="n">
        <v>0.03</v>
      </c>
      <c r="I343" t="n">
        <v>264</v>
      </c>
      <c r="J343" t="inlineStr">
        <is>
          <t>century_field</t>
        </is>
      </c>
    </row>
    <row r="344">
      <c r="A344" t="inlineStr">
        <is>
          <t>WP3922/00</t>
        </is>
      </c>
      <c r="B344" t="inlineStr">
        <is>
          <t>水龍頭濾水器替換濾芯</t>
        </is>
      </c>
      <c r="C344" t="inlineStr"/>
      <c r="D344" t="n">
        <v>0.03</v>
      </c>
      <c r="E344" t="inlineStr"/>
      <c r="F344" t="inlineStr"/>
      <c r="G344" t="inlineStr"/>
      <c r="H344" t="n">
        <v>0.03</v>
      </c>
      <c r="I344" t="n">
        <v>265</v>
      </c>
      <c r="J344" t="inlineStr">
        <is>
          <t>century_field</t>
        </is>
      </c>
    </row>
    <row r="345">
      <c r="A345" t="inlineStr">
        <is>
          <t>WP3922tp</t>
        </is>
      </c>
      <c r="B345" t="inlineStr">
        <is>
          <t>濾芯孖裝</t>
        </is>
      </c>
      <c r="C345" t="inlineStr"/>
      <c r="D345" t="n">
        <v>0.03</v>
      </c>
      <c r="E345" t="inlineStr"/>
      <c r="F345" t="inlineStr"/>
      <c r="G345" t="inlineStr"/>
      <c r="H345" t="n">
        <v>0.03</v>
      </c>
      <c r="I345" t="n">
        <v>266</v>
      </c>
      <c r="J345" t="inlineStr">
        <is>
          <t>century_field</t>
        </is>
      </c>
    </row>
    <row r="346">
      <c r="A346" t="inlineStr">
        <is>
          <t>WP3961/00</t>
        </is>
      </c>
      <c r="B346" t="inlineStr">
        <is>
          <t>水龍頭濾水器替換濾芯</t>
        </is>
      </c>
      <c r="C346" t="inlineStr"/>
      <c r="D346" t="n">
        <v>0.03</v>
      </c>
      <c r="E346" t="inlineStr"/>
      <c r="F346" t="inlineStr"/>
      <c r="G346" t="inlineStr"/>
      <c r="H346" t="n">
        <v>0.03</v>
      </c>
      <c r="I346" t="n">
        <v>267</v>
      </c>
      <c r="J346" t="inlineStr">
        <is>
          <t>century_field</t>
        </is>
      </c>
    </row>
    <row r="347">
      <c r="A347" t="inlineStr">
        <is>
          <t>WP3975</t>
        </is>
      </c>
      <c r="B347" t="inlineStr">
        <is>
          <t>廚下式濾水系統濾芯</t>
        </is>
      </c>
      <c r="C347" t="inlineStr"/>
      <c r="D347" t="n">
        <v>0.03</v>
      </c>
      <c r="E347" t="inlineStr"/>
      <c r="F347" t="inlineStr"/>
      <c r="G347" t="inlineStr"/>
      <c r="H347" t="n">
        <v>0.03</v>
      </c>
      <c r="I347" t="n">
        <v>268</v>
      </c>
      <c r="J347" t="inlineStr">
        <is>
          <t>century_field</t>
        </is>
      </c>
    </row>
    <row r="348">
      <c r="A348" t="inlineStr">
        <is>
          <t>WP3976</t>
        </is>
      </c>
      <c r="B348" t="inlineStr">
        <is>
          <t>廚下式濾水系統濾芯</t>
        </is>
      </c>
      <c r="C348" t="inlineStr"/>
      <c r="D348" t="n">
        <v>0.03</v>
      </c>
      <c r="E348" t="inlineStr"/>
      <c r="F348" t="inlineStr"/>
      <c r="G348" t="inlineStr"/>
      <c r="H348" t="n">
        <v>0.03</v>
      </c>
      <c r="I348" t="n">
        <v>269</v>
      </c>
      <c r="J348" t="inlineStr">
        <is>
          <t>century_field</t>
        </is>
      </c>
    </row>
    <row r="349">
      <c r="A349" t="inlineStr">
        <is>
          <t>WP3977</t>
        </is>
      </c>
      <c r="B349" t="inlineStr">
        <is>
          <t>廚下式濾水系統濾芯</t>
        </is>
      </c>
      <c r="C349" t="inlineStr"/>
      <c r="D349" t="n">
        <v>0.03</v>
      </c>
      <c r="E349" t="inlineStr"/>
      <c r="F349" t="inlineStr"/>
      <c r="G349" t="inlineStr"/>
      <c r="H349" t="n">
        <v>0.03</v>
      </c>
      <c r="I349" t="n">
        <v>270</v>
      </c>
      <c r="J349" t="inlineStr">
        <is>
          <t>century_field</t>
        </is>
      </c>
    </row>
    <row r="350">
      <c r="A350" t="inlineStr">
        <is>
          <t>WP3983</t>
        </is>
      </c>
      <c r="B350" t="inlineStr">
        <is>
          <t>直立式濾水器濾芯</t>
        </is>
      </c>
      <c r="C350" t="inlineStr"/>
      <c r="D350" t="n">
        <v>0.03</v>
      </c>
      <c r="E350" t="inlineStr"/>
      <c r="F350" t="inlineStr"/>
      <c r="G350" t="inlineStr"/>
      <c r="H350" t="n">
        <v>0.03</v>
      </c>
      <c r="I350" t="n">
        <v>271</v>
      </c>
      <c r="J350" t="inlineStr">
        <is>
          <t>century_field</t>
        </is>
      </c>
    </row>
    <row r="351">
      <c r="A351" t="inlineStr">
        <is>
          <t>WP3985</t>
        </is>
      </c>
      <c r="B351" t="inlineStr">
        <is>
          <t>廚下式濾水系統濾芯</t>
        </is>
      </c>
      <c r="C351" t="inlineStr"/>
      <c r="D351" t="n">
        <v>0.03</v>
      </c>
      <c r="E351" t="inlineStr"/>
      <c r="F351" t="inlineStr"/>
      <c r="G351" t="inlineStr"/>
      <c r="H351" t="n">
        <v>0.03</v>
      </c>
      <c r="I351" t="n">
        <v>272</v>
      </c>
      <c r="J351" t="inlineStr">
        <is>
          <t>century_field</t>
        </is>
      </c>
    </row>
    <row r="352">
      <c r="A352" t="inlineStr">
        <is>
          <t>WP4111/90</t>
        </is>
      </c>
      <c r="B352" t="inlineStr">
        <is>
          <t>濾水器</t>
        </is>
      </c>
      <c r="C352" t="inlineStr"/>
      <c r="D352" t="n">
        <v>0.03</v>
      </c>
      <c r="E352" t="inlineStr"/>
      <c r="F352" t="inlineStr"/>
      <c r="G352" t="inlineStr"/>
      <c r="H352" t="n">
        <v>0.03</v>
      </c>
      <c r="I352" t="n">
        <v>273</v>
      </c>
      <c r="J352" t="inlineStr">
        <is>
          <t>century_field</t>
        </is>
      </c>
    </row>
    <row r="353">
      <c r="A353" t="inlineStr">
        <is>
          <t>WP4141</t>
        </is>
      </c>
      <c r="B353" t="inlineStr">
        <is>
          <t>淋浴過濾器濾芯</t>
        </is>
      </c>
      <c r="C353" t="inlineStr"/>
      <c r="D353" t="n">
        <v>0.03</v>
      </c>
      <c r="E353" t="inlineStr"/>
      <c r="F353" t="inlineStr"/>
      <c r="G353" t="inlineStr"/>
      <c r="H353" t="n">
        <v>0.03</v>
      </c>
      <c r="I353" t="n">
        <v>274</v>
      </c>
      <c r="J353" t="inlineStr">
        <is>
          <t>century_field</t>
        </is>
      </c>
    </row>
    <row r="354">
      <c r="A354" t="inlineStr">
        <is>
          <t>WP4141+1775</t>
        </is>
      </c>
      <c r="B354" t="inlineStr">
        <is>
          <t>淋浴過濾器SET</t>
        </is>
      </c>
      <c r="C354" t="inlineStr"/>
      <c r="D354" t="n">
        <v>0.03</v>
      </c>
      <c r="E354" t="inlineStr"/>
      <c r="F354" t="inlineStr"/>
      <c r="G354" t="inlineStr"/>
      <c r="H354" t="n">
        <v>0.03</v>
      </c>
      <c r="I354" t="n">
        <v>1132</v>
      </c>
      <c r="J354" t="inlineStr">
        <is>
          <t>century_field</t>
        </is>
      </c>
    </row>
    <row r="355">
      <c r="A355" t="inlineStr">
        <is>
          <t>WP4141+AWP1775</t>
        </is>
      </c>
      <c r="B355" t="inlineStr">
        <is>
          <t>淋浴過濾器SET</t>
        </is>
      </c>
      <c r="C355" t="inlineStr"/>
      <c r="D355" t="n">
        <v>0.03</v>
      </c>
      <c r="E355" t="inlineStr"/>
      <c r="F355" t="inlineStr"/>
      <c r="G355" t="inlineStr"/>
      <c r="H355" t="n">
        <v>0.03</v>
      </c>
      <c r="I355" t="n">
        <v>276</v>
      </c>
      <c r="J355" t="inlineStr">
        <is>
          <t>century_field</t>
        </is>
      </c>
    </row>
    <row r="356">
      <c r="A356" t="inlineStr">
        <is>
          <t>WP4141/90</t>
        </is>
      </c>
      <c r="B356" t="inlineStr">
        <is>
          <t>濾水器</t>
        </is>
      </c>
      <c r="C356" t="inlineStr"/>
      <c r="D356" t="n">
        <v>0.03</v>
      </c>
      <c r="E356" t="inlineStr"/>
      <c r="F356" t="inlineStr"/>
      <c r="G356" t="inlineStr"/>
      <c r="H356" t="n">
        <v>0.03</v>
      </c>
      <c r="I356" t="n">
        <v>275</v>
      </c>
      <c r="J356" t="inlineStr">
        <is>
          <t>century_field</t>
        </is>
      </c>
    </row>
    <row r="357">
      <c r="A357" t="inlineStr">
        <is>
          <t>WP4161/01</t>
        </is>
      </c>
      <c r="B357" t="inlineStr">
        <is>
          <t>超細微過濾效能濾水器</t>
        </is>
      </c>
      <c r="C357" t="inlineStr"/>
      <c r="D357" t="n">
        <v>0.03</v>
      </c>
      <c r="E357" t="inlineStr"/>
      <c r="F357" t="inlineStr"/>
      <c r="G357" t="inlineStr"/>
      <c r="H357" t="n">
        <v>0.03</v>
      </c>
      <c r="I357" t="n">
        <v>277</v>
      </c>
      <c r="J357" t="inlineStr">
        <is>
          <t>century_field</t>
        </is>
      </c>
    </row>
    <row r="358">
      <c r="A358" t="inlineStr">
        <is>
          <t>WP4161/90</t>
        </is>
      </c>
      <c r="B358" t="inlineStr">
        <is>
          <t>濾水器</t>
        </is>
      </c>
      <c r="C358" t="inlineStr"/>
      <c r="D358" t="n">
        <v>0.03</v>
      </c>
      <c r="E358" t="inlineStr"/>
      <c r="F358" t="inlineStr"/>
      <c r="G358" t="inlineStr"/>
      <c r="H358" t="n">
        <v>0.03</v>
      </c>
      <c r="I358" t="n">
        <v>278</v>
      </c>
      <c r="J358" t="inlineStr">
        <is>
          <t>century_field</t>
        </is>
      </c>
    </row>
    <row r="359">
      <c r="A359" t="inlineStr">
        <is>
          <t>WP6911</t>
        </is>
      </c>
      <c r="B359" t="inlineStr">
        <is>
          <t>RO飲水機配備智能WiFi連接</t>
        </is>
      </c>
      <c r="C359" t="inlineStr"/>
      <c r="D359" t="n">
        <v>0.03</v>
      </c>
      <c r="E359" t="inlineStr"/>
      <c r="F359" t="inlineStr"/>
      <c r="G359" t="inlineStr"/>
      <c r="H359" t="n">
        <v>0.03</v>
      </c>
      <c r="I359" t="n">
        <v>279</v>
      </c>
      <c r="J359" t="inlineStr">
        <is>
          <t>century_field</t>
        </is>
      </c>
    </row>
    <row r="360">
      <c r="A360" t="inlineStr">
        <is>
          <t>Wp3911tp</t>
        </is>
      </c>
      <c r="B360" t="inlineStr">
        <is>
          <t>濾芯孖裝</t>
        </is>
      </c>
      <c r="C360" t="inlineStr"/>
      <c r="D360" t="n">
        <v>0.03</v>
      </c>
      <c r="E360" t="inlineStr"/>
      <c r="F360" t="inlineStr"/>
      <c r="G360" t="inlineStr"/>
      <c r="H360" t="n">
        <v>0.03</v>
      </c>
      <c r="I360" t="n">
        <v>262</v>
      </c>
      <c r="J360" t="inlineStr">
        <is>
          <t>century_field</t>
        </is>
      </c>
    </row>
    <row r="361">
      <c r="A361" t="inlineStr">
        <is>
          <t>X5006/00須刨</t>
        </is>
      </c>
      <c r="B361" t="inlineStr">
        <is>
          <t>PH個人護理產品</t>
        </is>
      </c>
      <c r="C361" t="inlineStr"/>
      <c r="D361" t="n">
        <v>0.03</v>
      </c>
      <c r="E361" t="inlineStr"/>
      <c r="F361" t="inlineStr"/>
      <c r="G361" t="inlineStr"/>
      <c r="H361" t="n">
        <v>0.03</v>
      </c>
      <c r="I361" t="n">
        <v>309</v>
      </c>
      <c r="J361" t="inlineStr">
        <is>
          <t>century_field</t>
        </is>
      </c>
    </row>
    <row r="362">
      <c r="A362" t="inlineStr">
        <is>
          <t>YQ660/02須刨</t>
        </is>
      </c>
      <c r="B362" t="inlineStr">
        <is>
          <t>PH個人護理產品</t>
        </is>
      </c>
      <c r="C362" t="inlineStr"/>
      <c r="D362" t="n">
        <v>0.03</v>
      </c>
      <c r="E362" t="inlineStr"/>
      <c r="F362" t="inlineStr"/>
      <c r="G362" t="inlineStr"/>
      <c r="H362" t="n">
        <v>0.03</v>
      </c>
      <c r="I362" t="n">
        <v>307</v>
      </c>
      <c r="J362" t="inlineStr">
        <is>
          <t>century_field</t>
        </is>
      </c>
    </row>
    <row r="363">
      <c r="A363" t="inlineStr">
        <is>
          <t>YQ6601鬚刨</t>
        </is>
      </c>
      <c r="B363" t="inlineStr">
        <is>
          <t>PH個人護理產品</t>
        </is>
      </c>
      <c r="C363" t="inlineStr"/>
      <c r="D363" t="n">
        <v>0.03</v>
      </c>
      <c r="E363" t="inlineStr"/>
      <c r="F363" t="inlineStr"/>
      <c r="G363" t="inlineStr"/>
      <c r="H363" t="n">
        <v>0.03</v>
      </c>
      <c r="I363" t="n">
        <v>1182</v>
      </c>
      <c r="J363" t="inlineStr">
        <is>
          <t>century_field</t>
        </is>
      </c>
    </row>
    <row r="364">
      <c r="A364" t="inlineStr">
        <is>
          <t>add4811</t>
        </is>
      </c>
      <c r="B364" t="inlineStr">
        <is>
          <t>熱飲水機</t>
        </is>
      </c>
      <c r="C364" t="inlineStr"/>
      <c r="D364" t="n">
        <v>0.03</v>
      </c>
      <c r="E364" t="inlineStr"/>
      <c r="F364" t="inlineStr"/>
      <c r="G364" t="inlineStr"/>
      <c r="H364" t="n">
        <v>0.03</v>
      </c>
      <c r="I364" t="n">
        <v>40</v>
      </c>
      <c r="J364" t="inlineStr">
        <is>
          <t>century_field</t>
        </is>
      </c>
    </row>
    <row r="365">
      <c r="A365" t="inlineStr">
        <is>
          <t>add5980+awp3754</t>
        </is>
      </c>
      <c r="B365" t="inlineStr">
        <is>
          <t>冷熱過濾飲水機+水龍頭式淨水器</t>
        </is>
      </c>
      <c r="C365" t="inlineStr"/>
      <c r="D365" t="n">
        <v>0.03</v>
      </c>
      <c r="E365" t="inlineStr"/>
      <c r="F365" t="inlineStr"/>
      <c r="G365" t="inlineStr"/>
      <c r="H365" t="n">
        <v>0.03</v>
      </c>
      <c r="I365" t="n">
        <v>55</v>
      </c>
      <c r="J365" t="inlineStr">
        <is>
          <t>century_field</t>
        </is>
      </c>
    </row>
    <row r="366">
      <c r="A366" t="inlineStr">
        <is>
          <t>add6910+add550</t>
        </is>
      </c>
      <c r="B366" t="inlineStr">
        <is>
          <t>冷熱飲水機+濾心</t>
        </is>
      </c>
      <c r="C366" t="inlineStr"/>
      <c r="D366" t="n">
        <v>0.03</v>
      </c>
      <c r="E366" t="inlineStr"/>
      <c r="F366" t="inlineStr"/>
      <c r="G366" t="inlineStr"/>
      <c r="H366" t="n">
        <v>0.03</v>
      </c>
      <c r="I366" t="n">
        <v>60</v>
      </c>
      <c r="J366" t="inlineStr">
        <is>
          <t>century_field</t>
        </is>
      </c>
    </row>
    <row r="367">
      <c r="A367" t="inlineStr">
        <is>
          <t>add6911+add553</t>
        </is>
      </c>
      <c r="B367" t="inlineStr">
        <is>
          <t>冷熱飲水機+濾心</t>
        </is>
      </c>
      <c r="C367" t="inlineStr"/>
      <c r="D367" t="n">
        <v>0.03</v>
      </c>
      <c r="E367" t="inlineStr"/>
      <c r="F367" t="inlineStr"/>
      <c r="G367" t="inlineStr"/>
      <c r="H367" t="n">
        <v>0.03</v>
      </c>
      <c r="I367" t="n">
        <v>65</v>
      </c>
      <c r="J367" t="inlineStr">
        <is>
          <t>century_field</t>
        </is>
      </c>
    </row>
    <row r="368">
      <c r="A368" t="inlineStr">
        <is>
          <t>awp+awp200</t>
        </is>
      </c>
      <c r="B368" t="inlineStr">
        <is>
          <t>濾水壺+濾芯</t>
        </is>
      </c>
      <c r="C368" t="inlineStr"/>
      <c r="D368" t="n">
        <v>0.03</v>
      </c>
      <c r="E368" t="inlineStr"/>
      <c r="F368" t="inlineStr"/>
      <c r="G368" t="inlineStr"/>
      <c r="H368" t="n">
        <v>0.03</v>
      </c>
      <c r="I368" t="n">
        <v>82</v>
      </c>
      <c r="J368" t="inlineStr">
        <is>
          <t>century_field</t>
        </is>
      </c>
    </row>
    <row r="369">
      <c r="A369" t="inlineStr">
        <is>
          <t>awp1775ch+175</t>
        </is>
      </c>
      <c r="B369" t="inlineStr">
        <is>
          <t>淋浴淨水器套裝 - 尊貴閃亮版</t>
        </is>
      </c>
      <c r="C369" t="inlineStr"/>
      <c r="D369" t="n">
        <v>0.03</v>
      </c>
      <c r="E369" t="inlineStr"/>
      <c r="F369" t="inlineStr"/>
      <c r="G369" t="inlineStr"/>
      <c r="H369" t="n">
        <v>0.03</v>
      </c>
      <c r="I369" t="n">
        <v>944</v>
      </c>
      <c r="J369" t="inlineStr">
        <is>
          <t>century_field</t>
        </is>
      </c>
    </row>
    <row r="370">
      <c r="A370" t="inlineStr">
        <is>
          <t>awp1775ch+awp175</t>
        </is>
      </c>
      <c r="B370" t="inlineStr">
        <is>
          <t>淋浴淨水器套裝 - 尊貴閃亮版</t>
        </is>
      </c>
      <c r="C370" t="inlineStr"/>
      <c r="D370" t="n">
        <v>0.03</v>
      </c>
      <c r="E370" t="inlineStr"/>
      <c r="F370" t="inlineStr"/>
      <c r="G370" t="inlineStr"/>
      <c r="H370" t="n">
        <v>0.03</v>
      </c>
      <c r="I370" t="n">
        <v>88</v>
      </c>
      <c r="J370" t="inlineStr">
        <is>
          <t>century_field</t>
        </is>
      </c>
    </row>
    <row r="371">
      <c r="A371" t="inlineStr">
        <is>
          <t>awp260</t>
        </is>
      </c>
      <c r="B371" t="inlineStr">
        <is>
          <t>濾水壺濾芯</t>
        </is>
      </c>
      <c r="C371" t="inlineStr"/>
      <c r="D371" t="n">
        <v>0.03</v>
      </c>
      <c r="E371" t="inlineStr"/>
      <c r="F371" t="inlineStr"/>
      <c r="G371" t="inlineStr"/>
      <c r="H371" t="n">
        <v>0.03</v>
      </c>
      <c r="I371" t="n">
        <v>96</v>
      </c>
      <c r="J371" t="inlineStr">
        <is>
          <t>century_field</t>
        </is>
      </c>
    </row>
    <row r="372">
      <c r="A372" t="inlineStr">
        <is>
          <t>awp2920+awp200</t>
        </is>
      </c>
      <c r="B372" t="inlineStr">
        <is>
          <t>濾水壺+套裝</t>
        </is>
      </c>
      <c r="C372" t="inlineStr"/>
      <c r="D372" t="n">
        <v>0.03</v>
      </c>
      <c r="E372" t="inlineStr"/>
      <c r="F372" t="inlineStr"/>
      <c r="G372" t="inlineStr"/>
      <c r="H372" t="n">
        <v>0.03</v>
      </c>
      <c r="I372" t="n">
        <v>98</v>
      </c>
      <c r="J372" t="inlineStr">
        <is>
          <t>century_field</t>
        </is>
      </c>
    </row>
    <row r="373">
      <c r="A373" t="inlineStr">
        <is>
          <t>awp2935+awp210</t>
        </is>
      </c>
      <c r="B373" t="inlineStr">
        <is>
          <t>濾水壺濾芯 (單粒裝)</t>
        </is>
      </c>
      <c r="C373" t="inlineStr"/>
      <c r="D373" t="n">
        <v>0.03</v>
      </c>
      <c r="E373" t="inlineStr"/>
      <c r="F373" t="inlineStr"/>
      <c r="G373" t="inlineStr"/>
      <c r="H373" t="n">
        <v>0.03</v>
      </c>
      <c r="I373" t="n">
        <v>101</v>
      </c>
      <c r="J373" t="inlineStr">
        <is>
          <t>century_field</t>
        </is>
      </c>
    </row>
    <row r="374">
      <c r="A374" t="inlineStr">
        <is>
          <t>awp2935+awp211</t>
        </is>
      </c>
      <c r="B374" t="inlineStr">
        <is>
          <t>濾水壺+濾芯</t>
        </is>
      </c>
      <c r="C374" t="inlineStr"/>
      <c r="D374" t="n">
        <v>0.03</v>
      </c>
      <c r="E374" t="inlineStr"/>
      <c r="F374" t="inlineStr"/>
      <c r="G374" t="inlineStr"/>
      <c r="H374" t="n">
        <v>0.03</v>
      </c>
      <c r="I374" t="n">
        <v>102</v>
      </c>
      <c r="J374" t="inlineStr">
        <is>
          <t>century_field</t>
        </is>
      </c>
    </row>
    <row r="375">
      <c r="A375" t="inlineStr">
        <is>
          <t>awp2935g+awp210</t>
        </is>
      </c>
      <c r="B375" t="inlineStr">
        <is>
          <t>濾水壺+濾芯</t>
        </is>
      </c>
      <c r="C375" t="inlineStr"/>
      <c r="D375" t="n">
        <v>0.03</v>
      </c>
      <c r="E375" t="inlineStr"/>
      <c r="F375" t="inlineStr"/>
      <c r="G375" t="inlineStr"/>
      <c r="H375" t="n">
        <v>0.03</v>
      </c>
      <c r="I375" t="n">
        <v>104</v>
      </c>
      <c r="J375" t="inlineStr">
        <is>
          <t>century_field</t>
        </is>
      </c>
    </row>
    <row r="376">
      <c r="A376" t="inlineStr">
        <is>
          <t>awp2935g+awp211</t>
        </is>
      </c>
      <c r="B376" t="inlineStr">
        <is>
          <t>2.6公升濾水壺AWP2935+AWP211 (1壺4芯套裝)</t>
        </is>
      </c>
      <c r="C376" t="inlineStr"/>
      <c r="D376" t="n">
        <v>0.03</v>
      </c>
      <c r="E376" t="inlineStr"/>
      <c r="F376" t="inlineStr"/>
      <c r="G376" t="inlineStr"/>
      <c r="H376" t="n">
        <v>0.03</v>
      </c>
      <c r="I376" t="n">
        <v>105</v>
      </c>
      <c r="J376" t="inlineStr">
        <is>
          <t>century_field</t>
        </is>
      </c>
    </row>
    <row r="377">
      <c r="A377" t="inlineStr">
        <is>
          <t>awp294</t>
        </is>
      </c>
      <c r="B377" t="inlineStr">
        <is>
          <t>便攜式濾水瓶</t>
        </is>
      </c>
      <c r="C377" t="inlineStr"/>
      <c r="D377" t="n">
        <v>0.03</v>
      </c>
      <c r="E377" t="inlineStr"/>
      <c r="F377" t="inlineStr"/>
      <c r="G377" t="inlineStr"/>
      <c r="H377" t="n">
        <v>0.03</v>
      </c>
      <c r="I377" t="n">
        <v>109</v>
      </c>
      <c r="J377" t="inlineStr">
        <is>
          <t>century_field</t>
        </is>
      </c>
    </row>
    <row r="378">
      <c r="A378" t="inlineStr">
        <is>
          <t>bhd837/03風筒</t>
        </is>
      </c>
      <c r="B378" t="inlineStr">
        <is>
          <t>PH個人護理產品</t>
        </is>
      </c>
      <c r="C378" t="inlineStr"/>
      <c r="D378" t="n">
        <v>0.03</v>
      </c>
      <c r="E378" t="inlineStr"/>
      <c r="F378" t="inlineStr"/>
      <c r="G378" t="inlineStr"/>
      <c r="H378" t="n">
        <v>0.03</v>
      </c>
      <c r="I378" t="n">
        <v>308</v>
      </c>
      <c r="J378" t="inlineStr">
        <is>
          <t>century_field</t>
        </is>
      </c>
    </row>
    <row r="379">
      <c r="A379" t="inlineStr">
        <is>
          <t>hd9743</t>
        </is>
      </c>
      <c r="B379" t="inlineStr">
        <is>
          <t>健康空氣炸鍋</t>
        </is>
      </c>
      <c r="C379" t="inlineStr"/>
      <c r="D379" t="n">
        <v>0.03</v>
      </c>
      <c r="E379" t="inlineStr"/>
      <c r="F379" t="inlineStr"/>
      <c r="G379" t="inlineStr"/>
      <c r="H379" t="n">
        <v>0.03</v>
      </c>
      <c r="I379" t="n">
        <v>172</v>
      </c>
      <c r="J379" t="inlineStr">
        <is>
          <t>century_field</t>
        </is>
      </c>
    </row>
    <row r="380">
      <c r="A380" t="inlineStr">
        <is>
          <t>hr3765</t>
        </is>
      </c>
      <c r="B380" t="inlineStr">
        <is>
          <t>攪拌機</t>
        </is>
      </c>
      <c r="C380" t="inlineStr"/>
      <c r="D380" t="n">
        <v>0.03</v>
      </c>
      <c r="E380" t="inlineStr"/>
      <c r="F380" t="inlineStr"/>
      <c r="G380" t="inlineStr"/>
      <c r="H380" t="n">
        <v>0.03</v>
      </c>
      <c r="I380" t="n">
        <v>178</v>
      </c>
      <c r="J380" t="inlineStr">
        <is>
          <t>century_field</t>
        </is>
      </c>
    </row>
    <row r="381">
      <c r="A381" t="inlineStr">
        <is>
          <t>hx9063/96</t>
        </is>
      </c>
      <c r="B381" t="inlineStr">
        <is>
          <t>Sonicare W3 Premium White
標準型聲波牙刷刷頭 HX9063/96</t>
        </is>
      </c>
      <c r="C381" t="inlineStr"/>
      <c r="D381" t="n">
        <v>0.03</v>
      </c>
      <c r="E381" t="inlineStr"/>
      <c r="F381" t="inlineStr"/>
      <c r="G381" t="inlineStr"/>
      <c r="H381" t="n">
        <v>0.03</v>
      </c>
      <c r="I381" t="n">
        <v>199</v>
      </c>
      <c r="J381" t="inlineStr">
        <is>
          <t>century_field</t>
        </is>
      </c>
    </row>
    <row r="382">
      <c r="A382" t="inlineStr">
        <is>
          <t>hx992</t>
        </is>
      </c>
      <c r="B382" t="inlineStr">
        <is>
          <t>Sonicare DiamondClean Smart 音波震動牙刷HX9924/42</t>
        </is>
      </c>
      <c r="C382" t="inlineStr"/>
      <c r="D382" t="n">
        <v>0.03</v>
      </c>
      <c r="E382" t="inlineStr"/>
      <c r="F382" t="inlineStr"/>
      <c r="G382" t="inlineStr"/>
      <c r="H382" t="n">
        <v>0.03</v>
      </c>
      <c r="I382" t="n">
        <v>201</v>
      </c>
      <c r="J382" t="inlineStr">
        <is>
          <t>century_field</t>
        </is>
      </c>
    </row>
    <row r="383">
      <c r="A383" t="inlineStr">
        <is>
          <t>led66111</t>
        </is>
      </c>
      <c r="B383" t="inlineStr">
        <is>
          <t>Strider LED 檯燈 66111</t>
        </is>
      </c>
      <c r="C383" t="inlineStr"/>
      <c r="D383" t="n">
        <v>0.03</v>
      </c>
      <c r="E383" t="inlineStr"/>
      <c r="F383" t="inlineStr"/>
      <c r="G383" t="inlineStr"/>
      <c r="H383" t="n">
        <v>0.03</v>
      </c>
      <c r="I383" t="n">
        <v>205</v>
      </c>
      <c r="J383" t="inlineStr">
        <is>
          <t>century_field</t>
        </is>
      </c>
    </row>
    <row r="384">
      <c r="A384" t="inlineStr">
        <is>
          <t>led72017</t>
        </is>
      </c>
      <c r="B384" t="inlineStr">
        <is>
          <t>Lever II LED 充電檯燈</t>
        </is>
      </c>
      <c r="C384" t="inlineStr"/>
      <c r="D384" t="n">
        <v>0.03</v>
      </c>
      <c r="E384" t="inlineStr"/>
      <c r="F384" t="inlineStr"/>
      <c r="G384" t="inlineStr"/>
      <c r="H384" t="n">
        <v>0.03</v>
      </c>
      <c r="I384" t="n">
        <v>206</v>
      </c>
      <c r="J384" t="inlineStr">
        <is>
          <t>century_field</t>
        </is>
      </c>
    </row>
    <row r="385">
      <c r="A385" t="inlineStr">
        <is>
          <t>ppm7303</t>
        </is>
      </c>
      <c r="B385" t="inlineStr">
        <is>
          <t>迷你按摩槍</t>
        </is>
      </c>
      <c r="C385" t="inlineStr"/>
      <c r="D385" t="n">
        <v>0.03</v>
      </c>
      <c r="E385" t="inlineStr"/>
      <c r="F385" t="inlineStr"/>
      <c r="G385" t="inlineStr"/>
      <c r="H385" t="n">
        <v>0.03</v>
      </c>
      <c r="I385" t="n">
        <v>300</v>
      </c>
      <c r="J385" t="inlineStr">
        <is>
          <t>century_field</t>
        </is>
      </c>
    </row>
    <row r="386">
      <c r="A386" t="inlineStr">
        <is>
          <t>ppm7501</t>
        </is>
      </c>
      <c r="B386" t="inlineStr">
        <is>
          <t>運動迷你按摩槍</t>
        </is>
      </c>
      <c r="C386" t="inlineStr"/>
      <c r="D386" t="n">
        <v>0.03</v>
      </c>
      <c r="E386" t="inlineStr"/>
      <c r="F386" t="inlineStr"/>
      <c r="G386" t="inlineStr"/>
      <c r="H386" t="n">
        <v>0.03</v>
      </c>
      <c r="I386" t="n">
        <v>222</v>
      </c>
      <c r="J386" t="inlineStr">
        <is>
          <t>century_field</t>
        </is>
      </c>
    </row>
    <row r="387">
      <c r="A387" t="inlineStr">
        <is>
          <t>wp1775+wp175</t>
        </is>
      </c>
      <c r="B387" t="inlineStr">
        <is>
          <t>淋浴淨水器套裝</t>
        </is>
      </c>
      <c r="C387" t="inlineStr"/>
      <c r="D387" t="n">
        <v>0.03</v>
      </c>
      <c r="E387" t="inlineStr"/>
      <c r="F387" t="inlineStr"/>
      <c r="G387" t="inlineStr"/>
      <c r="H387" t="n">
        <v>0.03</v>
      </c>
      <c r="I387" t="n">
        <v>239</v>
      </c>
      <c r="J387" t="inlineStr">
        <is>
          <t>century_field</t>
        </is>
      </c>
    </row>
    <row r="388">
      <c r="A388" t="inlineStr">
        <is>
          <t>wp3811+3822</t>
        </is>
      </c>
      <c r="B388" t="inlineStr">
        <is>
          <t>水龍頭過濾器+濾心</t>
        </is>
      </c>
      <c r="C388" t="inlineStr"/>
      <c r="D388" t="n">
        <v>0.03</v>
      </c>
      <c r="E388" t="inlineStr"/>
      <c r="F388" t="inlineStr"/>
      <c r="G388" t="inlineStr"/>
      <c r="H388" t="n">
        <v>0.03</v>
      </c>
      <c r="I388" t="n">
        <v>1100</v>
      </c>
      <c r="J388" t="inlineStr">
        <is>
          <t>century_field</t>
        </is>
      </c>
    </row>
    <row r="389">
      <c r="A389" t="inlineStr">
        <is>
          <t>wp3811+wp3822</t>
        </is>
      </c>
      <c r="B389" t="inlineStr">
        <is>
          <t>水龍頭過濾器+濾心</t>
        </is>
      </c>
      <c r="C389" t="inlineStr"/>
      <c r="D389" t="n">
        <v>0.03</v>
      </c>
      <c r="E389" t="inlineStr"/>
      <c r="F389" t="inlineStr"/>
      <c r="G389" t="inlineStr"/>
      <c r="H389" t="n">
        <v>0.03</v>
      </c>
      <c r="I389" t="n">
        <v>244</v>
      </c>
      <c r="J389" t="inlineStr">
        <is>
          <t>century_field</t>
        </is>
      </c>
    </row>
    <row r="390">
      <c r="A390" t="inlineStr">
        <is>
          <t>wp3812+wp3912</t>
        </is>
      </c>
      <c r="B390" t="inlineStr">
        <is>
          <t>水龍頭過濾器濾心組合</t>
        </is>
      </c>
      <c r="C390" t="inlineStr"/>
      <c r="D390" t="n">
        <v>0.03</v>
      </c>
      <c r="E390" t="inlineStr"/>
      <c r="F390" t="inlineStr"/>
      <c r="G390" t="inlineStr"/>
      <c r="H390" t="n">
        <v>0.03</v>
      </c>
      <c r="I390" t="n">
        <v>250</v>
      </c>
      <c r="J390" t="inlineStr">
        <is>
          <t>century_field</t>
        </is>
      </c>
    </row>
    <row r="391">
      <c r="A391" t="inlineStr">
        <is>
          <t>wp3883</t>
        </is>
      </c>
      <c r="B391" t="inlineStr">
        <is>
          <t>5重超濾複合濾芯</t>
        </is>
      </c>
      <c r="C391" t="inlineStr"/>
      <c r="D391" t="n">
        <v>0.03</v>
      </c>
      <c r="E391" t="inlineStr"/>
      <c r="F391" t="inlineStr"/>
      <c r="G391" t="inlineStr"/>
      <c r="H391" t="n">
        <v>0.03</v>
      </c>
      <c r="I391" t="n">
        <v>258</v>
      </c>
      <c r="J391" t="inlineStr">
        <is>
          <t>century_field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</t>
        </is>
      </c>
      <c r="B1" s="1" t="inlineStr">
        <is>
          <t>Location</t>
        </is>
      </c>
      <c r="C1" s="1" t="inlineStr">
        <is>
          <t>Promoter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Model</t>
        </is>
      </c>
      <c r="G1" s="1" t="inlineStr">
        <is>
          <t>Product Line</t>
        </is>
      </c>
      <c r="H1" s="1" t="inlineStr">
        <is>
          <t>Category</t>
        </is>
      </c>
      <c r="I1" s="1" t="inlineStr">
        <is>
          <t>Input</t>
        </is>
      </c>
      <c r="J1" s="1" t="inlineStr">
        <is>
          <t>Quantity</t>
        </is>
      </c>
      <c r="K1" s="1" t="inlineStr">
        <is>
          <t>Price</t>
        </is>
      </c>
      <c r="L1" s="1" t="inlineStr">
        <is>
          <t>Comm Rate</t>
        </is>
      </c>
      <c r="M1" s="1" t="inlineStr">
        <is>
          <t>Comm Amount</t>
        </is>
      </c>
    </row>
    <row r="2">
      <c r="A2" t="inlineStr">
        <is>
          <t>Kowloon Bay Fortress</t>
        </is>
      </c>
      <c r="B2" t="inlineStr">
        <is>
          <t>Kowloon Bay Fortress</t>
        </is>
      </c>
      <c r="C2" t="inlineStr">
        <is>
          <t>Wah</t>
        </is>
      </c>
      <c r="D2" t="inlineStr">
        <is>
          <t>2026-06</t>
        </is>
      </c>
      <c r="E2" t="inlineStr">
        <is>
          <t>2026-06-04 00:00:00</t>
        </is>
      </c>
      <c r="F2" t="inlineStr">
        <is>
          <t>6901+541</t>
        </is>
      </c>
      <c r="G2" t="inlineStr">
        <is>
          <t>未分類</t>
        </is>
      </c>
      <c r="I2" t="inlineStr"/>
      <c r="J2" t="n">
        <v>1</v>
      </c>
      <c r="K2" t="n">
        <v>1898</v>
      </c>
      <c r="L2" t="n">
        <v>0.03</v>
      </c>
      <c r="M2">
        <f>J2*K2*L2</f>
        <v/>
      </c>
    </row>
    <row r="3">
      <c r="A3" t="inlineStr">
        <is>
          <t>Kowloon Bay Fortress</t>
        </is>
      </c>
      <c r="B3" t="inlineStr">
        <is>
          <t>Kowloon Bay Fortress</t>
        </is>
      </c>
      <c r="C3" t="inlineStr">
        <is>
          <t>Wah</t>
        </is>
      </c>
      <c r="D3" t="inlineStr">
        <is>
          <t>2026-06</t>
        </is>
      </c>
      <c r="E3" t="inlineStr">
        <is>
          <t>2026-06-04 00:00:00</t>
        </is>
      </c>
      <c r="F3" t="inlineStr">
        <is>
          <t>3773+3922</t>
        </is>
      </c>
      <c r="G3" t="inlineStr">
        <is>
          <t>未分類</t>
        </is>
      </c>
      <c r="I3" t="inlineStr"/>
      <c r="J3" t="n">
        <v>1</v>
      </c>
      <c r="K3" t="n">
        <v>1338</v>
      </c>
      <c r="L3" t="n">
        <v>0.03</v>
      </c>
      <c r="M3">
        <f>J3*K3*L3</f>
        <v/>
      </c>
    </row>
    <row r="4">
      <c r="A4" t="inlineStr">
        <is>
          <t>Kowloon Bay Fortress</t>
        </is>
      </c>
      <c r="B4" t="inlineStr">
        <is>
          <t>Kowloon Bay Fortress</t>
        </is>
      </c>
      <c r="C4" t="inlineStr">
        <is>
          <t>Wah</t>
        </is>
      </c>
      <c r="D4" t="inlineStr">
        <is>
          <t>2026-06</t>
        </is>
      </c>
      <c r="E4" t="inlineStr">
        <is>
          <t>2026-06-04 00:00:00</t>
        </is>
      </c>
      <c r="F4" t="inlineStr">
        <is>
          <t>3733+3922</t>
        </is>
      </c>
      <c r="G4" t="inlineStr">
        <is>
          <t>未分類</t>
        </is>
      </c>
      <c r="I4" t="inlineStr"/>
      <c r="J4" t="n">
        <v>1</v>
      </c>
      <c r="K4" t="n">
        <v>598</v>
      </c>
      <c r="L4" t="n">
        <v>0.03</v>
      </c>
      <c r="M4">
        <f>J4*K4*L4</f>
        <v/>
      </c>
    </row>
    <row r="5">
      <c r="A5" t="inlineStr">
        <is>
          <t>Kowloon Bay Fortress</t>
        </is>
      </c>
      <c r="B5" t="inlineStr">
        <is>
          <t>Kowloon Bay Fortress</t>
        </is>
      </c>
      <c r="C5" t="inlineStr">
        <is>
          <t>Wah</t>
        </is>
      </c>
      <c r="D5" t="inlineStr">
        <is>
          <t>2026-06</t>
        </is>
      </c>
      <c r="E5" t="inlineStr">
        <is>
          <t>2026-06-05 00:00:00</t>
        </is>
      </c>
      <c r="F5" t="inlineStr">
        <is>
          <t>6901+541</t>
        </is>
      </c>
      <c r="G5" t="inlineStr">
        <is>
          <t>未分類</t>
        </is>
      </c>
      <c r="I5" t="inlineStr"/>
      <c r="J5" t="n">
        <v>1</v>
      </c>
      <c r="K5" t="n">
        <v>1898</v>
      </c>
      <c r="L5" t="n">
        <v>0.03</v>
      </c>
      <c r="M5">
        <f>J5*K5*L5</f>
        <v/>
      </c>
    </row>
    <row r="6">
      <c r="A6" t="inlineStr">
        <is>
          <t>Kowloon Bay Fortress</t>
        </is>
      </c>
      <c r="B6" t="inlineStr">
        <is>
          <t>Kowloon Bay Fortress</t>
        </is>
      </c>
      <c r="C6" t="inlineStr">
        <is>
          <t>Wah</t>
        </is>
      </c>
      <c r="D6" t="inlineStr">
        <is>
          <t>2026-06</t>
        </is>
      </c>
      <c r="E6" t="inlineStr">
        <is>
          <t>2026-06-05 00:00:00</t>
        </is>
      </c>
      <c r="F6" t="inlineStr">
        <is>
          <t>3733+3922</t>
        </is>
      </c>
      <c r="G6" t="inlineStr">
        <is>
          <t>未分類</t>
        </is>
      </c>
      <c r="I6" t="inlineStr"/>
      <c r="J6" t="n">
        <v>1</v>
      </c>
      <c r="K6" t="n">
        <v>598</v>
      </c>
      <c r="L6" t="n">
        <v>0.03</v>
      </c>
      <c r="M6">
        <f>J6*K6*L6</f>
        <v/>
      </c>
    </row>
    <row r="7">
      <c r="A7" t="inlineStr">
        <is>
          <t>Kowloon Bay Fortress</t>
        </is>
      </c>
      <c r="B7" t="inlineStr">
        <is>
          <t>Kowloon Bay Fortress</t>
        </is>
      </c>
      <c r="C7" t="inlineStr">
        <is>
          <t>Wah</t>
        </is>
      </c>
      <c r="D7" t="inlineStr">
        <is>
          <t>2026-06</t>
        </is>
      </c>
      <c r="E7" t="inlineStr">
        <is>
          <t>2026-06-06 00:00:00</t>
        </is>
      </c>
      <c r="F7" t="inlineStr">
        <is>
          <t>6901+541</t>
        </is>
      </c>
      <c r="G7" t="inlineStr">
        <is>
          <t>未分類</t>
        </is>
      </c>
      <c r="I7" t="inlineStr"/>
      <c r="J7" t="n">
        <v>1</v>
      </c>
      <c r="K7" t="n">
        <v>1899</v>
      </c>
      <c r="L7" t="n">
        <v>0.03</v>
      </c>
      <c r="M7">
        <f>J7*K7*L7</f>
        <v/>
      </c>
    </row>
    <row r="8">
      <c r="A8" t="inlineStr">
        <is>
          <t>Kowloon Bay Fortress</t>
        </is>
      </c>
      <c r="B8" t="inlineStr">
        <is>
          <t>Kowloon Bay Fortress</t>
        </is>
      </c>
      <c r="C8" t="inlineStr">
        <is>
          <t>Wah</t>
        </is>
      </c>
      <c r="D8" t="inlineStr">
        <is>
          <t>2026-06</t>
        </is>
      </c>
      <c r="E8" t="inlineStr">
        <is>
          <t>2026-06-06 00:00:00</t>
        </is>
      </c>
      <c r="F8" t="inlineStr">
        <is>
          <t>6910+550</t>
        </is>
      </c>
      <c r="G8" t="inlineStr">
        <is>
          <t>未分類</t>
        </is>
      </c>
      <c r="I8" t="inlineStr"/>
      <c r="J8" t="n">
        <v>1</v>
      </c>
      <c r="K8" t="n">
        <v>598</v>
      </c>
      <c r="L8" t="n">
        <v>0.03</v>
      </c>
      <c r="M8">
        <f>J8*K8*L8</f>
        <v/>
      </c>
    </row>
    <row r="9">
      <c r="A9" t="inlineStr">
        <is>
          <t>Kowloon Bay Fortress</t>
        </is>
      </c>
      <c r="B9" t="inlineStr">
        <is>
          <t>Kowloon Bay Fortress</t>
        </is>
      </c>
      <c r="C9" t="inlineStr">
        <is>
          <t>Wah</t>
        </is>
      </c>
      <c r="D9" t="inlineStr">
        <is>
          <t>2026-06</t>
        </is>
      </c>
      <c r="E9" t="inlineStr">
        <is>
          <t>2026-06-06 00:00:00</t>
        </is>
      </c>
      <c r="F9" t="inlineStr">
        <is>
          <t>6910+550</t>
        </is>
      </c>
      <c r="G9" t="inlineStr">
        <is>
          <t>未分類</t>
        </is>
      </c>
      <c r="I9" t="inlineStr"/>
      <c r="J9" t="n">
        <v>1</v>
      </c>
      <c r="K9" t="n">
        <v>598</v>
      </c>
      <c r="L9" t="n">
        <v>0.03</v>
      </c>
      <c r="M9">
        <f>J9*K9*L9</f>
        <v/>
      </c>
    </row>
    <row r="10">
      <c r="A10" t="inlineStr">
        <is>
          <t>Kowloon Bay Fortress</t>
        </is>
      </c>
      <c r="B10" t="inlineStr">
        <is>
          <t>Kowloon Bay Fortress</t>
        </is>
      </c>
      <c r="C10" t="inlineStr">
        <is>
          <t>Wah</t>
        </is>
      </c>
      <c r="D10" t="inlineStr">
        <is>
          <t>2026-06</t>
        </is>
      </c>
      <c r="E10" t="inlineStr">
        <is>
          <t>2026-06-06 00:00:00</t>
        </is>
      </c>
      <c r="F10" t="inlineStr">
        <is>
          <t>3780/97</t>
        </is>
      </c>
      <c r="G10" t="inlineStr">
        <is>
          <t>未分類</t>
        </is>
      </c>
      <c r="I10" t="inlineStr"/>
      <c r="J10" t="n">
        <v>1</v>
      </c>
      <c r="K10" t="n">
        <v>1188</v>
      </c>
      <c r="L10" t="n">
        <v>0.03</v>
      </c>
      <c r="M10">
        <f>J10*K10*L10</f>
        <v/>
      </c>
    </row>
    <row r="11">
      <c r="A11" t="inlineStr">
        <is>
          <t>Kowloon Bay Fortress</t>
        </is>
      </c>
      <c r="B11" t="inlineStr">
        <is>
          <t>Kowloon Bay Fortress</t>
        </is>
      </c>
      <c r="C11" t="inlineStr">
        <is>
          <t>Wah</t>
        </is>
      </c>
      <c r="D11" t="inlineStr">
        <is>
          <t>2026-06</t>
        </is>
      </c>
      <c r="E11" t="inlineStr">
        <is>
          <t>2026-06-07 00:00:00</t>
        </is>
      </c>
      <c r="F11" t="inlineStr">
        <is>
          <t>2769/97</t>
        </is>
      </c>
      <c r="G11" t="inlineStr">
        <is>
          <t>未分類</t>
        </is>
      </c>
      <c r="I11" t="inlineStr"/>
      <c r="J11" t="n">
        <v>1</v>
      </c>
      <c r="K11" t="n">
        <v>298</v>
      </c>
      <c r="L11" t="n">
        <v>0.03</v>
      </c>
      <c r="M11">
        <f>J11*K11*L11</f>
        <v/>
      </c>
    </row>
    <row r="12">
      <c r="A12" t="inlineStr">
        <is>
          <t>Kowloon Bay Fortress</t>
        </is>
      </c>
      <c r="B12" t="inlineStr">
        <is>
          <t>Kowloon Bay Fortress</t>
        </is>
      </c>
      <c r="C12" t="inlineStr">
        <is>
          <t>Wah</t>
        </is>
      </c>
      <c r="D12" t="inlineStr">
        <is>
          <t>2026-06</t>
        </is>
      </c>
      <c r="E12" t="inlineStr">
        <is>
          <t>2026-06-07 00:00:00</t>
        </is>
      </c>
      <c r="F12" t="inlineStr">
        <is>
          <t>4030/90</t>
        </is>
      </c>
      <c r="G12" t="inlineStr">
        <is>
          <t>未分類</t>
        </is>
      </c>
      <c r="I12" t="inlineStr"/>
      <c r="J12" t="n">
        <v>1</v>
      </c>
      <c r="K12" t="n">
        <v>2645</v>
      </c>
      <c r="L12" t="n">
        <v>0.03</v>
      </c>
      <c r="M12">
        <f>J12*K12*L12</f>
        <v/>
      </c>
    </row>
    <row r="13">
      <c r="A13" t="inlineStr">
        <is>
          <t>Kowloon Bay Fortress</t>
        </is>
      </c>
      <c r="B13" t="inlineStr">
        <is>
          <t>Kowloon Bay Fortress</t>
        </is>
      </c>
      <c r="C13" t="inlineStr">
        <is>
          <t>Wah</t>
        </is>
      </c>
      <c r="D13" t="inlineStr">
        <is>
          <t>2026-06</t>
        </is>
      </c>
      <c r="E13" t="inlineStr">
        <is>
          <t>2026-06-07 00:00:00</t>
        </is>
      </c>
      <c r="F13" t="inlineStr">
        <is>
          <t>6901+541</t>
        </is>
      </c>
      <c r="G13" t="inlineStr">
        <is>
          <t>未分類</t>
        </is>
      </c>
      <c r="I13" t="inlineStr"/>
      <c r="J13" t="n">
        <v>1</v>
      </c>
      <c r="K13" t="n">
        <v>1899</v>
      </c>
      <c r="L13" t="n">
        <v>0.03</v>
      </c>
      <c r="M13">
        <f>J13*K13*L13</f>
        <v/>
      </c>
    </row>
    <row r="14">
      <c r="A14" t="inlineStr">
        <is>
          <t>Kowloon Bay Fortress</t>
        </is>
      </c>
      <c r="B14" t="inlineStr">
        <is>
          <t>Kowloon Bay Fortress</t>
        </is>
      </c>
      <c r="C14" t="inlineStr">
        <is>
          <t>Wah</t>
        </is>
      </c>
      <c r="D14" t="inlineStr">
        <is>
          <t>2026-06</t>
        </is>
      </c>
      <c r="E14" t="inlineStr">
        <is>
          <t>2026-06-07 00:00:00</t>
        </is>
      </c>
      <c r="F14" t="inlineStr">
        <is>
          <t>6901+541</t>
        </is>
      </c>
      <c r="G14" t="inlineStr">
        <is>
          <t>未分類</t>
        </is>
      </c>
      <c r="I14" t="inlineStr"/>
      <c r="J14" t="n">
        <v>1</v>
      </c>
      <c r="K14" t="n">
        <v>1899</v>
      </c>
      <c r="L14" t="n">
        <v>0.03</v>
      </c>
      <c r="M14">
        <f>J14*K14*L14</f>
        <v/>
      </c>
    </row>
    <row r="15">
      <c r="A15" t="inlineStr">
        <is>
          <t>Kowloon Bay Fortress</t>
        </is>
      </c>
      <c r="B15" t="inlineStr">
        <is>
          <t>Kowloon Bay Fortress</t>
        </is>
      </c>
      <c r="C15" t="inlineStr">
        <is>
          <t>Wah</t>
        </is>
      </c>
      <c r="D15" t="inlineStr">
        <is>
          <t>2026-06</t>
        </is>
      </c>
      <c r="E15" t="inlineStr">
        <is>
          <t>2026-06-07 00:00:00</t>
        </is>
      </c>
      <c r="F15" t="inlineStr">
        <is>
          <t>3780/97</t>
        </is>
      </c>
      <c r="G15" t="inlineStr">
        <is>
          <t>未分類</t>
        </is>
      </c>
      <c r="I15" t="inlineStr"/>
      <c r="J15" t="n">
        <v>1</v>
      </c>
      <c r="K15" t="n">
        <v>1188</v>
      </c>
      <c r="L15" t="n">
        <v>0.03</v>
      </c>
      <c r="M15">
        <f>J15*K15*L15</f>
        <v/>
      </c>
    </row>
    <row r="16">
      <c r="A16" t="inlineStr">
        <is>
          <t>Kowloon Bay Fortress</t>
        </is>
      </c>
      <c r="B16" t="inlineStr">
        <is>
          <t>Kowloon Bay Fortress</t>
        </is>
      </c>
      <c r="C16" t="inlineStr">
        <is>
          <t>Wah</t>
        </is>
      </c>
      <c r="D16" t="inlineStr">
        <is>
          <t>2026-06</t>
        </is>
      </c>
      <c r="E16" t="inlineStr">
        <is>
          <t>2026-06-07 00:00:00</t>
        </is>
      </c>
      <c r="F16" t="inlineStr">
        <is>
          <t>3811+3911</t>
        </is>
      </c>
      <c r="G16" t="inlineStr">
        <is>
          <t>未分類</t>
        </is>
      </c>
      <c r="I16" t="inlineStr"/>
      <c r="J16" t="n">
        <v>1</v>
      </c>
      <c r="K16" t="n">
        <v>255</v>
      </c>
      <c r="L16" t="n">
        <v>0.03</v>
      </c>
      <c r="M16">
        <f>J16*K16*L16</f>
        <v/>
      </c>
    </row>
    <row r="17">
      <c r="A17" t="inlineStr">
        <is>
          <t>Kowloon Bay Fortress</t>
        </is>
      </c>
      <c r="B17" t="inlineStr">
        <is>
          <t>Kowloon Bay Fortress</t>
        </is>
      </c>
      <c r="C17" t="inlineStr">
        <is>
          <t>Wah</t>
        </is>
      </c>
      <c r="D17" t="inlineStr">
        <is>
          <t>2026-06</t>
        </is>
      </c>
      <c r="E17" t="inlineStr">
        <is>
          <t>2026-06-07 00:00:00</t>
        </is>
      </c>
      <c r="F17" t="inlineStr">
        <is>
          <t>6901+541</t>
        </is>
      </c>
      <c r="G17" t="inlineStr">
        <is>
          <t>未分類</t>
        </is>
      </c>
      <c r="I17" t="inlineStr"/>
      <c r="J17" t="n">
        <v>1</v>
      </c>
      <c r="K17" t="n">
        <v>1899</v>
      </c>
      <c r="L17" t="n">
        <v>0.03</v>
      </c>
      <c r="M17">
        <f>J17*K17*L17</f>
        <v/>
      </c>
    </row>
    <row r="18">
      <c r="A18" t="inlineStr">
        <is>
          <t>Kowloon Bay Fortress</t>
        </is>
      </c>
      <c r="B18" t="inlineStr">
        <is>
          <t>Kowloon Bay Fortress</t>
        </is>
      </c>
      <c r="C18" t="inlineStr">
        <is>
          <t>Wah</t>
        </is>
      </c>
      <c r="D18" t="inlineStr">
        <is>
          <t>2026-06</t>
        </is>
      </c>
      <c r="E18" t="inlineStr">
        <is>
          <t>2026-06-07 00:00:00</t>
        </is>
      </c>
      <c r="F18" t="inlineStr">
        <is>
          <t>9028/90</t>
        </is>
      </c>
      <c r="G18" t="inlineStr">
        <is>
          <t>未分類</t>
        </is>
      </c>
      <c r="I18" t="inlineStr"/>
      <c r="J18" t="n">
        <v>1</v>
      </c>
      <c r="K18" t="n">
        <v>8988</v>
      </c>
      <c r="L18" t="n">
        <v>0.03</v>
      </c>
      <c r="M18">
        <f>J18*K18*L18</f>
        <v/>
      </c>
    </row>
    <row r="19">
      <c r="A19" t="inlineStr">
        <is>
          <t>Kowloon Bay Fortress</t>
        </is>
      </c>
      <c r="B19" t="inlineStr">
        <is>
          <t>Kowloon Bay Fortress</t>
        </is>
      </c>
      <c r="C19" t="inlineStr">
        <is>
          <t>Wah</t>
        </is>
      </c>
      <c r="D19" t="inlineStr">
        <is>
          <t>2026-06</t>
        </is>
      </c>
      <c r="E19" t="inlineStr">
        <is>
          <t>2026-06-07 00:00:00</t>
        </is>
      </c>
      <c r="F19" t="inlineStr">
        <is>
          <t>6910+550</t>
        </is>
      </c>
      <c r="G19" t="inlineStr">
        <is>
          <t>未分類</t>
        </is>
      </c>
      <c r="I19" t="inlineStr"/>
      <c r="J19" t="n">
        <v>1</v>
      </c>
      <c r="K19" t="n">
        <v>598</v>
      </c>
      <c r="L19" t="n">
        <v>0.03</v>
      </c>
      <c r="M19">
        <f>J19*K19*L19</f>
        <v/>
      </c>
    </row>
    <row r="20">
      <c r="A20" t="inlineStr">
        <is>
          <t>Kowloon Bay Fortress</t>
        </is>
      </c>
      <c r="B20" t="inlineStr">
        <is>
          <t>Kowloon Bay Fortress</t>
        </is>
      </c>
      <c r="C20" t="inlineStr">
        <is>
          <t>Wah</t>
        </is>
      </c>
      <c r="D20" t="inlineStr">
        <is>
          <t>2026-06</t>
        </is>
      </c>
      <c r="E20" t="inlineStr">
        <is>
          <t>2026-06-07 00:00:00</t>
        </is>
      </c>
      <c r="F20" t="inlineStr">
        <is>
          <t>6910+550</t>
        </is>
      </c>
      <c r="G20" t="inlineStr">
        <is>
          <t>未分類</t>
        </is>
      </c>
      <c r="I20" t="inlineStr"/>
      <c r="J20" t="n">
        <v>1</v>
      </c>
      <c r="K20" t="n">
        <v>598</v>
      </c>
      <c r="L20" t="n">
        <v>0.03</v>
      </c>
      <c r="M20">
        <f>J20*K20*L20</f>
        <v/>
      </c>
    </row>
    <row r="21">
      <c r="A21" t="inlineStr">
        <is>
          <t>Kowloon Bay Fortress</t>
        </is>
      </c>
      <c r="B21" t="inlineStr">
        <is>
          <t>Kowloon Bay Fortress</t>
        </is>
      </c>
      <c r="C21" t="inlineStr">
        <is>
          <t>Wah</t>
        </is>
      </c>
      <c r="D21" t="inlineStr">
        <is>
          <t>2026-06</t>
        </is>
      </c>
      <c r="E21" t="inlineStr">
        <is>
          <t>2026-06-07 00:00:00</t>
        </is>
      </c>
      <c r="F21" t="inlineStr">
        <is>
          <t>6901+541</t>
        </is>
      </c>
      <c r="G21" t="inlineStr">
        <is>
          <t>未分類</t>
        </is>
      </c>
      <c r="I21" t="inlineStr"/>
      <c r="J21" t="n">
        <v>1</v>
      </c>
      <c r="K21" t="n">
        <v>1899</v>
      </c>
      <c r="L21" t="n">
        <v>0.03</v>
      </c>
      <c r="M21">
        <f>J21*K21*L21</f>
        <v/>
      </c>
    </row>
    <row r="22">
      <c r="A22" t="inlineStr">
        <is>
          <t>Kowloon Bay Fortress</t>
        </is>
      </c>
      <c r="B22" t="inlineStr">
        <is>
          <t>Kowloon Bay Fortress</t>
        </is>
      </c>
      <c r="C22" t="inlineStr">
        <is>
          <t>Wah</t>
        </is>
      </c>
      <c r="D22" t="inlineStr">
        <is>
          <t>2026-06</t>
        </is>
      </c>
      <c r="E22" t="inlineStr">
        <is>
          <t>2026-06-11 00:00:00</t>
        </is>
      </c>
      <c r="F22" t="inlineStr">
        <is>
          <t>3733+3922</t>
        </is>
      </c>
      <c r="G22" t="inlineStr">
        <is>
          <t>未分類</t>
        </is>
      </c>
      <c r="I22" t="inlineStr"/>
      <c r="J22" t="n">
        <v>1</v>
      </c>
      <c r="K22" t="n">
        <v>598</v>
      </c>
      <c r="L22" t="n">
        <v>0.03</v>
      </c>
      <c r="M22">
        <f>J22*K22*L22</f>
        <v/>
      </c>
    </row>
    <row r="23">
      <c r="A23" t="inlineStr">
        <is>
          <t>Kowloon Bay Fortress</t>
        </is>
      </c>
      <c r="B23" t="inlineStr">
        <is>
          <t>Kowloon Bay Fortress</t>
        </is>
      </c>
      <c r="C23" t="inlineStr">
        <is>
          <t>Wah</t>
        </is>
      </c>
      <c r="D23" t="inlineStr">
        <is>
          <t>2026-06</t>
        </is>
      </c>
      <c r="E23" t="inlineStr">
        <is>
          <t>2026-06-11 00:00:00</t>
        </is>
      </c>
      <c r="F23" t="inlineStr">
        <is>
          <t>6911+553</t>
        </is>
      </c>
      <c r="G23" t="inlineStr">
        <is>
          <t>未分類</t>
        </is>
      </c>
      <c r="I23" t="inlineStr"/>
      <c r="J23" t="n">
        <v>1</v>
      </c>
      <c r="K23" t="n">
        <v>598</v>
      </c>
      <c r="L23" t="n">
        <v>0.03</v>
      </c>
      <c r="M23">
        <f>J23*K23*L23</f>
        <v/>
      </c>
    </row>
    <row r="24">
      <c r="A24" t="inlineStr">
        <is>
          <t>Kowloon Bay Fortress</t>
        </is>
      </c>
      <c r="B24" t="inlineStr">
        <is>
          <t>Kowloon Bay Fortress</t>
        </is>
      </c>
      <c r="C24" t="inlineStr">
        <is>
          <t>Wah</t>
        </is>
      </c>
      <c r="D24" t="inlineStr">
        <is>
          <t>2026-06</t>
        </is>
      </c>
      <c r="E24" t="inlineStr">
        <is>
          <t>2026-06-11 00:00:00</t>
        </is>
      </c>
      <c r="F24" t="inlineStr">
        <is>
          <t>2769/97</t>
        </is>
      </c>
      <c r="G24" t="inlineStr">
        <is>
          <t>未分類</t>
        </is>
      </c>
      <c r="I24" t="inlineStr"/>
      <c r="J24" t="n">
        <v>1</v>
      </c>
      <c r="K24" t="n">
        <v>298</v>
      </c>
      <c r="L24" t="n">
        <v>0.03</v>
      </c>
      <c r="M24">
        <f>J24*K24*L24</f>
        <v/>
      </c>
    </row>
    <row r="25">
      <c r="A25" t="inlineStr">
        <is>
          <t>Kowloon Bay Fortress</t>
        </is>
      </c>
      <c r="B25" t="inlineStr">
        <is>
          <t>Kowloon Bay Fortress</t>
        </is>
      </c>
      <c r="C25" t="inlineStr">
        <is>
          <t>Wah</t>
        </is>
      </c>
      <c r="D25" t="inlineStr">
        <is>
          <t>2026-06</t>
        </is>
      </c>
      <c r="E25" t="inlineStr">
        <is>
          <t>2026-06-12 00:00:00</t>
        </is>
      </c>
      <c r="F25" t="inlineStr">
        <is>
          <t>6901+541</t>
        </is>
      </c>
      <c r="G25" t="inlineStr">
        <is>
          <t>未分類</t>
        </is>
      </c>
      <c r="I25" t="inlineStr"/>
      <c r="J25" t="n">
        <v>1</v>
      </c>
      <c r="K25" t="n">
        <v>1899</v>
      </c>
      <c r="L25" t="n">
        <v>0.03</v>
      </c>
      <c r="M25">
        <f>J25*K25*L25</f>
        <v/>
      </c>
    </row>
    <row r="26">
      <c r="A26" t="inlineStr">
        <is>
          <t>Kowloon Bay Fortress</t>
        </is>
      </c>
      <c r="B26" t="inlineStr">
        <is>
          <t>Kowloon Bay Fortress</t>
        </is>
      </c>
      <c r="C26" t="inlineStr">
        <is>
          <t>Wah</t>
        </is>
      </c>
      <c r="D26" t="inlineStr">
        <is>
          <t>2026-06</t>
        </is>
      </c>
      <c r="E26" t="inlineStr">
        <is>
          <t>2026-06-12 00:00:00</t>
        </is>
      </c>
      <c r="F26" t="inlineStr">
        <is>
          <t>3733+3922</t>
        </is>
      </c>
      <c r="G26" t="inlineStr">
        <is>
          <t>未分類</t>
        </is>
      </c>
      <c r="I26" t="inlineStr"/>
      <c r="J26" t="n">
        <v>1</v>
      </c>
      <c r="K26" t="n">
        <v>598</v>
      </c>
      <c r="L26" t="n">
        <v>0.03</v>
      </c>
      <c r="M26">
        <f>J26*K26*L26</f>
        <v/>
      </c>
    </row>
    <row r="27">
      <c r="A27" t="inlineStr">
        <is>
          <t>Kowloon Bay Fortress</t>
        </is>
      </c>
      <c r="B27" t="inlineStr">
        <is>
          <t>Kowloon Bay Fortress</t>
        </is>
      </c>
      <c r="C27" t="inlineStr">
        <is>
          <t>Wah</t>
        </is>
      </c>
      <c r="D27" t="inlineStr">
        <is>
          <t>2026-06</t>
        </is>
      </c>
      <c r="E27" t="inlineStr">
        <is>
          <t>2026-06-13 00:00:00</t>
        </is>
      </c>
      <c r="F27" t="inlineStr">
        <is>
          <t>3733+3922</t>
        </is>
      </c>
      <c r="G27" t="inlineStr">
        <is>
          <t>未分類</t>
        </is>
      </c>
      <c r="I27" t="inlineStr"/>
      <c r="J27" t="n">
        <v>1</v>
      </c>
      <c r="K27" t="n">
        <v>598</v>
      </c>
      <c r="L27" t="n">
        <v>0.03</v>
      </c>
      <c r="M27">
        <f>J27*K27*L27</f>
        <v/>
      </c>
    </row>
    <row r="28">
      <c r="A28" t="inlineStr">
        <is>
          <t>Kowloon Bay Fortress</t>
        </is>
      </c>
      <c r="B28" t="inlineStr">
        <is>
          <t>Kowloon Bay Fortress</t>
        </is>
      </c>
      <c r="C28" t="inlineStr">
        <is>
          <t>Wah</t>
        </is>
      </c>
      <c r="D28" t="inlineStr">
        <is>
          <t>2026-06</t>
        </is>
      </c>
      <c r="E28" t="inlineStr">
        <is>
          <t>2026-06-13 00:00:00</t>
        </is>
      </c>
      <c r="F28" t="inlineStr">
        <is>
          <t>6901+541</t>
        </is>
      </c>
      <c r="G28" t="inlineStr">
        <is>
          <t>未分類</t>
        </is>
      </c>
      <c r="I28" t="inlineStr"/>
      <c r="J28" t="n">
        <v>1</v>
      </c>
      <c r="K28" t="n">
        <v>1899</v>
      </c>
      <c r="L28" t="n">
        <v>0.03</v>
      </c>
      <c r="M28">
        <f>J28*K28*L28</f>
        <v/>
      </c>
    </row>
    <row r="29">
      <c r="A29" t="inlineStr">
        <is>
          <t>Kowloon Bay Fortress</t>
        </is>
      </c>
      <c r="B29" t="inlineStr">
        <is>
          <t>Kowloon Bay Fortress</t>
        </is>
      </c>
      <c r="C29" t="inlineStr">
        <is>
          <t>Wah</t>
        </is>
      </c>
      <c r="D29" t="inlineStr">
        <is>
          <t>2026-06</t>
        </is>
      </c>
      <c r="E29" t="inlineStr">
        <is>
          <t>2026-06-13 00:00:00</t>
        </is>
      </c>
      <c r="F29" t="inlineStr">
        <is>
          <t>2769/97</t>
        </is>
      </c>
      <c r="G29" t="inlineStr">
        <is>
          <t>未分類</t>
        </is>
      </c>
      <c r="I29" t="inlineStr"/>
      <c r="J29" t="n">
        <v>1</v>
      </c>
      <c r="K29" t="n">
        <v>328</v>
      </c>
      <c r="L29" t="n">
        <v>0.03</v>
      </c>
      <c r="M29">
        <f>J29*K29*L29</f>
        <v/>
      </c>
    </row>
    <row r="30">
      <c r="A30" t="inlineStr">
        <is>
          <t>Kowloon Bay Fortress</t>
        </is>
      </c>
      <c r="B30" t="inlineStr">
        <is>
          <t>Kowloon Bay Fortress</t>
        </is>
      </c>
      <c r="C30" t="inlineStr">
        <is>
          <t>Wah</t>
        </is>
      </c>
      <c r="D30" t="inlineStr">
        <is>
          <t>2026-06</t>
        </is>
      </c>
      <c r="E30" t="inlineStr">
        <is>
          <t>2026-06-13 00:00:00</t>
        </is>
      </c>
      <c r="F30" t="inlineStr">
        <is>
          <t>3733+3922</t>
        </is>
      </c>
      <c r="G30" t="inlineStr">
        <is>
          <t>未分類</t>
        </is>
      </c>
      <c r="I30" t="inlineStr"/>
      <c r="J30" t="n">
        <v>1</v>
      </c>
      <c r="K30" t="n">
        <v>598</v>
      </c>
      <c r="L30" t="n">
        <v>0.03</v>
      </c>
      <c r="M30">
        <f>J30*K30*L30</f>
        <v/>
      </c>
    </row>
    <row r="31">
      <c r="A31" t="inlineStr">
        <is>
          <t>Kowloon Bay Fortress</t>
        </is>
      </c>
      <c r="B31" t="inlineStr">
        <is>
          <t>Kowloon Bay Fortress</t>
        </is>
      </c>
      <c r="C31" t="inlineStr">
        <is>
          <t>Wah</t>
        </is>
      </c>
      <c r="D31" t="inlineStr">
        <is>
          <t>2026-06</t>
        </is>
      </c>
      <c r="E31" t="inlineStr">
        <is>
          <t>2026-06-13 00:00:00</t>
        </is>
      </c>
      <c r="F31" t="inlineStr">
        <is>
          <t>6901+541</t>
        </is>
      </c>
      <c r="G31" t="inlineStr">
        <is>
          <t>未分類</t>
        </is>
      </c>
      <c r="I31" t="inlineStr"/>
      <c r="J31" t="n">
        <v>1</v>
      </c>
      <c r="K31" t="n">
        <v>628</v>
      </c>
      <c r="L31" t="n">
        <v>0.03</v>
      </c>
      <c r="M31">
        <f>J31*K31*L31</f>
        <v/>
      </c>
    </row>
    <row r="32">
      <c r="A32" t="inlineStr">
        <is>
          <t>Kowloon Bay Fortress</t>
        </is>
      </c>
      <c r="B32" t="inlineStr">
        <is>
          <t>Kowloon Bay Fortress</t>
        </is>
      </c>
      <c r="C32" t="inlineStr">
        <is>
          <t>Wah</t>
        </is>
      </c>
      <c r="D32" t="inlineStr">
        <is>
          <t>2026-06</t>
        </is>
      </c>
      <c r="E32" t="inlineStr">
        <is>
          <t>2026-06-13 00:00:00</t>
        </is>
      </c>
      <c r="F32" t="inlineStr">
        <is>
          <t>6901+541</t>
        </is>
      </c>
      <c r="G32" t="inlineStr">
        <is>
          <t>未分類</t>
        </is>
      </c>
      <c r="I32" t="inlineStr"/>
      <c r="J32" t="n">
        <v>1</v>
      </c>
      <c r="K32" t="n">
        <v>1899</v>
      </c>
      <c r="L32" t="n">
        <v>0.03</v>
      </c>
      <c r="M32">
        <f>J32*K32*L32</f>
        <v/>
      </c>
    </row>
    <row r="33">
      <c r="A33" t="inlineStr">
        <is>
          <t>Kowloon Bay Fortress</t>
        </is>
      </c>
      <c r="B33" t="inlineStr">
        <is>
          <t>Kowloon Bay Fortress</t>
        </is>
      </c>
      <c r="C33" t="inlineStr">
        <is>
          <t>Wah</t>
        </is>
      </c>
      <c r="D33" t="inlineStr">
        <is>
          <t>2026-06</t>
        </is>
      </c>
      <c r="E33" t="inlineStr">
        <is>
          <t>2026-06-13 00:00:00</t>
        </is>
      </c>
      <c r="F33" t="inlineStr">
        <is>
          <t>6901+541</t>
        </is>
      </c>
      <c r="G33" t="inlineStr">
        <is>
          <t>未分類</t>
        </is>
      </c>
      <c r="I33" t="inlineStr"/>
      <c r="J33" t="n">
        <v>1</v>
      </c>
      <c r="K33" t="n">
        <v>1899</v>
      </c>
      <c r="L33" t="n">
        <v>0.03</v>
      </c>
      <c r="M33">
        <f>J33*K33*L33</f>
        <v/>
      </c>
    </row>
    <row r="34">
      <c r="A34" t="inlineStr">
        <is>
          <t>Kowloon Bay Fortress</t>
        </is>
      </c>
      <c r="B34" t="inlineStr">
        <is>
          <t>Kowloon Bay Fortress</t>
        </is>
      </c>
      <c r="C34" t="inlineStr">
        <is>
          <t>Wah</t>
        </is>
      </c>
      <c r="D34" t="inlineStr">
        <is>
          <t>2026-06</t>
        </is>
      </c>
      <c r="E34" t="inlineStr">
        <is>
          <t>2026-06-14 00:00:00</t>
        </is>
      </c>
      <c r="F34" t="inlineStr">
        <is>
          <t>6911+553</t>
        </is>
      </c>
      <c r="G34" t="inlineStr">
        <is>
          <t>未分類</t>
        </is>
      </c>
      <c r="I34" t="inlineStr"/>
      <c r="J34" t="n">
        <v>1</v>
      </c>
      <c r="K34" t="n">
        <v>3388</v>
      </c>
      <c r="L34" t="n">
        <v>0.03</v>
      </c>
      <c r="M34">
        <f>J34*K34*L34</f>
        <v/>
      </c>
    </row>
    <row r="35">
      <c r="A35" t="inlineStr">
        <is>
          <t>Kowloon Bay Fortress</t>
        </is>
      </c>
      <c r="B35" t="inlineStr">
        <is>
          <t>Kowloon Bay Fortress</t>
        </is>
      </c>
      <c r="C35" t="inlineStr">
        <is>
          <t>Wah</t>
        </is>
      </c>
      <c r="D35" t="inlineStr">
        <is>
          <t>2026-06</t>
        </is>
      </c>
      <c r="E35" t="inlineStr">
        <is>
          <t>2026-06-14 00:00:00</t>
        </is>
      </c>
      <c r="F35" t="inlineStr">
        <is>
          <t>3733+3922</t>
        </is>
      </c>
      <c r="G35" t="inlineStr">
        <is>
          <t>未分類</t>
        </is>
      </c>
      <c r="I35" t="inlineStr"/>
      <c r="J35" t="n">
        <v>1</v>
      </c>
      <c r="K35" t="n">
        <v>598</v>
      </c>
      <c r="L35" t="n">
        <v>0.03</v>
      </c>
      <c r="M35">
        <f>J35*K35*L35</f>
        <v/>
      </c>
    </row>
    <row r="36">
      <c r="A36" t="inlineStr">
        <is>
          <t>Kowloon Bay Fortress</t>
        </is>
      </c>
      <c r="B36" t="inlineStr">
        <is>
          <t>Kowloon Bay Fortress</t>
        </is>
      </c>
      <c r="C36" t="inlineStr">
        <is>
          <t>Wah</t>
        </is>
      </c>
      <c r="D36" t="inlineStr">
        <is>
          <t>2026-06</t>
        </is>
      </c>
      <c r="E36" t="inlineStr">
        <is>
          <t>2026-06-14 00:00:00</t>
        </is>
      </c>
      <c r="F36" t="inlineStr">
        <is>
          <t>3733+3922</t>
        </is>
      </c>
      <c r="G36" t="inlineStr">
        <is>
          <t>未分類</t>
        </is>
      </c>
      <c r="I36" t="inlineStr"/>
      <c r="J36" t="n">
        <v>1</v>
      </c>
      <c r="K36" t="n">
        <v>598</v>
      </c>
      <c r="L36" t="n">
        <v>0.03</v>
      </c>
      <c r="M36">
        <f>J36*K36*L36</f>
        <v/>
      </c>
    </row>
    <row r="37">
      <c r="A37" t="inlineStr">
        <is>
          <t>Kowloon Bay Fortress</t>
        </is>
      </c>
      <c r="B37" t="inlineStr">
        <is>
          <t>Kowloon Bay Fortress</t>
        </is>
      </c>
      <c r="C37" t="inlineStr">
        <is>
          <t>Wah</t>
        </is>
      </c>
      <c r="D37" t="inlineStr">
        <is>
          <t>2026-06</t>
        </is>
      </c>
      <c r="E37" t="inlineStr">
        <is>
          <t>2026-06-14 00:00:00</t>
        </is>
      </c>
      <c r="F37" t="inlineStr">
        <is>
          <t>2937+211</t>
        </is>
      </c>
      <c r="G37" t="inlineStr">
        <is>
          <t>未分類</t>
        </is>
      </c>
      <c r="I37" t="inlineStr"/>
      <c r="J37" t="n">
        <v>1</v>
      </c>
      <c r="K37" t="n">
        <v>158</v>
      </c>
      <c r="L37" t="n">
        <v>0.03</v>
      </c>
      <c r="M37">
        <f>J37*K37*L37</f>
        <v/>
      </c>
    </row>
    <row r="38">
      <c r="A38" t="inlineStr">
        <is>
          <t>Kowloon Bay Fortress</t>
        </is>
      </c>
      <c r="B38" t="inlineStr">
        <is>
          <t>Kowloon Bay Fortress</t>
        </is>
      </c>
      <c r="C38" t="inlineStr">
        <is>
          <t>Wah</t>
        </is>
      </c>
      <c r="D38" t="inlineStr">
        <is>
          <t>2026-06</t>
        </is>
      </c>
      <c r="E38" t="inlineStr">
        <is>
          <t>2026-06-14 00:00:00</t>
        </is>
      </c>
      <c r="F38" t="inlineStr">
        <is>
          <t>3733+3922</t>
        </is>
      </c>
      <c r="G38" t="inlineStr">
        <is>
          <t>未分類</t>
        </is>
      </c>
      <c r="I38" t="inlineStr"/>
      <c r="J38" t="n">
        <v>1</v>
      </c>
      <c r="K38" t="n">
        <v>598</v>
      </c>
      <c r="L38" t="n">
        <v>0.03</v>
      </c>
      <c r="M38">
        <f>J38*K38*L38</f>
        <v/>
      </c>
    </row>
    <row r="39">
      <c r="A39" t="inlineStr">
        <is>
          <t>Kowloon Bay Fortress</t>
        </is>
      </c>
      <c r="B39" t="inlineStr">
        <is>
          <t>Kowloon Bay Fortress</t>
        </is>
      </c>
      <c r="C39" t="inlineStr">
        <is>
          <t>Wah</t>
        </is>
      </c>
      <c r="D39" t="inlineStr">
        <is>
          <t>2026-06</t>
        </is>
      </c>
      <c r="E39" t="inlineStr">
        <is>
          <t>2026-06-14 00:00:00</t>
        </is>
      </c>
      <c r="F39" t="inlineStr">
        <is>
          <t>2769/97</t>
        </is>
      </c>
      <c r="G39" t="inlineStr">
        <is>
          <t>未分類</t>
        </is>
      </c>
      <c r="I39" t="inlineStr"/>
      <c r="J39" t="n">
        <v>1</v>
      </c>
      <c r="K39" t="n">
        <v>328</v>
      </c>
      <c r="L39" t="n">
        <v>0.03</v>
      </c>
      <c r="M39">
        <f>J39*K39*L39</f>
        <v/>
      </c>
    </row>
    <row r="40">
      <c r="A40" t="inlineStr">
        <is>
          <t>Kowloon Bay Fortress</t>
        </is>
      </c>
      <c r="B40" t="inlineStr">
        <is>
          <t>Kowloon Bay Fortress</t>
        </is>
      </c>
      <c r="C40" t="inlineStr">
        <is>
          <t>Wah</t>
        </is>
      </c>
      <c r="D40" t="inlineStr">
        <is>
          <t>2026-06</t>
        </is>
      </c>
      <c r="E40" t="inlineStr">
        <is>
          <t>2026-06-14 00:00:00</t>
        </is>
      </c>
      <c r="F40" t="inlineStr">
        <is>
          <t>3733+3922</t>
        </is>
      </c>
      <c r="G40" t="inlineStr">
        <is>
          <t>未分類</t>
        </is>
      </c>
      <c r="I40" t="inlineStr"/>
      <c r="J40" t="n">
        <v>1</v>
      </c>
      <c r="K40" t="n">
        <v>598</v>
      </c>
      <c r="L40" t="n">
        <v>0.03</v>
      </c>
      <c r="M40">
        <f>J40*K40*L40</f>
        <v/>
      </c>
    </row>
    <row r="41">
      <c r="A41" t="inlineStr">
        <is>
          <t>Kowloon Bay Fortress</t>
        </is>
      </c>
      <c r="B41" t="inlineStr">
        <is>
          <t>Kowloon Bay Fortress</t>
        </is>
      </c>
      <c r="C41" t="inlineStr">
        <is>
          <t>Wah</t>
        </is>
      </c>
      <c r="D41" t="inlineStr">
        <is>
          <t>2026-06</t>
        </is>
      </c>
      <c r="E41" t="inlineStr">
        <is>
          <t>2026-06-18 00:00:00</t>
        </is>
      </c>
      <c r="F41" t="inlineStr">
        <is>
          <t>3733+3922</t>
        </is>
      </c>
      <c r="G41" t="inlineStr">
        <is>
          <t>未分類</t>
        </is>
      </c>
      <c r="I41" t="inlineStr"/>
      <c r="J41" t="n">
        <v>1</v>
      </c>
      <c r="K41" t="n">
        <v>598</v>
      </c>
      <c r="L41" t="n">
        <v>0.03</v>
      </c>
      <c r="M41">
        <f>J41*K41*L41</f>
        <v/>
      </c>
    </row>
    <row r="42">
      <c r="A42" t="inlineStr">
        <is>
          <t>Kowloon Bay Fortress</t>
        </is>
      </c>
      <c r="B42" t="inlineStr">
        <is>
          <t>Kowloon Bay Fortress</t>
        </is>
      </c>
      <c r="C42" t="inlineStr">
        <is>
          <t>Wah</t>
        </is>
      </c>
      <c r="D42" t="inlineStr">
        <is>
          <t>2026-06</t>
        </is>
      </c>
      <c r="E42" t="inlineStr">
        <is>
          <t>2026-06-18 00:00:00</t>
        </is>
      </c>
      <c r="F42" t="inlineStr">
        <is>
          <t>3812+3922</t>
        </is>
      </c>
      <c r="G42" t="inlineStr">
        <is>
          <t>未分類</t>
        </is>
      </c>
      <c r="I42" t="inlineStr"/>
      <c r="J42" t="n">
        <v>1</v>
      </c>
      <c r="K42" t="n">
        <v>798</v>
      </c>
      <c r="L42" t="n">
        <v>0.03</v>
      </c>
      <c r="M42">
        <f>J42*K42*L42</f>
        <v/>
      </c>
    </row>
    <row r="43">
      <c r="A43" t="inlineStr">
        <is>
          <t>Kowloon Bay Fortress</t>
        </is>
      </c>
      <c r="B43" t="inlineStr">
        <is>
          <t>Kowloon Bay Fortress</t>
        </is>
      </c>
      <c r="C43" t="inlineStr">
        <is>
          <t>Wah</t>
        </is>
      </c>
      <c r="D43" t="inlineStr">
        <is>
          <t>2026-06</t>
        </is>
      </c>
      <c r="E43" t="inlineStr">
        <is>
          <t>2026-06-18 00:00:00</t>
        </is>
      </c>
      <c r="F43" t="inlineStr">
        <is>
          <t>6920WH</t>
        </is>
      </c>
      <c r="G43" t="inlineStr">
        <is>
          <t>未分類</t>
        </is>
      </c>
      <c r="I43" t="inlineStr"/>
      <c r="J43" t="n">
        <v>1</v>
      </c>
      <c r="K43" t="n">
        <v>3688</v>
      </c>
      <c r="L43" t="n">
        <v>0.03</v>
      </c>
      <c r="M43">
        <f>J43*K43*L43</f>
        <v/>
      </c>
    </row>
    <row r="44">
      <c r="A44" t="inlineStr">
        <is>
          <t>Kowloon Bay Fortress</t>
        </is>
      </c>
      <c r="B44" t="inlineStr">
        <is>
          <t>Kowloon Bay Fortress</t>
        </is>
      </c>
      <c r="C44" t="inlineStr">
        <is>
          <t>Wah</t>
        </is>
      </c>
      <c r="D44" t="inlineStr">
        <is>
          <t>2026-06</t>
        </is>
      </c>
      <c r="E44" t="inlineStr">
        <is>
          <t>2026-06-18 00:00:00</t>
        </is>
      </c>
      <c r="F44" t="inlineStr">
        <is>
          <t>6901+541</t>
        </is>
      </c>
      <c r="G44" t="inlineStr">
        <is>
          <t>未分類</t>
        </is>
      </c>
      <c r="I44" t="inlineStr"/>
      <c r="J44" t="n">
        <v>1</v>
      </c>
      <c r="K44" t="n">
        <v>628</v>
      </c>
      <c r="L44" t="n">
        <v>0.03</v>
      </c>
      <c r="M44">
        <f>J44*K44*L44</f>
        <v/>
      </c>
    </row>
    <row r="45">
      <c r="A45" t="inlineStr">
        <is>
          <t>Kowloon Bay Fortress</t>
        </is>
      </c>
      <c r="B45" t="inlineStr">
        <is>
          <t>Kowloon Bay Fortress</t>
        </is>
      </c>
      <c r="C45" t="inlineStr">
        <is>
          <t>Wah</t>
        </is>
      </c>
      <c r="D45" t="inlineStr">
        <is>
          <t>2026-06</t>
        </is>
      </c>
      <c r="E45" t="inlineStr">
        <is>
          <t>2026-06-18 00:00:00</t>
        </is>
      </c>
      <c r="F45" t="inlineStr">
        <is>
          <t>6910+550</t>
        </is>
      </c>
      <c r="G45" t="inlineStr">
        <is>
          <t>未分類</t>
        </is>
      </c>
      <c r="I45" t="inlineStr"/>
      <c r="J45" t="n">
        <v>1</v>
      </c>
      <c r="K45" t="n">
        <v>598</v>
      </c>
      <c r="L45" t="n">
        <v>0.03</v>
      </c>
      <c r="M45">
        <f>J45*K45*L45</f>
        <v/>
      </c>
    </row>
    <row r="46">
      <c r="A46" t="inlineStr">
        <is>
          <t>Kowloon Bay Fortress</t>
        </is>
      </c>
      <c r="B46" t="inlineStr">
        <is>
          <t>Kowloon Bay Fortress</t>
        </is>
      </c>
      <c r="C46" t="inlineStr">
        <is>
          <t>Wah</t>
        </is>
      </c>
      <c r="D46" t="inlineStr">
        <is>
          <t>2026-06</t>
        </is>
      </c>
      <c r="E46" t="inlineStr">
        <is>
          <t>2026-06-19 00:00:00</t>
        </is>
      </c>
      <c r="F46" t="inlineStr">
        <is>
          <t>3733+3922</t>
        </is>
      </c>
      <c r="G46" t="inlineStr">
        <is>
          <t>未分類</t>
        </is>
      </c>
      <c r="I46" t="inlineStr"/>
      <c r="J46" t="n">
        <v>1</v>
      </c>
      <c r="K46" t="n">
        <v>598</v>
      </c>
      <c r="L46" t="n">
        <v>0.03</v>
      </c>
      <c r="M46">
        <f>J46*K46*L46</f>
        <v/>
      </c>
    </row>
    <row r="47">
      <c r="A47" t="inlineStr">
        <is>
          <t>Kowloon Bay Fortress</t>
        </is>
      </c>
      <c r="B47" t="inlineStr">
        <is>
          <t>Kowloon Bay Fortress</t>
        </is>
      </c>
      <c r="C47" t="inlineStr">
        <is>
          <t>Wah</t>
        </is>
      </c>
      <c r="D47" t="inlineStr">
        <is>
          <t>2026-06</t>
        </is>
      </c>
      <c r="E47" t="inlineStr">
        <is>
          <t>2026-06-19 00:00:00</t>
        </is>
      </c>
      <c r="F47" t="inlineStr">
        <is>
          <t>6901+541</t>
        </is>
      </c>
      <c r="G47" t="inlineStr">
        <is>
          <t>未分類</t>
        </is>
      </c>
      <c r="I47" t="inlineStr"/>
      <c r="J47" t="n">
        <v>1</v>
      </c>
      <c r="K47" t="n">
        <v>628</v>
      </c>
      <c r="L47" t="n">
        <v>0.03</v>
      </c>
      <c r="M47">
        <f>J47*K47*L47</f>
        <v/>
      </c>
    </row>
    <row r="48">
      <c r="A48" t="inlineStr">
        <is>
          <t>Kowloon Bay Fortress</t>
        </is>
      </c>
      <c r="B48" t="inlineStr">
        <is>
          <t>Kowloon Bay Fortress</t>
        </is>
      </c>
      <c r="C48" t="inlineStr">
        <is>
          <t>Wah</t>
        </is>
      </c>
      <c r="D48" t="inlineStr">
        <is>
          <t>2026-06</t>
        </is>
      </c>
      <c r="E48" t="inlineStr">
        <is>
          <t>2026-06-19 00:00:00</t>
        </is>
      </c>
      <c r="F48" t="inlineStr">
        <is>
          <t>6901+541</t>
        </is>
      </c>
      <c r="G48" t="inlineStr">
        <is>
          <t>未分類</t>
        </is>
      </c>
      <c r="I48" t="inlineStr"/>
      <c r="J48" t="n">
        <v>1</v>
      </c>
      <c r="K48" t="n">
        <v>628</v>
      </c>
      <c r="L48" t="n">
        <v>0.03</v>
      </c>
      <c r="M48">
        <f>J48*K48*L48</f>
        <v/>
      </c>
    </row>
    <row r="49">
      <c r="A49" t="inlineStr">
        <is>
          <t>Kowloon Bay Fortress</t>
        </is>
      </c>
      <c r="B49" t="inlineStr">
        <is>
          <t>Kowloon Bay Fortress</t>
        </is>
      </c>
      <c r="C49" t="inlineStr">
        <is>
          <t>Wah</t>
        </is>
      </c>
      <c r="D49" t="inlineStr">
        <is>
          <t>2026-06</t>
        </is>
      </c>
      <c r="E49" t="inlineStr">
        <is>
          <t>2026-06-19 00:00:00</t>
        </is>
      </c>
      <c r="F49" t="inlineStr">
        <is>
          <t>6901+541</t>
        </is>
      </c>
      <c r="G49" t="inlineStr">
        <is>
          <t>未分類</t>
        </is>
      </c>
      <c r="I49" t="inlineStr"/>
      <c r="J49" t="n">
        <v>1</v>
      </c>
      <c r="K49" t="n">
        <v>1899</v>
      </c>
      <c r="L49" t="n">
        <v>0.03</v>
      </c>
      <c r="M49">
        <f>J49*K49*L49</f>
        <v/>
      </c>
    </row>
    <row r="50">
      <c r="A50" t="inlineStr">
        <is>
          <t>Kowloon Bay Fortress</t>
        </is>
      </c>
      <c r="B50" t="inlineStr">
        <is>
          <t>Kowloon Bay Fortress</t>
        </is>
      </c>
      <c r="C50" t="inlineStr">
        <is>
          <t>Wah</t>
        </is>
      </c>
      <c r="D50" t="inlineStr">
        <is>
          <t>2026-06</t>
        </is>
      </c>
      <c r="E50" t="inlineStr">
        <is>
          <t>2026-06-19 00:00:00</t>
        </is>
      </c>
      <c r="F50" t="inlineStr">
        <is>
          <t>6901+541</t>
        </is>
      </c>
      <c r="G50" t="inlineStr">
        <is>
          <t>未分類</t>
        </is>
      </c>
      <c r="I50" t="inlineStr"/>
      <c r="J50" t="n">
        <v>1</v>
      </c>
      <c r="K50" t="n">
        <v>1898</v>
      </c>
      <c r="L50" t="n">
        <v>0.03</v>
      </c>
      <c r="M50">
        <f>J50*K50*L50</f>
        <v/>
      </c>
    </row>
    <row r="51">
      <c r="A51" t="inlineStr">
        <is>
          <t>Kowloon Bay Fortress</t>
        </is>
      </c>
      <c r="B51" t="inlineStr">
        <is>
          <t>Kowloon Bay Fortress</t>
        </is>
      </c>
      <c r="C51" t="inlineStr">
        <is>
          <t>Wah</t>
        </is>
      </c>
      <c r="D51" t="inlineStr">
        <is>
          <t>2026-06</t>
        </is>
      </c>
      <c r="E51" t="inlineStr">
        <is>
          <t>2026-06-19 00:00:00</t>
        </is>
      </c>
      <c r="F51" t="inlineStr">
        <is>
          <t>6901+541</t>
        </is>
      </c>
      <c r="G51" t="inlineStr">
        <is>
          <t>未分類</t>
        </is>
      </c>
      <c r="I51" t="inlineStr"/>
      <c r="J51" t="n">
        <v>1</v>
      </c>
      <c r="K51" t="n">
        <v>628</v>
      </c>
      <c r="L51" t="n">
        <v>0.03</v>
      </c>
      <c r="M51">
        <f>J51*K51*L51</f>
        <v/>
      </c>
    </row>
    <row r="52">
      <c r="A52" t="inlineStr">
        <is>
          <t>Kowloon Bay Fortress</t>
        </is>
      </c>
      <c r="B52" t="inlineStr">
        <is>
          <t>Kowloon Bay Fortress</t>
        </is>
      </c>
      <c r="C52" t="inlineStr">
        <is>
          <t>Wah</t>
        </is>
      </c>
      <c r="D52" t="inlineStr">
        <is>
          <t>2026-06</t>
        </is>
      </c>
      <c r="E52" t="inlineStr">
        <is>
          <t>2026-06-19 00:00:00</t>
        </is>
      </c>
      <c r="F52" t="inlineStr">
        <is>
          <t>6910+550</t>
        </is>
      </c>
      <c r="G52" t="inlineStr">
        <is>
          <t>未分類</t>
        </is>
      </c>
      <c r="I52" t="inlineStr"/>
      <c r="J52" t="n">
        <v>1</v>
      </c>
      <c r="K52" t="n">
        <v>598</v>
      </c>
      <c r="L52" t="n">
        <v>0.03</v>
      </c>
      <c r="M52">
        <f>J52*K52*L52</f>
        <v/>
      </c>
    </row>
    <row r="53">
      <c r="A53" t="inlineStr">
        <is>
          <t>Kowloon Bay Fortress</t>
        </is>
      </c>
      <c r="B53" t="inlineStr">
        <is>
          <t>Kowloon Bay Fortress</t>
        </is>
      </c>
      <c r="C53" t="inlineStr">
        <is>
          <t>Wah</t>
        </is>
      </c>
      <c r="D53" t="inlineStr">
        <is>
          <t>2026-06</t>
        </is>
      </c>
      <c r="E53" t="inlineStr">
        <is>
          <t>2026-06-19 00:00:00</t>
        </is>
      </c>
      <c r="F53" t="inlineStr">
        <is>
          <t>6901+541</t>
        </is>
      </c>
      <c r="G53" t="inlineStr">
        <is>
          <t>未分類</t>
        </is>
      </c>
      <c r="I53" t="inlineStr"/>
      <c r="J53" t="n">
        <v>1</v>
      </c>
      <c r="K53" t="n">
        <v>628</v>
      </c>
      <c r="L53" t="n">
        <v>0.03</v>
      </c>
      <c r="M53">
        <f>J53*K53*L53</f>
        <v/>
      </c>
    </row>
    <row r="54">
      <c r="A54" t="inlineStr">
        <is>
          <t>Kowloon Bay Fortress</t>
        </is>
      </c>
      <c r="B54" t="inlineStr">
        <is>
          <t>Kowloon Bay Fortress</t>
        </is>
      </c>
      <c r="C54" t="inlineStr">
        <is>
          <t>Wah</t>
        </is>
      </c>
      <c r="D54" t="inlineStr">
        <is>
          <t>2026-06</t>
        </is>
      </c>
      <c r="E54" t="inlineStr">
        <is>
          <t>2026-06-20 00:00:00</t>
        </is>
      </c>
      <c r="F54" t="inlineStr">
        <is>
          <t>3733+3922</t>
        </is>
      </c>
      <c r="G54" t="inlineStr">
        <is>
          <t>未分類</t>
        </is>
      </c>
      <c r="I54" t="inlineStr"/>
      <c r="J54" t="n">
        <v>1</v>
      </c>
      <c r="K54" t="n">
        <v>598</v>
      </c>
      <c r="L54" t="n">
        <v>0.03</v>
      </c>
      <c r="M54">
        <f>J54*K54*L54</f>
        <v/>
      </c>
    </row>
    <row r="55">
      <c r="A55" t="inlineStr">
        <is>
          <t>Kowloon Bay Fortress</t>
        </is>
      </c>
      <c r="B55" t="inlineStr">
        <is>
          <t>Kowloon Bay Fortress</t>
        </is>
      </c>
      <c r="C55" t="inlineStr">
        <is>
          <t>Wah</t>
        </is>
      </c>
      <c r="D55" t="inlineStr">
        <is>
          <t>2026-06</t>
        </is>
      </c>
      <c r="E55" t="inlineStr">
        <is>
          <t>2026-06-20 00:00:00</t>
        </is>
      </c>
      <c r="F55" t="inlineStr">
        <is>
          <t>6920WH</t>
        </is>
      </c>
      <c r="G55" t="inlineStr">
        <is>
          <t>未分類</t>
        </is>
      </c>
      <c r="I55" t="inlineStr"/>
      <c r="J55" t="n">
        <v>1</v>
      </c>
      <c r="K55" t="n">
        <v>3688</v>
      </c>
      <c r="L55" t="n">
        <v>0.03</v>
      </c>
      <c r="M55">
        <f>J55*K55*L55</f>
        <v/>
      </c>
    </row>
    <row r="56">
      <c r="A56" t="inlineStr">
        <is>
          <t>Kowloon Bay Fortress</t>
        </is>
      </c>
      <c r="B56" t="inlineStr">
        <is>
          <t>Kowloon Bay Fortress</t>
        </is>
      </c>
      <c r="C56" t="inlineStr">
        <is>
          <t>Wah</t>
        </is>
      </c>
      <c r="D56" t="inlineStr">
        <is>
          <t>2026-06</t>
        </is>
      </c>
      <c r="E56" t="inlineStr">
        <is>
          <t>2026-06-20 00:00:00</t>
        </is>
      </c>
      <c r="F56" t="inlineStr">
        <is>
          <t>A3983</t>
        </is>
      </c>
      <c r="G56" t="inlineStr">
        <is>
          <t>未分類</t>
        </is>
      </c>
      <c r="I56" t="inlineStr"/>
      <c r="J56" t="n">
        <v>1</v>
      </c>
      <c r="K56" t="n">
        <v>898</v>
      </c>
      <c r="L56" t="n">
        <v>0.03</v>
      </c>
      <c r="M56">
        <f>J56*K56*L56</f>
        <v/>
      </c>
    </row>
    <row r="57">
      <c r="A57" t="inlineStr">
        <is>
          <t>Kowloon Bay Fortress</t>
        </is>
      </c>
      <c r="B57" t="inlineStr">
        <is>
          <t>Kowloon Bay Fortress</t>
        </is>
      </c>
      <c r="C57" t="inlineStr">
        <is>
          <t>Wah</t>
        </is>
      </c>
      <c r="D57" t="inlineStr">
        <is>
          <t>2026-06</t>
        </is>
      </c>
      <c r="E57" t="inlineStr">
        <is>
          <t>2026-06-20 00:00:00</t>
        </is>
      </c>
      <c r="F57" t="inlineStr">
        <is>
          <t>3811+3911</t>
        </is>
      </c>
      <c r="G57" t="inlineStr">
        <is>
          <t>未分類</t>
        </is>
      </c>
      <c r="I57" t="inlineStr"/>
      <c r="J57" t="n">
        <v>1</v>
      </c>
      <c r="K57" t="n">
        <v>488</v>
      </c>
      <c r="L57" t="n">
        <v>0.03</v>
      </c>
      <c r="M57">
        <f>J57*K57*L57</f>
        <v/>
      </c>
    </row>
    <row r="58">
      <c r="A58" t="inlineStr">
        <is>
          <t>Kowloon Bay Fortress</t>
        </is>
      </c>
      <c r="B58" t="inlineStr">
        <is>
          <t>Kowloon Bay Fortress</t>
        </is>
      </c>
      <c r="C58" t="inlineStr">
        <is>
          <t>Wah</t>
        </is>
      </c>
      <c r="D58" t="inlineStr">
        <is>
          <t>2026-06</t>
        </is>
      </c>
      <c r="E58" t="inlineStr">
        <is>
          <t>2026-06-20 00:00:00</t>
        </is>
      </c>
      <c r="F58" t="inlineStr">
        <is>
          <t>3733+3922</t>
        </is>
      </c>
      <c r="G58" t="inlineStr">
        <is>
          <t>未分類</t>
        </is>
      </c>
      <c r="I58" t="inlineStr"/>
      <c r="J58" t="n">
        <v>1</v>
      </c>
      <c r="K58" t="n">
        <v>338</v>
      </c>
      <c r="L58" t="n">
        <v>0.03</v>
      </c>
      <c r="M58">
        <f>J58*K58*L58</f>
        <v/>
      </c>
    </row>
    <row r="59">
      <c r="A59" t="inlineStr">
        <is>
          <t>Kowloon Bay Fortress</t>
        </is>
      </c>
      <c r="B59" t="inlineStr">
        <is>
          <t>Kowloon Bay Fortress</t>
        </is>
      </c>
      <c r="C59" t="inlineStr">
        <is>
          <t>Wah</t>
        </is>
      </c>
      <c r="D59" t="inlineStr">
        <is>
          <t>2026-06</t>
        </is>
      </c>
      <c r="E59" t="inlineStr">
        <is>
          <t>2026-06-20 00:00:00</t>
        </is>
      </c>
      <c r="F59" t="inlineStr">
        <is>
          <t>3811+3911</t>
        </is>
      </c>
      <c r="G59" t="inlineStr">
        <is>
          <t>未分類</t>
        </is>
      </c>
      <c r="I59" t="inlineStr"/>
      <c r="J59" t="n">
        <v>1</v>
      </c>
      <c r="K59" t="n">
        <v>528</v>
      </c>
      <c r="L59" t="n">
        <v>0.03</v>
      </c>
      <c r="M59">
        <f>J59*K59*L59</f>
        <v/>
      </c>
    </row>
    <row r="60">
      <c r="A60" t="inlineStr">
        <is>
          <t>Kowloon Bay Fortress</t>
        </is>
      </c>
      <c r="B60" t="inlineStr">
        <is>
          <t>Kowloon Bay Fortress</t>
        </is>
      </c>
      <c r="C60" t="inlineStr">
        <is>
          <t>Wah</t>
        </is>
      </c>
      <c r="D60" t="inlineStr">
        <is>
          <t>2026-06</t>
        </is>
      </c>
      <c r="E60" t="inlineStr">
        <is>
          <t>2026-06-20 00:00:00</t>
        </is>
      </c>
      <c r="F60" t="inlineStr">
        <is>
          <t>3733+3922</t>
        </is>
      </c>
      <c r="G60" t="inlineStr">
        <is>
          <t>未分類</t>
        </is>
      </c>
      <c r="I60" t="inlineStr"/>
      <c r="J60" t="n">
        <v>1</v>
      </c>
      <c r="K60" t="n">
        <v>598</v>
      </c>
      <c r="L60" t="n">
        <v>0.03</v>
      </c>
      <c r="M60">
        <f>J60*K60*L60</f>
        <v/>
      </c>
    </row>
    <row r="61">
      <c r="A61" t="inlineStr">
        <is>
          <t>Kowloon Bay Fortress</t>
        </is>
      </c>
      <c r="B61" t="inlineStr">
        <is>
          <t>Kowloon Bay Fortress</t>
        </is>
      </c>
      <c r="C61" t="inlineStr">
        <is>
          <t>Wah</t>
        </is>
      </c>
      <c r="D61" t="inlineStr">
        <is>
          <t>2026-06</t>
        </is>
      </c>
      <c r="E61" t="inlineStr">
        <is>
          <t>2026-06-21 00:00:00</t>
        </is>
      </c>
      <c r="F61" t="inlineStr">
        <is>
          <t>6901+541</t>
        </is>
      </c>
      <c r="G61" t="inlineStr">
        <is>
          <t>未分類</t>
        </is>
      </c>
      <c r="I61" t="inlineStr"/>
      <c r="J61" t="n">
        <v>1</v>
      </c>
      <c r="K61" t="n">
        <v>628</v>
      </c>
      <c r="L61" t="n">
        <v>0.03</v>
      </c>
      <c r="M61">
        <f>J61*K61*L61</f>
        <v/>
      </c>
    </row>
    <row r="62">
      <c r="A62" t="inlineStr">
        <is>
          <t>Kowloon Bay Fortress</t>
        </is>
      </c>
      <c r="B62" t="inlineStr">
        <is>
          <t>Kowloon Bay Fortress</t>
        </is>
      </c>
      <c r="C62" t="inlineStr">
        <is>
          <t>Wah</t>
        </is>
      </c>
      <c r="D62" t="inlineStr">
        <is>
          <t>2026-06</t>
        </is>
      </c>
      <c r="E62" t="inlineStr">
        <is>
          <t>2026-06-21 00:00:00</t>
        </is>
      </c>
      <c r="F62" t="inlineStr">
        <is>
          <t>3733+3922</t>
        </is>
      </c>
      <c r="G62" t="inlineStr">
        <is>
          <t>未分類</t>
        </is>
      </c>
      <c r="I62" t="inlineStr"/>
      <c r="J62" t="n">
        <v>1</v>
      </c>
      <c r="K62" t="n">
        <v>598</v>
      </c>
      <c r="L62" t="n">
        <v>0.03</v>
      </c>
      <c r="M62">
        <f>J62*K62*L62</f>
        <v/>
      </c>
    </row>
    <row r="63">
      <c r="A63" t="inlineStr">
        <is>
          <t>Kowloon Bay Fortress</t>
        </is>
      </c>
      <c r="B63" t="inlineStr">
        <is>
          <t>Kowloon Bay Fortress</t>
        </is>
      </c>
      <c r="C63" t="inlineStr">
        <is>
          <t>Wah</t>
        </is>
      </c>
      <c r="D63" t="inlineStr">
        <is>
          <t>2026-06</t>
        </is>
      </c>
      <c r="E63" t="inlineStr">
        <is>
          <t>2026-06-21 00:00:00</t>
        </is>
      </c>
      <c r="F63" t="inlineStr">
        <is>
          <t>6901+541</t>
        </is>
      </c>
      <c r="G63" t="inlineStr">
        <is>
          <t>未分類</t>
        </is>
      </c>
      <c r="I63" t="inlineStr"/>
      <c r="J63" t="n">
        <v>1</v>
      </c>
      <c r="K63" t="n">
        <v>628</v>
      </c>
      <c r="L63" t="n">
        <v>0.03</v>
      </c>
      <c r="M63">
        <f>J63*K63*L63</f>
        <v/>
      </c>
    </row>
    <row r="64">
      <c r="A64" t="inlineStr">
        <is>
          <t>Kowloon Bay Fortress</t>
        </is>
      </c>
      <c r="B64" t="inlineStr">
        <is>
          <t>Kowloon Bay Fortress</t>
        </is>
      </c>
      <c r="C64" t="inlineStr">
        <is>
          <t>Wah</t>
        </is>
      </c>
      <c r="D64" t="inlineStr">
        <is>
          <t>2026-06</t>
        </is>
      </c>
      <c r="E64" t="inlineStr">
        <is>
          <t>2026-06-21 00:00:00</t>
        </is>
      </c>
      <c r="F64" t="inlineStr">
        <is>
          <t>3733+3922</t>
        </is>
      </c>
      <c r="G64" t="inlineStr">
        <is>
          <t>未分類</t>
        </is>
      </c>
      <c r="I64" t="inlineStr"/>
      <c r="J64" t="n">
        <v>1</v>
      </c>
      <c r="K64" t="n">
        <v>598</v>
      </c>
      <c r="L64" t="n">
        <v>0.03</v>
      </c>
      <c r="M64">
        <f>J64*K64*L64</f>
        <v/>
      </c>
    </row>
    <row r="65">
      <c r="A65" t="inlineStr">
        <is>
          <t>Kowloon Bay Fortress</t>
        </is>
      </c>
      <c r="B65" t="inlineStr">
        <is>
          <t>Kowloon Bay Fortress</t>
        </is>
      </c>
      <c r="C65" t="inlineStr">
        <is>
          <t>Wah</t>
        </is>
      </c>
      <c r="D65" t="inlineStr">
        <is>
          <t>2026-06</t>
        </is>
      </c>
      <c r="E65" t="inlineStr">
        <is>
          <t>2026-06-21 00:00:00</t>
        </is>
      </c>
      <c r="F65" t="inlineStr">
        <is>
          <t>6910+550</t>
        </is>
      </c>
      <c r="G65" t="inlineStr">
        <is>
          <t>未分類</t>
        </is>
      </c>
      <c r="I65" t="inlineStr"/>
      <c r="J65" t="n">
        <v>1</v>
      </c>
      <c r="K65" t="n">
        <v>598</v>
      </c>
      <c r="L65" t="n">
        <v>0.03</v>
      </c>
      <c r="M65">
        <f>J65*K65*L65</f>
        <v/>
      </c>
    </row>
    <row r="66">
      <c r="A66" t="inlineStr">
        <is>
          <t>Kowloon Bay Fortress</t>
        </is>
      </c>
      <c r="B66" t="inlineStr">
        <is>
          <t>Kowloon Bay Fortress</t>
        </is>
      </c>
      <c r="C66" t="inlineStr">
        <is>
          <t>Wah</t>
        </is>
      </c>
      <c r="D66" t="inlineStr">
        <is>
          <t>2026-06</t>
        </is>
      </c>
      <c r="E66" t="inlineStr">
        <is>
          <t>2026-06-25 00:00:00</t>
        </is>
      </c>
      <c r="F66" t="inlineStr">
        <is>
          <t>6911+553</t>
        </is>
      </c>
      <c r="G66" t="inlineStr">
        <is>
          <t>未分類</t>
        </is>
      </c>
      <c r="I66" t="inlineStr"/>
      <c r="J66" t="n">
        <v>1</v>
      </c>
      <c r="K66" t="n">
        <v>598</v>
      </c>
      <c r="L66" t="n">
        <v>0.03</v>
      </c>
      <c r="M66">
        <f>J66*K66*L66</f>
        <v/>
      </c>
    </row>
    <row r="67">
      <c r="A67" t="inlineStr">
        <is>
          <t>Kowloon Bay Fortress</t>
        </is>
      </c>
      <c r="B67" t="inlineStr">
        <is>
          <t>Kowloon Bay Fortress</t>
        </is>
      </c>
      <c r="C67" t="inlineStr">
        <is>
          <t>Wah</t>
        </is>
      </c>
      <c r="D67" t="inlineStr">
        <is>
          <t>2026-06</t>
        </is>
      </c>
      <c r="E67" t="inlineStr">
        <is>
          <t>2026-06-25 00:00:00</t>
        </is>
      </c>
      <c r="F67" t="inlineStr">
        <is>
          <t>6901+541</t>
        </is>
      </c>
      <c r="G67" t="inlineStr">
        <is>
          <t>未分類</t>
        </is>
      </c>
      <c r="I67" t="inlineStr"/>
      <c r="J67" t="n">
        <v>1</v>
      </c>
      <c r="K67" t="n">
        <v>1256</v>
      </c>
      <c r="L67" t="n">
        <v>0.03</v>
      </c>
      <c r="M67">
        <f>J67*K67*L67</f>
        <v/>
      </c>
    </row>
    <row r="68">
      <c r="A68" t="inlineStr">
        <is>
          <t>Kowloon Bay Fortress</t>
        </is>
      </c>
      <c r="B68" t="inlineStr">
        <is>
          <t>Kowloon Bay Fortress</t>
        </is>
      </c>
      <c r="C68" t="inlineStr">
        <is>
          <t>Wah</t>
        </is>
      </c>
      <c r="D68" t="inlineStr">
        <is>
          <t>2026-06</t>
        </is>
      </c>
      <c r="E68" t="inlineStr">
        <is>
          <t>2026-06-26 00:00:00</t>
        </is>
      </c>
      <c r="F68" t="inlineStr">
        <is>
          <t>6910+550</t>
        </is>
      </c>
      <c r="G68" t="inlineStr">
        <is>
          <t>未分類</t>
        </is>
      </c>
      <c r="I68" t="inlineStr"/>
      <c r="J68" t="n">
        <v>1</v>
      </c>
      <c r="K68" t="n">
        <v>598</v>
      </c>
      <c r="L68" t="n">
        <v>0.03</v>
      </c>
      <c r="M68">
        <f>J68*K68*L68</f>
        <v/>
      </c>
    </row>
    <row r="69">
      <c r="A69" t="inlineStr">
        <is>
          <t>Kowloon Bay Fortress</t>
        </is>
      </c>
      <c r="B69" t="inlineStr">
        <is>
          <t>Kowloon Bay Fortress</t>
        </is>
      </c>
      <c r="C69" t="inlineStr">
        <is>
          <t>Wah</t>
        </is>
      </c>
      <c r="D69" t="inlineStr">
        <is>
          <t>2026-06</t>
        </is>
      </c>
      <c r="E69" t="inlineStr">
        <is>
          <t>2026-06-26 00:00:00</t>
        </is>
      </c>
      <c r="F69" t="inlineStr">
        <is>
          <t>3811+3911</t>
        </is>
      </c>
      <c r="G69" t="inlineStr">
        <is>
          <t>未分類</t>
        </is>
      </c>
      <c r="I69" t="inlineStr"/>
      <c r="J69" t="n">
        <v>1</v>
      </c>
      <c r="K69" t="n">
        <v>488</v>
      </c>
      <c r="L69" t="n">
        <v>0.03</v>
      </c>
      <c r="M69">
        <f>J69*K69*L69</f>
        <v/>
      </c>
    </row>
    <row r="70">
      <c r="A70" t="inlineStr">
        <is>
          <t>Kowloon Bay Fortress</t>
        </is>
      </c>
      <c r="B70" t="inlineStr">
        <is>
          <t>Kowloon Bay Fortress</t>
        </is>
      </c>
      <c r="C70" t="inlineStr">
        <is>
          <t>Wah</t>
        </is>
      </c>
      <c r="D70" t="inlineStr">
        <is>
          <t>2026-06</t>
        </is>
      </c>
      <c r="E70" t="inlineStr">
        <is>
          <t>2026-06-26 00:00:00</t>
        </is>
      </c>
      <c r="F70" t="inlineStr">
        <is>
          <t>3733+3922</t>
        </is>
      </c>
      <c r="G70" t="inlineStr">
        <is>
          <t>未分類</t>
        </is>
      </c>
      <c r="I70" t="inlineStr"/>
      <c r="J70" t="n">
        <v>1</v>
      </c>
      <c r="K70" t="n">
        <v>598</v>
      </c>
      <c r="L70" t="n">
        <v>0.03</v>
      </c>
      <c r="M70">
        <f>J70*K70*L70</f>
        <v/>
      </c>
    </row>
    <row r="71">
      <c r="A71" t="inlineStr">
        <is>
          <t>Kowloon Bay Fortress</t>
        </is>
      </c>
      <c r="B71" t="inlineStr">
        <is>
          <t>Kowloon Bay Fortress</t>
        </is>
      </c>
      <c r="C71" t="inlineStr">
        <is>
          <t>Wah</t>
        </is>
      </c>
      <c r="D71" t="inlineStr">
        <is>
          <t>2026-06</t>
        </is>
      </c>
      <c r="E71" t="inlineStr">
        <is>
          <t>2026-06-26 00:00:00</t>
        </is>
      </c>
      <c r="F71" t="inlineStr">
        <is>
          <t>2937+211</t>
        </is>
      </c>
      <c r="G71" t="inlineStr">
        <is>
          <t>未分類</t>
        </is>
      </c>
      <c r="I71" t="inlineStr"/>
      <c r="J71" t="n">
        <v>1</v>
      </c>
      <c r="K71" t="n">
        <v>316</v>
      </c>
      <c r="L71" t="n">
        <v>0.03</v>
      </c>
      <c r="M71">
        <f>J71*K71*L71</f>
        <v/>
      </c>
    </row>
    <row r="72">
      <c r="A72" t="inlineStr">
        <is>
          <t>Kowloon Bay Fortress</t>
        </is>
      </c>
      <c r="B72" t="inlineStr">
        <is>
          <t>Kowloon Bay Fortress</t>
        </is>
      </c>
      <c r="C72" t="inlineStr">
        <is>
          <t>Wah</t>
        </is>
      </c>
      <c r="D72" t="inlineStr">
        <is>
          <t>2026-06</t>
        </is>
      </c>
      <c r="E72" t="inlineStr">
        <is>
          <t>2026-06-26 00:00:00</t>
        </is>
      </c>
      <c r="F72" t="inlineStr">
        <is>
          <t>2769/97</t>
        </is>
      </c>
      <c r="G72" t="inlineStr">
        <is>
          <t>未分類</t>
        </is>
      </c>
      <c r="I72" t="inlineStr"/>
      <c r="J72" t="n">
        <v>1</v>
      </c>
      <c r="K72" t="n">
        <v>328</v>
      </c>
      <c r="L72" t="n">
        <v>0.03</v>
      </c>
      <c r="M72">
        <f>J72*K72*L72</f>
        <v/>
      </c>
    </row>
    <row r="73">
      <c r="A73" t="inlineStr">
        <is>
          <t>Kowloon Bay Fortress</t>
        </is>
      </c>
      <c r="B73" t="inlineStr">
        <is>
          <t>Kowloon Bay Fortress</t>
        </is>
      </c>
      <c r="C73" t="inlineStr">
        <is>
          <t>Wah</t>
        </is>
      </c>
      <c r="D73" t="inlineStr">
        <is>
          <t>2026-06</t>
        </is>
      </c>
      <c r="E73" t="inlineStr">
        <is>
          <t>2026-06-27 00:00:00</t>
        </is>
      </c>
      <c r="F73" t="inlineStr">
        <is>
          <t>3234/97</t>
        </is>
      </c>
      <c r="G73" t="inlineStr">
        <is>
          <t>未分類</t>
        </is>
      </c>
      <c r="I73" t="inlineStr"/>
      <c r="J73" t="n">
        <v>1</v>
      </c>
      <c r="K73" t="n">
        <v>2388</v>
      </c>
      <c r="L73" t="n">
        <v>0.03</v>
      </c>
      <c r="M73">
        <f>J73*K73*L73</f>
        <v/>
      </c>
    </row>
    <row r="74">
      <c r="A74" t="inlineStr">
        <is>
          <t>Kowloon Bay Fortress</t>
        </is>
      </c>
      <c r="B74" t="inlineStr">
        <is>
          <t>Kowloon Bay Fortress</t>
        </is>
      </c>
      <c r="C74" t="inlineStr">
        <is>
          <t>Wah</t>
        </is>
      </c>
      <c r="D74" t="inlineStr">
        <is>
          <t>2026-06</t>
        </is>
      </c>
      <c r="E74" t="inlineStr">
        <is>
          <t>2026-06-27 00:00:00</t>
        </is>
      </c>
      <c r="F74" t="inlineStr">
        <is>
          <t>3773+3922</t>
        </is>
      </c>
      <c r="G74" t="inlineStr">
        <is>
          <t>未分類</t>
        </is>
      </c>
      <c r="I74" t="inlineStr"/>
      <c r="J74" t="n">
        <v>1</v>
      </c>
      <c r="K74" t="n">
        <v>1338</v>
      </c>
      <c r="L74" t="n">
        <v>0.03</v>
      </c>
      <c r="M74">
        <f>J74*K74*L74</f>
        <v/>
      </c>
    </row>
    <row r="75">
      <c r="A75" t="inlineStr">
        <is>
          <t>Kowloon Bay Fortress</t>
        </is>
      </c>
      <c r="B75" t="inlineStr">
        <is>
          <t>Kowloon Bay Fortress</t>
        </is>
      </c>
      <c r="C75" t="inlineStr">
        <is>
          <t>Wah</t>
        </is>
      </c>
      <c r="D75" t="inlineStr">
        <is>
          <t>2026-06</t>
        </is>
      </c>
      <c r="E75" t="inlineStr">
        <is>
          <t>2026-06-27 00:00:00</t>
        </is>
      </c>
      <c r="F75" t="inlineStr">
        <is>
          <t>6901+541</t>
        </is>
      </c>
      <c r="G75" t="inlineStr">
        <is>
          <t>未分類</t>
        </is>
      </c>
      <c r="I75" t="inlineStr"/>
      <c r="J75" t="n">
        <v>1</v>
      </c>
      <c r="K75" t="n">
        <v>628</v>
      </c>
      <c r="L75" t="n">
        <v>0.03</v>
      </c>
      <c r="M75">
        <f>J75*K75*L75</f>
        <v/>
      </c>
    </row>
    <row r="76">
      <c r="A76" t="inlineStr">
        <is>
          <t>Kowloon Bay Fortress</t>
        </is>
      </c>
      <c r="B76" t="inlineStr">
        <is>
          <t>Kowloon Bay Fortress</t>
        </is>
      </c>
      <c r="C76" t="inlineStr">
        <is>
          <t>Wah</t>
        </is>
      </c>
      <c r="D76" t="inlineStr">
        <is>
          <t>2026-06</t>
        </is>
      </c>
      <c r="E76" t="inlineStr">
        <is>
          <t>2026-06-27 00:00:00</t>
        </is>
      </c>
      <c r="F76" t="inlineStr">
        <is>
          <t>3811+3911</t>
        </is>
      </c>
      <c r="G76" t="inlineStr">
        <is>
          <t>未分類</t>
        </is>
      </c>
      <c r="I76" t="inlineStr"/>
      <c r="J76" t="n">
        <v>1</v>
      </c>
      <c r="K76" t="n">
        <v>528</v>
      </c>
      <c r="L76" t="n">
        <v>0.03</v>
      </c>
      <c r="M76">
        <f>J76*K76*L76</f>
        <v/>
      </c>
    </row>
    <row r="77">
      <c r="A77" t="inlineStr">
        <is>
          <t>Kowloon Bay Fortress</t>
        </is>
      </c>
      <c r="B77" t="inlineStr">
        <is>
          <t>Kowloon Bay Fortress</t>
        </is>
      </c>
      <c r="C77" t="inlineStr">
        <is>
          <t>Wah</t>
        </is>
      </c>
      <c r="D77" t="inlineStr">
        <is>
          <t>2026-06</t>
        </is>
      </c>
      <c r="E77" t="inlineStr">
        <is>
          <t>2026-06-27 00:00:00</t>
        </is>
      </c>
      <c r="F77" t="inlineStr">
        <is>
          <t>6901+541</t>
        </is>
      </c>
      <c r="G77" t="inlineStr">
        <is>
          <t>未分類</t>
        </is>
      </c>
      <c r="I77" t="inlineStr"/>
      <c r="J77" t="n">
        <v>1</v>
      </c>
      <c r="K77" t="n">
        <v>1899</v>
      </c>
      <c r="L77" t="n">
        <v>0.03</v>
      </c>
      <c r="M77">
        <f>J77*K77*L77</f>
        <v/>
      </c>
    </row>
    <row r="78">
      <c r="A78" t="inlineStr">
        <is>
          <t>Kowloon Bay Fortress</t>
        </is>
      </c>
      <c r="B78" t="inlineStr">
        <is>
          <t>Kowloon Bay Fortress</t>
        </is>
      </c>
      <c r="C78" t="inlineStr">
        <is>
          <t>Wah</t>
        </is>
      </c>
      <c r="D78" t="inlineStr">
        <is>
          <t>2026-06</t>
        </is>
      </c>
      <c r="E78" t="inlineStr">
        <is>
          <t>2026-06-28 00:00:00</t>
        </is>
      </c>
      <c r="F78" t="inlineStr">
        <is>
          <t>6901+541</t>
        </is>
      </c>
      <c r="G78" t="inlineStr">
        <is>
          <t>未分類</t>
        </is>
      </c>
      <c r="I78" t="inlineStr"/>
      <c r="J78" t="n">
        <v>1</v>
      </c>
      <c r="K78" t="n">
        <v>628</v>
      </c>
      <c r="L78" t="n">
        <v>0.03</v>
      </c>
      <c r="M78">
        <f>J78*K78*L78</f>
        <v/>
      </c>
    </row>
    <row r="79">
      <c r="A79" t="inlineStr">
        <is>
          <t>Kowloon Bay Fortress</t>
        </is>
      </c>
      <c r="B79" t="inlineStr">
        <is>
          <t>Kowloon Bay Fortress</t>
        </is>
      </c>
      <c r="C79" t="inlineStr">
        <is>
          <t>Wah</t>
        </is>
      </c>
      <c r="D79" t="inlineStr">
        <is>
          <t>2026-06</t>
        </is>
      </c>
      <c r="E79" t="inlineStr">
        <is>
          <t>2026-06-28 00:00:00</t>
        </is>
      </c>
      <c r="F79" t="inlineStr">
        <is>
          <t>6911+553</t>
        </is>
      </c>
      <c r="G79" t="inlineStr">
        <is>
          <t>未分類</t>
        </is>
      </c>
      <c r="I79" t="inlineStr"/>
      <c r="J79" t="n">
        <v>1</v>
      </c>
      <c r="K79" t="n">
        <v>598</v>
      </c>
      <c r="L79" t="n">
        <v>0.03</v>
      </c>
      <c r="M79">
        <f>J79*K79*L79</f>
        <v/>
      </c>
    </row>
    <row r="80">
      <c r="A80" t="inlineStr">
        <is>
          <t>Kowloon Bay Fortress</t>
        </is>
      </c>
      <c r="B80" t="inlineStr">
        <is>
          <t>Kowloon Bay Fortress</t>
        </is>
      </c>
      <c r="C80" t="inlineStr">
        <is>
          <t>Wah</t>
        </is>
      </c>
      <c r="D80" t="inlineStr">
        <is>
          <t>2026-06</t>
        </is>
      </c>
      <c r="E80" t="inlineStr">
        <is>
          <t>2026-06-28 00:00:00</t>
        </is>
      </c>
      <c r="F80" t="inlineStr">
        <is>
          <t>3773+3922</t>
        </is>
      </c>
      <c r="G80" t="inlineStr">
        <is>
          <t>未分類</t>
        </is>
      </c>
      <c r="I80" t="inlineStr"/>
      <c r="J80" t="n">
        <v>1</v>
      </c>
      <c r="K80" t="n">
        <v>1338</v>
      </c>
      <c r="L80" t="n">
        <v>0.03</v>
      </c>
      <c r="M80">
        <f>J80*K80*L80</f>
        <v/>
      </c>
    </row>
    <row r="81">
      <c r="A81" t="inlineStr">
        <is>
          <t>Kowloon Bay Fortress</t>
        </is>
      </c>
      <c r="B81" t="inlineStr">
        <is>
          <t>Kowloon Bay Fortress</t>
        </is>
      </c>
      <c r="C81" t="inlineStr">
        <is>
          <t>Wah</t>
        </is>
      </c>
      <c r="D81" t="inlineStr">
        <is>
          <t>2026-06</t>
        </is>
      </c>
      <c r="E81" t="inlineStr">
        <is>
          <t>2026-06-28 00:00:00</t>
        </is>
      </c>
      <c r="F81" t="inlineStr">
        <is>
          <t>6901+541</t>
        </is>
      </c>
      <c r="G81" t="inlineStr">
        <is>
          <t>未分類</t>
        </is>
      </c>
      <c r="I81" t="inlineStr"/>
      <c r="J81" t="n">
        <v>1</v>
      </c>
      <c r="K81" t="n">
        <v>1899</v>
      </c>
      <c r="L81" t="n">
        <v>0.03</v>
      </c>
      <c r="M81">
        <f>J81*K81*L81</f>
        <v/>
      </c>
    </row>
    <row r="82">
      <c r="A82" t="inlineStr">
        <is>
          <t>Kowloon Bay Fortress</t>
        </is>
      </c>
      <c r="B82" t="inlineStr">
        <is>
          <t>Kowloon Bay Fortress</t>
        </is>
      </c>
      <c r="C82" t="inlineStr">
        <is>
          <t>Wah</t>
        </is>
      </c>
      <c r="D82" t="inlineStr">
        <is>
          <t>2026-06</t>
        </is>
      </c>
      <c r="E82" t="inlineStr">
        <is>
          <t>2026-06-28 00:00:00</t>
        </is>
      </c>
      <c r="F82" t="inlineStr">
        <is>
          <t>3812+3922</t>
        </is>
      </c>
      <c r="G82" t="inlineStr">
        <is>
          <t>未分類</t>
        </is>
      </c>
      <c r="I82" t="inlineStr"/>
      <c r="J82" t="n">
        <v>1</v>
      </c>
      <c r="K82" t="n">
        <v>798</v>
      </c>
      <c r="L82" t="n">
        <v>0.03</v>
      </c>
      <c r="M82">
        <f>J82*K82*L82</f>
        <v/>
      </c>
    </row>
    <row r="83">
      <c r="A83" t="inlineStr">
        <is>
          <t>Kowloon Bay Fortress</t>
        </is>
      </c>
      <c r="B83" t="inlineStr">
        <is>
          <t>Kowloon Bay Fortress</t>
        </is>
      </c>
      <c r="C83" t="inlineStr">
        <is>
          <t>Wah</t>
        </is>
      </c>
      <c r="D83" t="inlineStr">
        <is>
          <t>2026-06</t>
        </is>
      </c>
      <c r="E83" t="inlineStr">
        <is>
          <t>2026-06-28 00:00:00</t>
        </is>
      </c>
      <c r="F83" t="inlineStr">
        <is>
          <t>3733+3922</t>
        </is>
      </c>
      <c r="G83" t="inlineStr">
        <is>
          <t>未分類</t>
        </is>
      </c>
      <c r="I83" t="inlineStr"/>
      <c r="J83" t="n">
        <v>1</v>
      </c>
      <c r="K83" t="n">
        <v>598</v>
      </c>
      <c r="L83" t="n">
        <v>0.03</v>
      </c>
      <c r="M83">
        <f>J83*K83*L83</f>
        <v/>
      </c>
    </row>
    <row r="84">
      <c r="A84" t="inlineStr">
        <is>
          <t>Tai Wan Fortress</t>
        </is>
      </c>
      <c r="B84" t="inlineStr">
        <is>
          <t>Tai Wan Fortress</t>
        </is>
      </c>
      <c r="C84" t="inlineStr">
        <is>
          <t>Rebacca</t>
        </is>
      </c>
      <c r="D84" t="inlineStr">
        <is>
          <t>2026-06</t>
        </is>
      </c>
      <c r="E84" t="inlineStr">
        <is>
          <t>2026-06-05 00:00:00</t>
        </is>
      </c>
      <c r="F84" t="inlineStr">
        <is>
          <t>6910+550</t>
        </is>
      </c>
      <c r="G84" t="inlineStr">
        <is>
          <t>未分類</t>
        </is>
      </c>
      <c r="I84" t="inlineStr"/>
      <c r="J84" t="n">
        <v>1</v>
      </c>
      <c r="K84" t="n">
        <v>598</v>
      </c>
      <c r="L84" t="n">
        <v>0.03</v>
      </c>
      <c r="M84">
        <f>J84*K84*L84</f>
        <v/>
      </c>
    </row>
    <row r="85">
      <c r="A85" t="inlineStr">
        <is>
          <t>Tai Wan Fortress</t>
        </is>
      </c>
      <c r="B85" t="inlineStr">
        <is>
          <t>Tai Wan Fortress</t>
        </is>
      </c>
      <c r="C85" t="inlineStr">
        <is>
          <t>Rebacca</t>
        </is>
      </c>
      <c r="D85" t="inlineStr">
        <is>
          <t>2026-06</t>
        </is>
      </c>
      <c r="E85" t="inlineStr">
        <is>
          <t>2026-06-06 00:00:00</t>
        </is>
      </c>
      <c r="F85" t="inlineStr">
        <is>
          <t>3733+3922</t>
        </is>
      </c>
      <c r="G85" t="inlineStr">
        <is>
          <t>未分類</t>
        </is>
      </c>
      <c r="I85" t="inlineStr"/>
      <c r="J85" t="n">
        <v>1</v>
      </c>
      <c r="K85" t="n">
        <v>598</v>
      </c>
      <c r="L85" t="n">
        <v>0.03</v>
      </c>
      <c r="M85">
        <f>J85*K85*L85</f>
        <v/>
      </c>
    </row>
    <row r="86">
      <c r="A86" t="inlineStr">
        <is>
          <t>Tai Wan Fortress</t>
        </is>
      </c>
      <c r="B86" t="inlineStr">
        <is>
          <t>Tai Wan Fortress</t>
        </is>
      </c>
      <c r="C86" t="inlineStr">
        <is>
          <t>Rebacca</t>
        </is>
      </c>
      <c r="D86" t="inlineStr">
        <is>
          <t>2026-06</t>
        </is>
      </c>
      <c r="E86" t="inlineStr">
        <is>
          <t>2026-06-06 00:00:00</t>
        </is>
      </c>
      <c r="F86" t="inlineStr">
        <is>
          <t>3733+3922</t>
        </is>
      </c>
      <c r="G86" t="inlineStr">
        <is>
          <t>未分類</t>
        </is>
      </c>
      <c r="I86" t="inlineStr"/>
      <c r="J86" t="n">
        <v>1</v>
      </c>
      <c r="K86" t="n">
        <v>598</v>
      </c>
      <c r="L86" t="n">
        <v>0.03</v>
      </c>
      <c r="M86">
        <f>J86*K86*L86</f>
        <v/>
      </c>
    </row>
    <row r="87">
      <c r="A87" t="inlineStr">
        <is>
          <t>Tai Wan Fortress</t>
        </is>
      </c>
      <c r="B87" t="inlineStr">
        <is>
          <t>Tai Wan Fortress</t>
        </is>
      </c>
      <c r="C87" t="inlineStr">
        <is>
          <t>Rebacca</t>
        </is>
      </c>
      <c r="D87" t="inlineStr">
        <is>
          <t>2026-06</t>
        </is>
      </c>
      <c r="E87" t="inlineStr">
        <is>
          <t>2026-06-06 00:00:00</t>
        </is>
      </c>
      <c r="F87" t="inlineStr">
        <is>
          <t>3733+3922</t>
        </is>
      </c>
      <c r="G87" t="inlineStr">
        <is>
          <t>未分類</t>
        </is>
      </c>
      <c r="I87" t="inlineStr"/>
      <c r="J87" t="n">
        <v>1</v>
      </c>
      <c r="K87" t="n">
        <v>598</v>
      </c>
      <c r="L87" t="n">
        <v>0.03</v>
      </c>
      <c r="M87">
        <f>J87*K87*L87</f>
        <v/>
      </c>
    </row>
    <row r="88">
      <c r="A88" t="inlineStr">
        <is>
          <t>Tai Wan Fortress</t>
        </is>
      </c>
      <c r="B88" t="inlineStr">
        <is>
          <t>Tai Wan Fortress</t>
        </is>
      </c>
      <c r="C88" t="inlineStr">
        <is>
          <t>Rebacca</t>
        </is>
      </c>
      <c r="D88" t="inlineStr">
        <is>
          <t>2026-06</t>
        </is>
      </c>
      <c r="E88" t="inlineStr">
        <is>
          <t>2026-06-07 00:00:00</t>
        </is>
      </c>
      <c r="F88" t="inlineStr">
        <is>
          <t>3812/00</t>
        </is>
      </c>
      <c r="G88" t="inlineStr">
        <is>
          <t>未分類</t>
        </is>
      </c>
      <c r="I88" t="inlineStr"/>
      <c r="J88" t="n">
        <v>1</v>
      </c>
      <c r="K88" t="n">
        <v>798</v>
      </c>
      <c r="L88" t="n">
        <v>0.03</v>
      </c>
      <c r="M88">
        <f>J88*K88*L88</f>
        <v/>
      </c>
    </row>
    <row r="89">
      <c r="A89" t="inlineStr">
        <is>
          <t>Tai Wan Fortress</t>
        </is>
      </c>
      <c r="B89" t="inlineStr">
        <is>
          <t>Tai Wan Fortress</t>
        </is>
      </c>
      <c r="C89" t="inlineStr">
        <is>
          <t>Rebacca</t>
        </is>
      </c>
      <c r="D89" t="inlineStr">
        <is>
          <t>2026-06</t>
        </is>
      </c>
      <c r="E89" t="inlineStr">
        <is>
          <t>2026-06-07 00:00:00</t>
        </is>
      </c>
      <c r="F89" t="inlineStr">
        <is>
          <t>3733+3922</t>
        </is>
      </c>
      <c r="G89" t="inlineStr">
        <is>
          <t>未分類</t>
        </is>
      </c>
      <c r="I89" t="inlineStr"/>
      <c r="J89" t="n">
        <v>1</v>
      </c>
      <c r="K89" t="n">
        <v>598</v>
      </c>
      <c r="L89" t="n">
        <v>0.03</v>
      </c>
      <c r="M89">
        <f>J89*K89*L89</f>
        <v/>
      </c>
    </row>
    <row r="90">
      <c r="A90" t="inlineStr">
        <is>
          <t>Tai Wan Fortress</t>
        </is>
      </c>
      <c r="B90" t="inlineStr">
        <is>
          <t>Tai Wan Fortress</t>
        </is>
      </c>
      <c r="C90" t="inlineStr">
        <is>
          <t>Rebacca</t>
        </is>
      </c>
      <c r="D90" t="inlineStr">
        <is>
          <t>2026-06</t>
        </is>
      </c>
      <c r="E90" t="inlineStr">
        <is>
          <t>2026-06-07 00:00:00</t>
        </is>
      </c>
      <c r="F90" t="inlineStr">
        <is>
          <t>3812/00</t>
        </is>
      </c>
      <c r="G90" t="inlineStr">
        <is>
          <t>未分類</t>
        </is>
      </c>
      <c r="I90" t="inlineStr"/>
      <c r="J90" t="n">
        <v>1</v>
      </c>
      <c r="K90" t="n">
        <v>798</v>
      </c>
      <c r="L90" t="n">
        <v>0.03</v>
      </c>
      <c r="M90">
        <f>J90*K90*L90</f>
        <v/>
      </c>
    </row>
    <row r="91">
      <c r="A91" t="inlineStr">
        <is>
          <t>Tai Wan Fortress</t>
        </is>
      </c>
      <c r="B91" t="inlineStr">
        <is>
          <t>Tai Wan Fortress</t>
        </is>
      </c>
      <c r="C91" t="inlineStr">
        <is>
          <t>Rebacca</t>
        </is>
      </c>
      <c r="D91" t="inlineStr">
        <is>
          <t>2026-06</t>
        </is>
      </c>
      <c r="E91" t="inlineStr">
        <is>
          <t>2026-06-07 00:00:00</t>
        </is>
      </c>
      <c r="F91" t="inlineStr">
        <is>
          <t>3733+3922</t>
        </is>
      </c>
      <c r="G91" t="inlineStr">
        <is>
          <t>未分類</t>
        </is>
      </c>
      <c r="I91" t="inlineStr"/>
      <c r="J91" t="n">
        <v>1</v>
      </c>
      <c r="K91" t="n">
        <v>598</v>
      </c>
      <c r="L91" t="n">
        <v>0.03</v>
      </c>
      <c r="M91">
        <f>J91*K91*L91</f>
        <v/>
      </c>
    </row>
    <row r="92">
      <c r="A92" t="inlineStr">
        <is>
          <t>Tai Wan Fortress</t>
        </is>
      </c>
      <c r="B92" t="inlineStr">
        <is>
          <t>Tai Wan Fortress</t>
        </is>
      </c>
      <c r="C92" t="inlineStr">
        <is>
          <t>Rebacca</t>
        </is>
      </c>
      <c r="D92" t="inlineStr">
        <is>
          <t>2026-06</t>
        </is>
      </c>
      <c r="E92" t="inlineStr">
        <is>
          <t>2026-06-07 00:00:00</t>
        </is>
      </c>
      <c r="F92" t="inlineStr">
        <is>
          <t>6901+541</t>
        </is>
      </c>
      <c r="G92" t="inlineStr">
        <is>
          <t>未分類</t>
        </is>
      </c>
      <c r="I92" t="inlineStr"/>
      <c r="J92" t="n">
        <v>1</v>
      </c>
      <c r="K92" t="n">
        <v>628</v>
      </c>
      <c r="L92" t="n">
        <v>0.03</v>
      </c>
      <c r="M92">
        <f>J92*K92*L92</f>
        <v/>
      </c>
    </row>
    <row r="93">
      <c r="A93" t="inlineStr">
        <is>
          <t>Tai Wan Fortress</t>
        </is>
      </c>
      <c r="B93" t="inlineStr">
        <is>
          <t>Tai Wan Fortress</t>
        </is>
      </c>
      <c r="C93" t="inlineStr">
        <is>
          <t>Rebacca</t>
        </is>
      </c>
      <c r="D93" t="inlineStr">
        <is>
          <t>2026-06</t>
        </is>
      </c>
      <c r="E93" t="inlineStr">
        <is>
          <t>2026-06-12 00:00:00</t>
        </is>
      </c>
      <c r="F93" t="inlineStr">
        <is>
          <t>6910+550</t>
        </is>
      </c>
      <c r="G93" t="inlineStr">
        <is>
          <t>未分類</t>
        </is>
      </c>
      <c r="I93" t="inlineStr"/>
      <c r="J93" t="n">
        <v>2</v>
      </c>
      <c r="K93" t="n">
        <v>598</v>
      </c>
      <c r="L93" t="n">
        <v>0.03</v>
      </c>
      <c r="M93">
        <f>J93*K93*L93</f>
        <v/>
      </c>
    </row>
    <row r="94">
      <c r="A94" t="inlineStr">
        <is>
          <t>Tai Wan Fortress</t>
        </is>
      </c>
      <c r="B94" t="inlineStr">
        <is>
          <t>Tai Wan Fortress</t>
        </is>
      </c>
      <c r="C94" t="inlineStr">
        <is>
          <t>Rebacca</t>
        </is>
      </c>
      <c r="D94" t="inlineStr">
        <is>
          <t>2026-06</t>
        </is>
      </c>
      <c r="E94" t="inlineStr">
        <is>
          <t>2026-06-13 00:00:00</t>
        </is>
      </c>
      <c r="F94" t="inlineStr">
        <is>
          <t>3733+3922</t>
        </is>
      </c>
      <c r="G94" t="inlineStr">
        <is>
          <t>未分類</t>
        </is>
      </c>
      <c r="I94" t="inlineStr"/>
      <c r="J94" t="n">
        <v>1</v>
      </c>
      <c r="K94" t="n">
        <v>898</v>
      </c>
      <c r="L94" t="n">
        <v>0.03</v>
      </c>
      <c r="M94">
        <f>J94*K94*L94</f>
        <v/>
      </c>
    </row>
    <row r="95">
      <c r="A95" t="inlineStr">
        <is>
          <t>Tai Wan Fortress</t>
        </is>
      </c>
      <c r="B95" t="inlineStr">
        <is>
          <t>Tai Wan Fortress</t>
        </is>
      </c>
      <c r="C95" t="inlineStr">
        <is>
          <t>Rebacca</t>
        </is>
      </c>
      <c r="D95" t="inlineStr">
        <is>
          <t>2026-06</t>
        </is>
      </c>
      <c r="E95" t="inlineStr">
        <is>
          <t>2026-06-13 00:00:00</t>
        </is>
      </c>
      <c r="F95" t="inlineStr">
        <is>
          <t>A3983</t>
        </is>
      </c>
      <c r="G95" t="inlineStr">
        <is>
          <t>未分類</t>
        </is>
      </c>
      <c r="I95" t="inlineStr"/>
      <c r="J95" t="n">
        <v>1</v>
      </c>
      <c r="K95" t="n">
        <v>593</v>
      </c>
      <c r="L95" t="n">
        <v>0.03</v>
      </c>
      <c r="M95">
        <f>J95*K95*L95</f>
        <v/>
      </c>
    </row>
    <row r="96">
      <c r="A96" t="inlineStr">
        <is>
          <t>Tai Wan Fortress</t>
        </is>
      </c>
      <c r="B96" t="inlineStr">
        <is>
          <t>Tai Wan Fortress</t>
        </is>
      </c>
      <c r="C96" t="inlineStr">
        <is>
          <t>Rebacca</t>
        </is>
      </c>
      <c r="D96" t="inlineStr">
        <is>
          <t>2026-06</t>
        </is>
      </c>
      <c r="E96" t="inlineStr">
        <is>
          <t>2026-06-13 00:00:00</t>
        </is>
      </c>
      <c r="F96" t="inlineStr">
        <is>
          <t>3902/00</t>
        </is>
      </c>
      <c r="G96" t="inlineStr">
        <is>
          <t>未分類</t>
        </is>
      </c>
      <c r="I96" t="inlineStr"/>
      <c r="J96" t="n">
        <v>1</v>
      </c>
      <c r="K96" t="n">
        <v>558</v>
      </c>
      <c r="L96" t="n">
        <v>0.03</v>
      </c>
      <c r="M96">
        <f>J96*K96*L96</f>
        <v/>
      </c>
    </row>
    <row r="97">
      <c r="A97" t="inlineStr">
        <is>
          <t>Tai Wan Fortress</t>
        </is>
      </c>
      <c r="B97" t="inlineStr">
        <is>
          <t>Tai Wan Fortress</t>
        </is>
      </c>
      <c r="C97" t="inlineStr">
        <is>
          <t>Rebacca</t>
        </is>
      </c>
      <c r="D97" t="inlineStr">
        <is>
          <t>2026-06</t>
        </is>
      </c>
      <c r="E97" t="inlineStr">
        <is>
          <t>2026-06-14 00:00:00</t>
        </is>
      </c>
      <c r="F97" t="inlineStr">
        <is>
          <t>6910+550</t>
        </is>
      </c>
      <c r="G97" t="inlineStr">
        <is>
          <t>未分類</t>
        </is>
      </c>
      <c r="I97" t="inlineStr"/>
      <c r="J97" t="n">
        <v>1</v>
      </c>
      <c r="K97" t="n">
        <v>598</v>
      </c>
      <c r="L97" t="n">
        <v>0.03</v>
      </c>
      <c r="M97">
        <f>J97*K97*L97</f>
        <v/>
      </c>
    </row>
    <row r="98">
      <c r="A98" t="inlineStr">
        <is>
          <t>Tai Wan Fortress</t>
        </is>
      </c>
      <c r="B98" t="inlineStr">
        <is>
          <t>Tai Wan Fortress</t>
        </is>
      </c>
      <c r="C98" t="inlineStr">
        <is>
          <t>Rebacca</t>
        </is>
      </c>
      <c r="D98" t="inlineStr">
        <is>
          <t>2026-06</t>
        </is>
      </c>
      <c r="E98" t="inlineStr">
        <is>
          <t>2026-06-14 00:00:00</t>
        </is>
      </c>
      <c r="F98" t="inlineStr">
        <is>
          <t>6910+550</t>
        </is>
      </c>
      <c r="G98" t="inlineStr">
        <is>
          <t>未分類</t>
        </is>
      </c>
      <c r="I98" t="inlineStr"/>
      <c r="J98" t="n">
        <v>1</v>
      </c>
      <c r="K98" t="n">
        <v>598</v>
      </c>
      <c r="L98" t="n">
        <v>0.03</v>
      </c>
      <c r="M98">
        <f>J98*K98*L98</f>
        <v/>
      </c>
    </row>
    <row r="99">
      <c r="A99" t="inlineStr">
        <is>
          <t>Tai Wan Fortress</t>
        </is>
      </c>
      <c r="B99" t="inlineStr">
        <is>
          <t>Tai Wan Fortress</t>
        </is>
      </c>
      <c r="C99" t="inlineStr">
        <is>
          <t>Rebacca</t>
        </is>
      </c>
      <c r="D99" t="inlineStr">
        <is>
          <t>2026-06</t>
        </is>
      </c>
      <c r="E99" t="inlineStr">
        <is>
          <t>2026-06-14 00:00:00</t>
        </is>
      </c>
      <c r="F99" t="inlineStr">
        <is>
          <t>6910+550</t>
        </is>
      </c>
      <c r="G99" t="inlineStr">
        <is>
          <t>未分類</t>
        </is>
      </c>
      <c r="I99" t="inlineStr"/>
      <c r="J99" t="n">
        <v>1</v>
      </c>
      <c r="K99" t="n">
        <v>598</v>
      </c>
      <c r="L99" t="n">
        <v>0.03</v>
      </c>
      <c r="M99">
        <f>J99*K99*L99</f>
        <v/>
      </c>
    </row>
    <row r="100">
      <c r="A100" t="inlineStr">
        <is>
          <t>Tai Wan Fortress</t>
        </is>
      </c>
      <c r="B100" t="inlineStr">
        <is>
          <t>Tai Wan Fortress</t>
        </is>
      </c>
      <c r="C100" t="inlineStr">
        <is>
          <t>Rebacca</t>
        </is>
      </c>
      <c r="D100" t="inlineStr">
        <is>
          <t>2026-06</t>
        </is>
      </c>
      <c r="E100" t="inlineStr">
        <is>
          <t>2026-06-19 00:00:00</t>
        </is>
      </c>
      <c r="F100" t="inlineStr">
        <is>
          <t>6901+541</t>
        </is>
      </c>
      <c r="G100" t="inlineStr">
        <is>
          <t>未分類</t>
        </is>
      </c>
      <c r="I100" t="inlineStr"/>
      <c r="J100" t="n">
        <v>1</v>
      </c>
      <c r="K100" t="n">
        <v>628</v>
      </c>
      <c r="L100" t="n">
        <v>0.03</v>
      </c>
      <c r="M100">
        <f>J100*K100*L100</f>
        <v/>
      </c>
    </row>
    <row r="101">
      <c r="A101" t="inlineStr">
        <is>
          <t>Tai Wan Fortress</t>
        </is>
      </c>
      <c r="B101" t="inlineStr">
        <is>
          <t>Tai Wan Fortress</t>
        </is>
      </c>
      <c r="C101" t="inlineStr">
        <is>
          <t>Rebacca</t>
        </is>
      </c>
      <c r="D101" t="inlineStr">
        <is>
          <t>2026-06</t>
        </is>
      </c>
      <c r="E101" t="inlineStr">
        <is>
          <t>2026-06-19 00:00:00</t>
        </is>
      </c>
      <c r="F101" t="inlineStr">
        <is>
          <t>3780/97</t>
        </is>
      </c>
      <c r="G101" t="inlineStr">
        <is>
          <t>未分類</t>
        </is>
      </c>
      <c r="I101" t="inlineStr"/>
      <c r="J101" t="n">
        <v>1</v>
      </c>
      <c r="K101" t="n">
        <v>1188</v>
      </c>
      <c r="L101" t="n">
        <v>0.03</v>
      </c>
      <c r="M101">
        <f>J101*K101*L101</f>
        <v/>
      </c>
    </row>
    <row r="102">
      <c r="A102" t="inlineStr">
        <is>
          <t>Tai Wan Fortress</t>
        </is>
      </c>
      <c r="B102" t="inlineStr">
        <is>
          <t>Tai Wan Fortress</t>
        </is>
      </c>
      <c r="C102" t="inlineStr">
        <is>
          <t>Rebacca</t>
        </is>
      </c>
      <c r="D102" t="inlineStr">
        <is>
          <t>2026-06</t>
        </is>
      </c>
      <c r="E102" t="inlineStr">
        <is>
          <t>2026-06-19 00:00:00</t>
        </is>
      </c>
      <c r="F102" t="inlineStr">
        <is>
          <t>2769/97</t>
        </is>
      </c>
      <c r="G102" t="inlineStr">
        <is>
          <t>未分類</t>
        </is>
      </c>
      <c r="I102" t="inlineStr"/>
      <c r="J102" t="n">
        <v>1</v>
      </c>
      <c r="K102" t="n">
        <v>328</v>
      </c>
      <c r="L102" t="n">
        <v>0.03</v>
      </c>
      <c r="M102">
        <f>J102*K102*L102</f>
        <v/>
      </c>
    </row>
    <row r="103">
      <c r="A103" t="inlineStr">
        <is>
          <t>Tai Wan Fortress</t>
        </is>
      </c>
      <c r="B103" t="inlineStr">
        <is>
          <t>Tai Wan Fortress</t>
        </is>
      </c>
      <c r="C103" t="inlineStr">
        <is>
          <t>Rebacca</t>
        </is>
      </c>
      <c r="D103" t="inlineStr">
        <is>
          <t>2026-06</t>
        </is>
      </c>
      <c r="E103" t="inlineStr">
        <is>
          <t>2026-06-19 00:00:00</t>
        </is>
      </c>
      <c r="F103" t="inlineStr">
        <is>
          <t>2769/97</t>
        </is>
      </c>
      <c r="G103" t="inlineStr">
        <is>
          <t>未分類</t>
        </is>
      </c>
      <c r="I103" t="inlineStr"/>
      <c r="J103" t="n">
        <v>1</v>
      </c>
      <c r="K103" t="n">
        <v>328</v>
      </c>
      <c r="L103" t="n">
        <v>0.03</v>
      </c>
      <c r="M103">
        <f>J103*K103*L103</f>
        <v/>
      </c>
    </row>
    <row r="104">
      <c r="A104" t="inlineStr">
        <is>
          <t>Tai Wan Fortress</t>
        </is>
      </c>
      <c r="B104" t="inlineStr">
        <is>
          <t>Tai Wan Fortress</t>
        </is>
      </c>
      <c r="C104" t="inlineStr">
        <is>
          <t>Rebacca</t>
        </is>
      </c>
      <c r="D104" t="inlineStr">
        <is>
          <t>2026-06</t>
        </is>
      </c>
      <c r="E104" t="inlineStr">
        <is>
          <t>2026-06-20 00:00:00</t>
        </is>
      </c>
      <c r="F104" t="inlineStr">
        <is>
          <t>6901+541</t>
        </is>
      </c>
      <c r="G104" t="inlineStr">
        <is>
          <t>未分類</t>
        </is>
      </c>
      <c r="I104" t="inlineStr"/>
      <c r="J104" t="n">
        <v>1</v>
      </c>
      <c r="K104" t="n">
        <v>1899</v>
      </c>
      <c r="L104" t="n">
        <v>0.03</v>
      </c>
      <c r="M104">
        <f>J104*K104*L104</f>
        <v/>
      </c>
    </row>
    <row r="105">
      <c r="A105" t="inlineStr">
        <is>
          <t>Tai Wan Fortress</t>
        </is>
      </c>
      <c r="B105" t="inlineStr">
        <is>
          <t>Tai Wan Fortress</t>
        </is>
      </c>
      <c r="C105" t="inlineStr">
        <is>
          <t>Rebacca</t>
        </is>
      </c>
      <c r="D105" t="inlineStr">
        <is>
          <t>2026-06</t>
        </is>
      </c>
      <c r="E105" t="inlineStr">
        <is>
          <t>2026-06-20 00:00:00</t>
        </is>
      </c>
      <c r="F105" t="inlineStr">
        <is>
          <t>3733+3922</t>
        </is>
      </c>
      <c r="G105" t="inlineStr">
        <is>
          <t>未分類</t>
        </is>
      </c>
      <c r="I105" t="inlineStr"/>
      <c r="J105" t="n">
        <v>1</v>
      </c>
      <c r="K105" t="n">
        <v>598</v>
      </c>
      <c r="L105" t="n">
        <v>0.03</v>
      </c>
      <c r="M105">
        <f>J105*K105*L105</f>
        <v/>
      </c>
    </row>
    <row r="106">
      <c r="A106" t="inlineStr">
        <is>
          <t>Tai Wan Fortress</t>
        </is>
      </c>
      <c r="B106" t="inlineStr">
        <is>
          <t>Tai Wan Fortress</t>
        </is>
      </c>
      <c r="C106" t="inlineStr">
        <is>
          <t>Rebacca</t>
        </is>
      </c>
      <c r="D106" t="inlineStr">
        <is>
          <t>2026-06</t>
        </is>
      </c>
      <c r="E106" t="inlineStr">
        <is>
          <t>2026-06-21 00:00:00</t>
        </is>
      </c>
      <c r="F106" t="inlineStr">
        <is>
          <t>6910/90</t>
        </is>
      </c>
      <c r="G106" t="inlineStr">
        <is>
          <t>未分類</t>
        </is>
      </c>
      <c r="I106" t="inlineStr"/>
      <c r="J106" t="n">
        <v>1</v>
      </c>
      <c r="K106" t="n">
        <v>2388</v>
      </c>
      <c r="L106" t="n">
        <v>0.03</v>
      </c>
      <c r="M106">
        <f>J106*K106*L106</f>
        <v/>
      </c>
    </row>
    <row r="107">
      <c r="A107" t="inlineStr">
        <is>
          <t>Tai Wan Fortress</t>
        </is>
      </c>
      <c r="B107" t="inlineStr">
        <is>
          <t>Tai Wan Fortress</t>
        </is>
      </c>
      <c r="C107" t="inlineStr">
        <is>
          <t>Rebacca</t>
        </is>
      </c>
      <c r="D107" t="inlineStr">
        <is>
          <t>2026-06</t>
        </is>
      </c>
      <c r="E107" t="inlineStr">
        <is>
          <t>2026-06-21 00:00:00</t>
        </is>
      </c>
      <c r="F107" t="inlineStr">
        <is>
          <t>6920WH</t>
        </is>
      </c>
      <c r="G107" t="inlineStr">
        <is>
          <t>未分類</t>
        </is>
      </c>
      <c r="I107" t="inlineStr"/>
      <c r="J107" t="n">
        <v>1</v>
      </c>
      <c r="K107" t="n">
        <v>3588</v>
      </c>
      <c r="L107" t="n">
        <v>0.03</v>
      </c>
      <c r="M107">
        <f>J107*K107*L107</f>
        <v/>
      </c>
    </row>
    <row r="108">
      <c r="A108" t="inlineStr">
        <is>
          <t>Tai Wan Fortress</t>
        </is>
      </c>
      <c r="B108" t="inlineStr">
        <is>
          <t>Tai Wan Fortress</t>
        </is>
      </c>
      <c r="C108" t="inlineStr">
        <is>
          <t>Rebacca</t>
        </is>
      </c>
      <c r="D108" t="inlineStr">
        <is>
          <t>2026-06</t>
        </is>
      </c>
      <c r="E108" t="inlineStr">
        <is>
          <t>2026-06-21 00:00:00</t>
        </is>
      </c>
      <c r="F108" t="inlineStr">
        <is>
          <t>6901+541</t>
        </is>
      </c>
      <c r="G108" t="inlineStr">
        <is>
          <t>未分類</t>
        </is>
      </c>
      <c r="I108" t="inlineStr"/>
      <c r="J108" t="n">
        <v>1</v>
      </c>
      <c r="K108" t="n">
        <v>628</v>
      </c>
      <c r="L108" t="n">
        <v>0.03</v>
      </c>
      <c r="M108">
        <f>J108*K108*L108</f>
        <v/>
      </c>
    </row>
    <row r="109">
      <c r="A109" t="inlineStr">
        <is>
          <t>Tai Wan Fortress</t>
        </is>
      </c>
      <c r="B109" t="inlineStr">
        <is>
          <t>Tai Wan Fortress</t>
        </is>
      </c>
      <c r="C109" t="inlineStr">
        <is>
          <t>Rebacca</t>
        </is>
      </c>
      <c r="D109" t="inlineStr">
        <is>
          <t>2026-06</t>
        </is>
      </c>
      <c r="E109" t="inlineStr">
        <is>
          <t>2026-06-26 00:00:00</t>
        </is>
      </c>
      <c r="F109" t="inlineStr">
        <is>
          <t>6901+541</t>
        </is>
      </c>
      <c r="G109" t="inlineStr">
        <is>
          <t>未分類</t>
        </is>
      </c>
      <c r="I109" t="inlineStr"/>
      <c r="J109" t="n">
        <v>1</v>
      </c>
      <c r="K109" t="n">
        <v>1898</v>
      </c>
      <c r="L109" t="n">
        <v>0.03</v>
      </c>
      <c r="M109">
        <f>J109*K109*L109</f>
        <v/>
      </c>
    </row>
    <row r="110">
      <c r="A110" t="inlineStr">
        <is>
          <t>Tai Wan Fortress</t>
        </is>
      </c>
      <c r="B110" t="inlineStr">
        <is>
          <t>Tai Wan Fortress</t>
        </is>
      </c>
      <c r="C110" t="inlineStr">
        <is>
          <t>Rebacca</t>
        </is>
      </c>
      <c r="D110" t="inlineStr">
        <is>
          <t>2026-06</t>
        </is>
      </c>
      <c r="E110" t="inlineStr">
        <is>
          <t>2026-06-26 00:00:00</t>
        </is>
      </c>
      <c r="F110" t="inlineStr">
        <is>
          <t>6901+541</t>
        </is>
      </c>
      <c r="G110" t="inlineStr">
        <is>
          <t>未分類</t>
        </is>
      </c>
      <c r="I110" t="inlineStr"/>
      <c r="J110" t="n">
        <v>1</v>
      </c>
      <c r="K110" t="n">
        <v>628</v>
      </c>
      <c r="L110" t="n">
        <v>0.03</v>
      </c>
      <c r="M110">
        <f>J110*K110*L110</f>
        <v/>
      </c>
    </row>
    <row r="111">
      <c r="A111" t="inlineStr">
        <is>
          <t>Tai Wan Fortress</t>
        </is>
      </c>
      <c r="B111" t="inlineStr">
        <is>
          <t>Tai Wan Fortress</t>
        </is>
      </c>
      <c r="C111" t="inlineStr">
        <is>
          <t>Rebacca</t>
        </is>
      </c>
      <c r="D111" t="inlineStr">
        <is>
          <t>2026-06</t>
        </is>
      </c>
      <c r="E111" t="inlineStr">
        <is>
          <t>2026-06-26 00:00:00</t>
        </is>
      </c>
      <c r="F111" t="inlineStr">
        <is>
          <t>6920WH</t>
        </is>
      </c>
      <c r="G111" t="inlineStr">
        <is>
          <t>未分類</t>
        </is>
      </c>
      <c r="I111" t="inlineStr"/>
      <c r="J111" t="n">
        <v>1</v>
      </c>
      <c r="K111" t="n">
        <v>3688</v>
      </c>
      <c r="L111" t="n">
        <v>0.03</v>
      </c>
      <c r="M111">
        <f>J111*K111*L111</f>
        <v/>
      </c>
    </row>
    <row r="112">
      <c r="A112" t="inlineStr">
        <is>
          <t>Tai Wan Fortress</t>
        </is>
      </c>
      <c r="B112" t="inlineStr">
        <is>
          <t>Tai Wan Fortress</t>
        </is>
      </c>
      <c r="C112" t="inlineStr">
        <is>
          <t>Rebacca</t>
        </is>
      </c>
      <c r="D112" t="inlineStr">
        <is>
          <t>2026-06</t>
        </is>
      </c>
      <c r="E112" t="inlineStr">
        <is>
          <t>2026-06-27 00:00:00</t>
        </is>
      </c>
      <c r="F112" t="inlineStr">
        <is>
          <t>6901+541</t>
        </is>
      </c>
      <c r="G112" t="inlineStr">
        <is>
          <t>未分類</t>
        </is>
      </c>
      <c r="I112" t="inlineStr"/>
      <c r="J112" t="n">
        <v>1</v>
      </c>
      <c r="K112" t="n">
        <v>1899</v>
      </c>
      <c r="L112" t="n">
        <v>0.03</v>
      </c>
      <c r="M112">
        <f>J112*K112*L112</f>
        <v/>
      </c>
    </row>
    <row r="113">
      <c r="A113" t="inlineStr">
        <is>
          <t>Tai Wan Fortress</t>
        </is>
      </c>
      <c r="B113" t="inlineStr">
        <is>
          <t>Tai Wan Fortress</t>
        </is>
      </c>
      <c r="C113" t="inlineStr">
        <is>
          <t>Rebacca</t>
        </is>
      </c>
      <c r="D113" t="inlineStr">
        <is>
          <t>2026-06</t>
        </is>
      </c>
      <c r="E113" t="inlineStr">
        <is>
          <t>2026-06-27 00:00:00</t>
        </is>
      </c>
      <c r="F113" t="inlineStr">
        <is>
          <t>6920WH</t>
        </is>
      </c>
      <c r="G113" t="inlineStr">
        <is>
          <t>未分類</t>
        </is>
      </c>
      <c r="I113" t="inlineStr"/>
      <c r="J113" t="n">
        <v>1</v>
      </c>
      <c r="K113" t="n">
        <v>3668</v>
      </c>
      <c r="L113" t="n">
        <v>0.03</v>
      </c>
      <c r="M113">
        <f>J113*K113*L113</f>
        <v/>
      </c>
    </row>
    <row r="114">
      <c r="A114" t="inlineStr">
        <is>
          <t>Tai Wan Fortress</t>
        </is>
      </c>
      <c r="B114" t="inlineStr">
        <is>
          <t>Tai Wan Fortress</t>
        </is>
      </c>
      <c r="C114" t="inlineStr">
        <is>
          <t>Rebacca</t>
        </is>
      </c>
      <c r="D114" t="inlineStr">
        <is>
          <t>2026-06</t>
        </is>
      </c>
      <c r="E114" t="inlineStr">
        <is>
          <t>2026-06-28 00:00:00</t>
        </is>
      </c>
      <c r="F114" t="inlineStr">
        <is>
          <t>9028/90</t>
        </is>
      </c>
      <c r="G114" t="inlineStr">
        <is>
          <t>未分類</t>
        </is>
      </c>
      <c r="I114" t="inlineStr"/>
      <c r="J114" t="n">
        <v>1</v>
      </c>
      <c r="K114" t="n">
        <v>8888</v>
      </c>
      <c r="L114" t="n">
        <v>0.03</v>
      </c>
      <c r="M114">
        <f>J114*K114*L114</f>
        <v/>
      </c>
    </row>
    <row r="115">
      <c r="A115" t="inlineStr">
        <is>
          <t>Tai Wan Fortress</t>
        </is>
      </c>
      <c r="B115" t="inlineStr">
        <is>
          <t>Tai Wan Fortress</t>
        </is>
      </c>
      <c r="C115" t="inlineStr">
        <is>
          <t>Rebacca</t>
        </is>
      </c>
      <c r="D115" t="inlineStr">
        <is>
          <t>2026-06</t>
        </is>
      </c>
      <c r="E115" t="inlineStr">
        <is>
          <t>2026-06-28 00:00:00</t>
        </is>
      </c>
      <c r="F115" t="inlineStr">
        <is>
          <t>6920WH</t>
        </is>
      </c>
      <c r="G115" t="inlineStr">
        <is>
          <t>未分類</t>
        </is>
      </c>
      <c r="I115" t="inlineStr"/>
      <c r="J115" t="n">
        <v>1</v>
      </c>
      <c r="K115" t="n">
        <v>3688</v>
      </c>
      <c r="L115" t="n">
        <v>0.03</v>
      </c>
      <c r="M115">
        <f>J115*K115*L115</f>
        <v/>
      </c>
    </row>
    <row r="116">
      <c r="A116" t="inlineStr">
        <is>
          <t>Tai Wan Fortress</t>
        </is>
      </c>
      <c r="B116" t="inlineStr">
        <is>
          <t>Tai Wan Fortress</t>
        </is>
      </c>
      <c r="C116" t="inlineStr">
        <is>
          <t>Rebacca</t>
        </is>
      </c>
      <c r="D116" t="inlineStr">
        <is>
          <t>2026-06</t>
        </is>
      </c>
      <c r="E116" t="inlineStr">
        <is>
          <t>2026-06-28 00:00:00</t>
        </is>
      </c>
      <c r="F116" t="inlineStr">
        <is>
          <t>3733+3922</t>
        </is>
      </c>
      <c r="G116" t="inlineStr">
        <is>
          <t>未分類</t>
        </is>
      </c>
      <c r="I116" t="inlineStr"/>
      <c r="J116" t="n">
        <v>1</v>
      </c>
      <c r="K116" t="n">
        <v>598</v>
      </c>
      <c r="L116" t="n">
        <v>0.03</v>
      </c>
      <c r="M116">
        <f>J116*K116*L116</f>
        <v/>
      </c>
    </row>
    <row r="117">
      <c r="A117" t="inlineStr">
        <is>
          <t>Tai Wan Fortress</t>
        </is>
      </c>
      <c r="B117" t="inlineStr">
        <is>
          <t>Tai Wan Fortress</t>
        </is>
      </c>
      <c r="C117" t="inlineStr">
        <is>
          <t>Rebacca</t>
        </is>
      </c>
      <c r="D117" t="inlineStr">
        <is>
          <t>2026-06</t>
        </is>
      </c>
      <c r="E117" t="inlineStr">
        <is>
          <t>2026-06-28 00:00:00</t>
        </is>
      </c>
      <c r="F117" t="inlineStr">
        <is>
          <t>3733+3922</t>
        </is>
      </c>
      <c r="G117" t="inlineStr">
        <is>
          <t>未分類</t>
        </is>
      </c>
      <c r="I117" t="inlineStr"/>
      <c r="J117" t="n">
        <v>1</v>
      </c>
      <c r="K117" t="n">
        <v>1196</v>
      </c>
      <c r="L117" t="n">
        <v>0.03</v>
      </c>
      <c r="M117">
        <f>J117*K117*L117</f>
        <v/>
      </c>
    </row>
    <row r="118">
      <c r="A118" t="inlineStr">
        <is>
          <t>Tai Po Yata</t>
        </is>
      </c>
      <c r="B118" t="inlineStr">
        <is>
          <t>Tai Po Yata</t>
        </is>
      </c>
      <c r="C118" t="inlineStr">
        <is>
          <t>Joe</t>
        </is>
      </c>
      <c r="D118" t="inlineStr">
        <is>
          <t>2026-06</t>
        </is>
      </c>
      <c r="E118" t="inlineStr">
        <is>
          <t>2026-06-05 00:00:00</t>
        </is>
      </c>
      <c r="F118" t="inlineStr">
        <is>
          <t>3811+3911</t>
        </is>
      </c>
      <c r="G118" t="inlineStr">
        <is>
          <t>未分類</t>
        </is>
      </c>
      <c r="I118" t="inlineStr"/>
      <c r="J118" t="n">
        <v>1</v>
      </c>
      <c r="K118" t="n">
        <v>528</v>
      </c>
      <c r="L118" t="n">
        <v>0.03</v>
      </c>
      <c r="M118">
        <f>J118*K118*L118</f>
        <v/>
      </c>
    </row>
    <row r="119">
      <c r="A119" t="inlineStr">
        <is>
          <t>Tai Po Yata</t>
        </is>
      </c>
      <c r="B119" t="inlineStr">
        <is>
          <t>Tai Po Yata</t>
        </is>
      </c>
      <c r="C119" t="inlineStr">
        <is>
          <t>Joe</t>
        </is>
      </c>
      <c r="D119" t="inlineStr">
        <is>
          <t>2026-06</t>
        </is>
      </c>
      <c r="E119" t="inlineStr">
        <is>
          <t>2026-06-06 00:00:00</t>
        </is>
      </c>
      <c r="F119" t="inlineStr">
        <is>
          <t>805/97</t>
        </is>
      </c>
      <c r="G119" t="inlineStr">
        <is>
          <t>未分類</t>
        </is>
      </c>
      <c r="I119" t="inlineStr"/>
      <c r="J119" t="n">
        <v>1</v>
      </c>
      <c r="K119" t="n">
        <v>498</v>
      </c>
      <c r="L119" t="n">
        <v>0.03</v>
      </c>
      <c r="M119">
        <f>J119*K119*L119</f>
        <v/>
      </c>
    </row>
    <row r="120">
      <c r="A120" t="inlineStr">
        <is>
          <t>Tai Po Yata</t>
        </is>
      </c>
      <c r="B120" t="inlineStr">
        <is>
          <t>Tai Po Yata</t>
        </is>
      </c>
      <c r="C120" t="inlineStr">
        <is>
          <t>Joe</t>
        </is>
      </c>
      <c r="D120" t="inlineStr">
        <is>
          <t>2026-06</t>
        </is>
      </c>
      <c r="E120" t="inlineStr">
        <is>
          <t>2026-06-06 00:00:00</t>
        </is>
      </c>
      <c r="F120" t="inlineStr">
        <is>
          <t>806/97</t>
        </is>
      </c>
      <c r="G120" t="inlineStr">
        <is>
          <t>未分類</t>
        </is>
      </c>
      <c r="I120" t="inlineStr"/>
      <c r="J120" t="n">
        <v>1</v>
      </c>
      <c r="K120" t="n">
        <v>498</v>
      </c>
      <c r="L120" t="n">
        <v>0.03</v>
      </c>
      <c r="M120">
        <f>J120*K120*L120</f>
        <v/>
      </c>
    </row>
    <row r="121">
      <c r="A121" t="inlineStr">
        <is>
          <t>Tai Po Yata</t>
        </is>
      </c>
      <c r="B121" t="inlineStr">
        <is>
          <t>Tai Po Yata</t>
        </is>
      </c>
      <c r="C121" t="inlineStr">
        <is>
          <t>Joe</t>
        </is>
      </c>
      <c r="D121" t="inlineStr">
        <is>
          <t>2026-06</t>
        </is>
      </c>
      <c r="E121" t="inlineStr">
        <is>
          <t>2026-06-06 00:00:00</t>
        </is>
      </c>
      <c r="F121" t="inlineStr">
        <is>
          <t>6910+550</t>
        </is>
      </c>
      <c r="G121" t="inlineStr">
        <is>
          <t>未分類</t>
        </is>
      </c>
      <c r="I121" t="inlineStr"/>
      <c r="J121" t="n">
        <v>1</v>
      </c>
      <c r="K121" t="n">
        <v>598</v>
      </c>
      <c r="L121" t="n">
        <v>0.03</v>
      </c>
      <c r="M121">
        <f>J121*K121*L121</f>
        <v/>
      </c>
    </row>
    <row r="122">
      <c r="A122" t="inlineStr">
        <is>
          <t>Tai Po Yata</t>
        </is>
      </c>
      <c r="B122" t="inlineStr">
        <is>
          <t>Tai Po Yata</t>
        </is>
      </c>
      <c r="C122" t="inlineStr">
        <is>
          <t>Joe</t>
        </is>
      </c>
      <c r="D122" t="inlineStr">
        <is>
          <t>2026-06</t>
        </is>
      </c>
      <c r="E122" t="inlineStr">
        <is>
          <t>2026-06-06 00:00:00</t>
        </is>
      </c>
      <c r="F122" t="inlineStr">
        <is>
          <t>3811+3911</t>
        </is>
      </c>
      <c r="G122" t="inlineStr">
        <is>
          <t>未分類</t>
        </is>
      </c>
      <c r="I122" t="inlineStr"/>
      <c r="J122" t="n">
        <v>1</v>
      </c>
      <c r="K122" t="n">
        <v>406.4</v>
      </c>
      <c r="L122" t="n">
        <v>0.03</v>
      </c>
      <c r="M122">
        <f>J122*K122*L122</f>
        <v/>
      </c>
    </row>
    <row r="123">
      <c r="A123" t="inlineStr">
        <is>
          <t>Tai Po Yata</t>
        </is>
      </c>
      <c r="B123" t="inlineStr">
        <is>
          <t>Tai Po Yata</t>
        </is>
      </c>
      <c r="C123" t="inlineStr">
        <is>
          <t>Joe</t>
        </is>
      </c>
      <c r="D123" t="inlineStr">
        <is>
          <t>2026-06</t>
        </is>
      </c>
      <c r="E123" t="inlineStr">
        <is>
          <t>2026-06-07 00:00:00</t>
        </is>
      </c>
      <c r="F123" t="inlineStr">
        <is>
          <t>3811+3911</t>
        </is>
      </c>
      <c r="G123" t="inlineStr">
        <is>
          <t>未分類</t>
        </is>
      </c>
      <c r="I123" t="inlineStr"/>
      <c r="J123" t="n">
        <v>1</v>
      </c>
      <c r="K123" t="n">
        <v>528</v>
      </c>
      <c r="L123" t="n">
        <v>0.03</v>
      </c>
      <c r="M123">
        <f>J123*K123*L123</f>
        <v/>
      </c>
    </row>
    <row r="124">
      <c r="A124" t="inlineStr">
        <is>
          <t>Tai Po Yata</t>
        </is>
      </c>
      <c r="B124" t="inlineStr">
        <is>
          <t>Tai Po Yata</t>
        </is>
      </c>
      <c r="C124" t="inlineStr">
        <is>
          <t>Joe</t>
        </is>
      </c>
      <c r="D124" t="inlineStr">
        <is>
          <t>2026-06</t>
        </is>
      </c>
      <c r="E124" t="inlineStr">
        <is>
          <t>2026-06-07 00:00:00</t>
        </is>
      </c>
      <c r="F124" t="inlineStr">
        <is>
          <t>3811/00</t>
        </is>
      </c>
      <c r="G124" t="inlineStr">
        <is>
          <t>未分類</t>
        </is>
      </c>
      <c r="I124" t="inlineStr"/>
      <c r="J124" t="n">
        <v>1</v>
      </c>
      <c r="K124" t="n">
        <v>406.4</v>
      </c>
      <c r="L124" t="n">
        <v>0.03</v>
      </c>
      <c r="M124">
        <f>J124*K124*L124</f>
        <v/>
      </c>
    </row>
    <row r="125">
      <c r="A125" t="inlineStr">
        <is>
          <t>Tai Po Yata</t>
        </is>
      </c>
      <c r="B125" t="inlineStr">
        <is>
          <t>Tai Po Yata</t>
        </is>
      </c>
      <c r="C125" t="inlineStr">
        <is>
          <t>Joe</t>
        </is>
      </c>
      <c r="D125" t="inlineStr">
        <is>
          <t>2026-06</t>
        </is>
      </c>
      <c r="E125" t="inlineStr">
        <is>
          <t>2026-06-12 00:00:00</t>
        </is>
      </c>
      <c r="F125" t="inlineStr">
        <is>
          <t>3811+3911</t>
        </is>
      </c>
      <c r="G125" t="inlineStr">
        <is>
          <t>未分類</t>
        </is>
      </c>
      <c r="I125" t="inlineStr"/>
      <c r="J125" t="n">
        <v>2</v>
      </c>
      <c r="K125" t="n">
        <v>406.4</v>
      </c>
      <c r="L125" t="n">
        <v>0.03</v>
      </c>
      <c r="M125">
        <f>J125*K125*L125</f>
        <v/>
      </c>
    </row>
    <row r="126">
      <c r="A126" t="inlineStr">
        <is>
          <t>Tai Po Yata</t>
        </is>
      </c>
      <c r="B126" t="inlineStr">
        <is>
          <t>Tai Po Yata</t>
        </is>
      </c>
      <c r="C126" t="inlineStr">
        <is>
          <t>Joe</t>
        </is>
      </c>
      <c r="D126" t="inlineStr">
        <is>
          <t>2026-06</t>
        </is>
      </c>
      <c r="E126" t="inlineStr">
        <is>
          <t>2026-06-12 00:00:00</t>
        </is>
      </c>
      <c r="F126" t="inlineStr">
        <is>
          <t>6910+550</t>
        </is>
      </c>
      <c r="G126" t="inlineStr">
        <is>
          <t>未分類</t>
        </is>
      </c>
      <c r="I126" t="inlineStr"/>
      <c r="J126" t="n">
        <v>1</v>
      </c>
      <c r="K126" t="n">
        <v>598</v>
      </c>
      <c r="L126" t="n">
        <v>0.03</v>
      </c>
      <c r="M126">
        <f>J126*K126*L126</f>
        <v/>
      </c>
    </row>
    <row r="127">
      <c r="A127" t="inlineStr">
        <is>
          <t>Tai Po Yata</t>
        </is>
      </c>
      <c r="B127" t="inlineStr">
        <is>
          <t>Tai Po Yata</t>
        </is>
      </c>
      <c r="C127" t="inlineStr">
        <is>
          <t>Joe</t>
        </is>
      </c>
      <c r="D127" t="inlineStr">
        <is>
          <t>2026-06</t>
        </is>
      </c>
      <c r="E127" t="inlineStr">
        <is>
          <t>2026-06-12 00:00:00</t>
        </is>
      </c>
      <c r="F127" t="inlineStr">
        <is>
          <t>3811+3911</t>
        </is>
      </c>
      <c r="G127" t="inlineStr">
        <is>
          <t>未分類</t>
        </is>
      </c>
      <c r="I127" t="inlineStr"/>
      <c r="J127" t="n">
        <v>1</v>
      </c>
      <c r="K127" t="n">
        <v>528</v>
      </c>
      <c r="L127" t="n">
        <v>0.03</v>
      </c>
      <c r="M127">
        <f>J127*K127*L127</f>
        <v/>
      </c>
    </row>
    <row r="128">
      <c r="A128" t="inlineStr">
        <is>
          <t>Tai Po Yata</t>
        </is>
      </c>
      <c r="B128" t="inlineStr">
        <is>
          <t>Tai Po Yata</t>
        </is>
      </c>
      <c r="C128" t="inlineStr">
        <is>
          <t>Joe</t>
        </is>
      </c>
      <c r="D128" t="inlineStr">
        <is>
          <t>2026-06</t>
        </is>
      </c>
      <c r="E128" t="inlineStr">
        <is>
          <t>2026-06-12 00:00:00</t>
        </is>
      </c>
      <c r="F128" t="inlineStr">
        <is>
          <t>2937+211</t>
        </is>
      </c>
      <c r="G128" t="inlineStr">
        <is>
          <t>未分類</t>
        </is>
      </c>
      <c r="I128" t="inlineStr"/>
      <c r="J128" t="n">
        <v>1</v>
      </c>
      <c r="K128" t="n">
        <v>142.2</v>
      </c>
      <c r="L128" t="n">
        <v>0.03</v>
      </c>
      <c r="M128">
        <f>J128*K128*L128</f>
        <v/>
      </c>
    </row>
    <row r="129">
      <c r="A129" t="inlineStr">
        <is>
          <t>Tai Po Yata</t>
        </is>
      </c>
      <c r="B129" t="inlineStr">
        <is>
          <t>Tai Po Yata</t>
        </is>
      </c>
      <c r="C129" t="inlineStr">
        <is>
          <t>Joe</t>
        </is>
      </c>
      <c r="D129" t="inlineStr">
        <is>
          <t>2026-06</t>
        </is>
      </c>
      <c r="E129" t="inlineStr">
        <is>
          <t>2026-06-12 00:00:00</t>
        </is>
      </c>
      <c r="F129" t="inlineStr">
        <is>
          <t>2937+211</t>
        </is>
      </c>
      <c r="G129" t="inlineStr">
        <is>
          <t>未分類</t>
        </is>
      </c>
      <c r="I129" t="inlineStr"/>
      <c r="J129" t="n">
        <v>1</v>
      </c>
      <c r="K129" t="n">
        <v>268</v>
      </c>
      <c r="L129" t="n">
        <v>0.03</v>
      </c>
      <c r="M129">
        <f>J129*K129*L129</f>
        <v/>
      </c>
    </row>
    <row r="130">
      <c r="A130" t="inlineStr">
        <is>
          <t>Tai Po Yata</t>
        </is>
      </c>
      <c r="B130" t="inlineStr">
        <is>
          <t>Tai Po Yata</t>
        </is>
      </c>
      <c r="C130" t="inlineStr">
        <is>
          <t>Joe</t>
        </is>
      </c>
      <c r="D130" t="inlineStr">
        <is>
          <t>2026-06</t>
        </is>
      </c>
      <c r="E130" t="inlineStr">
        <is>
          <t>2026-06-12 00:00:00</t>
        </is>
      </c>
      <c r="F130" t="inlineStr">
        <is>
          <t>6901+541</t>
        </is>
      </c>
      <c r="G130" t="inlineStr">
        <is>
          <t>未分類</t>
        </is>
      </c>
      <c r="I130" t="inlineStr"/>
      <c r="J130" t="n">
        <v>1</v>
      </c>
      <c r="K130" t="n">
        <v>1968</v>
      </c>
      <c r="L130" t="n">
        <v>0.03</v>
      </c>
      <c r="M130">
        <f>J130*K130*L130</f>
        <v/>
      </c>
    </row>
    <row r="131">
      <c r="A131" t="inlineStr">
        <is>
          <t>Tai Po Yata</t>
        </is>
      </c>
      <c r="B131" t="inlineStr">
        <is>
          <t>Tai Po Yata</t>
        </is>
      </c>
      <c r="C131" t="inlineStr">
        <is>
          <t>Joe</t>
        </is>
      </c>
      <c r="D131" t="inlineStr">
        <is>
          <t>2026-06</t>
        </is>
      </c>
      <c r="E131" t="inlineStr">
        <is>
          <t>2026-06-12 00:00:00</t>
        </is>
      </c>
      <c r="F131" t="inlineStr">
        <is>
          <t>6901+541</t>
        </is>
      </c>
      <c r="G131" t="inlineStr">
        <is>
          <t>未分類</t>
        </is>
      </c>
      <c r="I131" t="inlineStr"/>
      <c r="J131" t="n">
        <v>2</v>
      </c>
      <c r="K131" t="n">
        <v>598</v>
      </c>
      <c r="L131" t="n">
        <v>0.03</v>
      </c>
      <c r="M131">
        <f>J131*K131*L131</f>
        <v/>
      </c>
    </row>
    <row r="132">
      <c r="A132" t="inlineStr">
        <is>
          <t>Tai Po Yata</t>
        </is>
      </c>
      <c r="B132" t="inlineStr">
        <is>
          <t>Tai Po Yata</t>
        </is>
      </c>
      <c r="C132" t="inlineStr">
        <is>
          <t>Joe</t>
        </is>
      </c>
      <c r="D132" t="inlineStr">
        <is>
          <t>2026-06</t>
        </is>
      </c>
      <c r="E132" t="inlineStr">
        <is>
          <t>2026-06-13 00:00:00</t>
        </is>
      </c>
      <c r="F132" t="inlineStr">
        <is>
          <t>3811+3911</t>
        </is>
      </c>
      <c r="G132" t="inlineStr">
        <is>
          <t>未分類</t>
        </is>
      </c>
      <c r="I132" t="inlineStr"/>
      <c r="J132" t="n">
        <v>1</v>
      </c>
      <c r="K132" t="n">
        <v>406.4</v>
      </c>
      <c r="L132" t="n">
        <v>0.03</v>
      </c>
      <c r="M132">
        <f>J132*K132*L132</f>
        <v/>
      </c>
    </row>
    <row r="133">
      <c r="A133" t="inlineStr">
        <is>
          <t>Tai Po Yata</t>
        </is>
      </c>
      <c r="B133" t="inlineStr">
        <is>
          <t>Tai Po Yata</t>
        </is>
      </c>
      <c r="C133" t="inlineStr">
        <is>
          <t>Joe</t>
        </is>
      </c>
      <c r="D133" t="inlineStr">
        <is>
          <t>2026-06</t>
        </is>
      </c>
      <c r="E133" t="inlineStr">
        <is>
          <t>2026-06-13 00:00:00</t>
        </is>
      </c>
      <c r="F133" t="inlineStr">
        <is>
          <t>2937+211</t>
        </is>
      </c>
      <c r="G133" t="inlineStr">
        <is>
          <t>未分類</t>
        </is>
      </c>
      <c r="I133" t="inlineStr"/>
      <c r="J133" t="n">
        <v>1</v>
      </c>
      <c r="K133" t="n">
        <v>142.2</v>
      </c>
      <c r="L133" t="n">
        <v>0.03</v>
      </c>
      <c r="M133">
        <f>J133*K133*L133</f>
        <v/>
      </c>
    </row>
    <row r="134">
      <c r="A134" t="inlineStr">
        <is>
          <t>Tai Po Yata</t>
        </is>
      </c>
      <c r="B134" t="inlineStr">
        <is>
          <t>Tai Po Yata</t>
        </is>
      </c>
      <c r="C134" t="inlineStr">
        <is>
          <t>Joe</t>
        </is>
      </c>
      <c r="D134" t="inlineStr">
        <is>
          <t>2026-06</t>
        </is>
      </c>
      <c r="E134" t="inlineStr">
        <is>
          <t>2026-06-13 00:00:00</t>
        </is>
      </c>
      <c r="F134" t="inlineStr">
        <is>
          <t>3812+3922</t>
        </is>
      </c>
      <c r="G134" t="inlineStr">
        <is>
          <t>未分類</t>
        </is>
      </c>
      <c r="I134" t="inlineStr"/>
      <c r="J134" t="n">
        <v>1</v>
      </c>
      <c r="K134" t="n">
        <v>798</v>
      </c>
      <c r="L134" t="n">
        <v>0.03</v>
      </c>
      <c r="M134">
        <f>J134*K134*L134</f>
        <v/>
      </c>
    </row>
    <row r="135">
      <c r="A135" t="inlineStr">
        <is>
          <t>Tai Po Yata</t>
        </is>
      </c>
      <c r="B135" t="inlineStr">
        <is>
          <t>Tai Po Yata</t>
        </is>
      </c>
      <c r="C135" t="inlineStr">
        <is>
          <t>Joe</t>
        </is>
      </c>
      <c r="D135" t="inlineStr">
        <is>
          <t>2026-06</t>
        </is>
      </c>
      <c r="E135" t="inlineStr">
        <is>
          <t>2026-06-13 00:00:00</t>
        </is>
      </c>
      <c r="F135" t="inlineStr">
        <is>
          <t>2937+211</t>
        </is>
      </c>
      <c r="G135" t="inlineStr">
        <is>
          <t>未分類</t>
        </is>
      </c>
      <c r="I135" t="inlineStr"/>
      <c r="J135" t="n">
        <v>1</v>
      </c>
      <c r="K135" t="n">
        <v>268</v>
      </c>
      <c r="L135" t="n">
        <v>0.03</v>
      </c>
      <c r="M135">
        <f>J135*K135*L135</f>
        <v/>
      </c>
    </row>
    <row r="136">
      <c r="A136" t="inlineStr">
        <is>
          <t>Tai Po Yata</t>
        </is>
      </c>
      <c r="B136" t="inlineStr">
        <is>
          <t>Tai Po Yata</t>
        </is>
      </c>
      <c r="C136" t="inlineStr">
        <is>
          <t>Joe</t>
        </is>
      </c>
      <c r="D136" t="inlineStr">
        <is>
          <t>2026-06</t>
        </is>
      </c>
      <c r="E136" t="inlineStr">
        <is>
          <t>2026-06-13 00:00:00</t>
        </is>
      </c>
      <c r="F136" t="inlineStr">
        <is>
          <t>6910+550</t>
        </is>
      </c>
      <c r="G136" t="inlineStr">
        <is>
          <t>未分類</t>
        </is>
      </c>
      <c r="I136" t="inlineStr"/>
      <c r="J136" t="n">
        <v>2</v>
      </c>
      <c r="K136" t="n">
        <v>598</v>
      </c>
      <c r="L136" t="n">
        <v>0.03</v>
      </c>
      <c r="M136">
        <f>J136*K136*L136</f>
        <v/>
      </c>
    </row>
    <row r="137">
      <c r="A137" t="inlineStr">
        <is>
          <t>Tai Po Yata</t>
        </is>
      </c>
      <c r="B137" t="inlineStr">
        <is>
          <t>Tai Po Yata</t>
        </is>
      </c>
      <c r="C137" t="inlineStr">
        <is>
          <t>Joe</t>
        </is>
      </c>
      <c r="D137" t="inlineStr">
        <is>
          <t>2026-06</t>
        </is>
      </c>
      <c r="E137" t="inlineStr">
        <is>
          <t>2026-06-13 00:00:00</t>
        </is>
      </c>
      <c r="F137" t="inlineStr">
        <is>
          <t>6911+553</t>
        </is>
      </c>
      <c r="G137" t="inlineStr">
        <is>
          <t>未分類</t>
        </is>
      </c>
      <c r="I137" t="inlineStr"/>
      <c r="J137" t="n">
        <v>2</v>
      </c>
      <c r="K137" t="n">
        <v>598</v>
      </c>
      <c r="L137" t="n">
        <v>0.03</v>
      </c>
      <c r="M137">
        <f>J137*K137*L137</f>
        <v/>
      </c>
    </row>
    <row r="138">
      <c r="A138" t="inlineStr">
        <is>
          <t>Tai Po Yata</t>
        </is>
      </c>
      <c r="B138" t="inlineStr">
        <is>
          <t>Tai Po Yata</t>
        </is>
      </c>
      <c r="C138" t="inlineStr">
        <is>
          <t>Joe</t>
        </is>
      </c>
      <c r="D138" t="inlineStr">
        <is>
          <t>2026-06</t>
        </is>
      </c>
      <c r="E138" t="inlineStr">
        <is>
          <t>2026-06-14 00:00:00</t>
        </is>
      </c>
      <c r="F138" t="inlineStr">
        <is>
          <t>6911+553</t>
        </is>
      </c>
      <c r="G138" t="inlineStr">
        <is>
          <t>未分類</t>
        </is>
      </c>
      <c r="I138" t="inlineStr"/>
      <c r="J138" t="n">
        <v>1</v>
      </c>
      <c r="K138" t="n">
        <v>598</v>
      </c>
      <c r="L138" t="n">
        <v>0.03</v>
      </c>
      <c r="M138">
        <f>J138*K138*L138</f>
        <v/>
      </c>
    </row>
    <row r="139">
      <c r="A139" t="inlineStr">
        <is>
          <t>Tai Po Yata</t>
        </is>
      </c>
      <c r="B139" t="inlineStr">
        <is>
          <t>Tai Po Yata</t>
        </is>
      </c>
      <c r="C139" t="inlineStr">
        <is>
          <t>Joe</t>
        </is>
      </c>
      <c r="D139" t="inlineStr">
        <is>
          <t>2026-06</t>
        </is>
      </c>
      <c r="E139" t="inlineStr">
        <is>
          <t>2026-06-14 00:00:00</t>
        </is>
      </c>
      <c r="F139" t="inlineStr">
        <is>
          <t>1775+175</t>
        </is>
      </c>
      <c r="G139" t="inlineStr">
        <is>
          <t>未分類</t>
        </is>
      </c>
      <c r="I139" t="inlineStr"/>
      <c r="J139" t="n">
        <v>1</v>
      </c>
      <c r="K139" t="n">
        <v>568</v>
      </c>
      <c r="L139" t="n">
        <v>0.03</v>
      </c>
      <c r="M139">
        <f>J139*K139*L139</f>
        <v/>
      </c>
    </row>
    <row r="140">
      <c r="A140" t="inlineStr">
        <is>
          <t>Tai Po Yata</t>
        </is>
      </c>
      <c r="B140" t="inlineStr">
        <is>
          <t>Tai Po Yata</t>
        </is>
      </c>
      <c r="C140" t="inlineStr">
        <is>
          <t>Joe</t>
        </is>
      </c>
      <c r="D140" t="inlineStr">
        <is>
          <t>2026-06</t>
        </is>
      </c>
      <c r="E140" t="inlineStr">
        <is>
          <t>2026-06-14 00:00:00</t>
        </is>
      </c>
      <c r="F140" t="inlineStr">
        <is>
          <t>3733+3922</t>
        </is>
      </c>
      <c r="G140" t="inlineStr">
        <is>
          <t>未分類</t>
        </is>
      </c>
      <c r="I140" t="inlineStr"/>
      <c r="J140" t="n">
        <v>2</v>
      </c>
      <c r="K140" t="n">
        <v>648</v>
      </c>
      <c r="L140" t="n">
        <v>0.03</v>
      </c>
      <c r="M140">
        <f>J140*K140*L140</f>
        <v/>
      </c>
    </row>
    <row r="141">
      <c r="A141" t="inlineStr">
        <is>
          <t>Tai Po Yata</t>
        </is>
      </c>
      <c r="B141" t="inlineStr">
        <is>
          <t>Tai Po Yata</t>
        </is>
      </c>
      <c r="C141" t="inlineStr">
        <is>
          <t>Joe</t>
        </is>
      </c>
      <c r="D141" t="inlineStr">
        <is>
          <t>2026-06</t>
        </is>
      </c>
      <c r="E141" t="inlineStr">
        <is>
          <t>2026-06-14 00:00:00</t>
        </is>
      </c>
      <c r="F141" t="inlineStr">
        <is>
          <t>3812+3922</t>
        </is>
      </c>
      <c r="G141" t="inlineStr">
        <is>
          <t>未分類</t>
        </is>
      </c>
      <c r="I141" t="inlineStr"/>
      <c r="J141" t="n">
        <v>2</v>
      </c>
      <c r="K141" t="n">
        <v>798</v>
      </c>
      <c r="L141" t="n">
        <v>0.03</v>
      </c>
      <c r="M141">
        <f>J141*K141*L141</f>
        <v/>
      </c>
    </row>
    <row r="142">
      <c r="A142" t="inlineStr">
        <is>
          <t>Tai Po Yata</t>
        </is>
      </c>
      <c r="B142" t="inlineStr">
        <is>
          <t>Tai Po Yata</t>
        </is>
      </c>
      <c r="C142" t="inlineStr">
        <is>
          <t>Joe</t>
        </is>
      </c>
      <c r="D142" t="inlineStr">
        <is>
          <t>2026-06</t>
        </is>
      </c>
      <c r="E142" t="inlineStr">
        <is>
          <t>2026-06-14 00:00:00</t>
        </is>
      </c>
      <c r="F142" t="inlineStr">
        <is>
          <t>1775+175</t>
        </is>
      </c>
      <c r="G142" t="inlineStr">
        <is>
          <t>未分類</t>
        </is>
      </c>
      <c r="I142" t="inlineStr"/>
      <c r="J142" t="n">
        <v>1</v>
      </c>
      <c r="K142" t="n">
        <v>295.2</v>
      </c>
      <c r="L142" t="n">
        <v>0.03</v>
      </c>
      <c r="M142">
        <f>J142*K142*L142</f>
        <v/>
      </c>
    </row>
    <row r="143">
      <c r="A143" t="inlineStr">
        <is>
          <t>Tai Po Yata</t>
        </is>
      </c>
      <c r="B143" t="inlineStr">
        <is>
          <t>Tai Po Yata</t>
        </is>
      </c>
      <c r="C143" t="inlineStr">
        <is>
          <t>Joe</t>
        </is>
      </c>
      <c r="D143" t="inlineStr">
        <is>
          <t>2026-06</t>
        </is>
      </c>
      <c r="E143" t="inlineStr">
        <is>
          <t>2026-06-14 00:00:00</t>
        </is>
      </c>
      <c r="F143" t="inlineStr">
        <is>
          <t>6901+541</t>
        </is>
      </c>
      <c r="G143" t="inlineStr">
        <is>
          <t>未分類</t>
        </is>
      </c>
      <c r="I143" t="inlineStr"/>
      <c r="J143" t="n">
        <v>5</v>
      </c>
      <c r="K143" t="n">
        <v>598</v>
      </c>
      <c r="L143" t="n">
        <v>0.03</v>
      </c>
      <c r="M143">
        <f>J143*K143*L143</f>
        <v/>
      </c>
    </row>
    <row r="144">
      <c r="A144" t="inlineStr">
        <is>
          <t>Tai Po Yata</t>
        </is>
      </c>
      <c r="B144" t="inlineStr">
        <is>
          <t>Tai Po Yata</t>
        </is>
      </c>
      <c r="C144" t="inlineStr">
        <is>
          <t>Joe</t>
        </is>
      </c>
      <c r="D144" t="inlineStr">
        <is>
          <t>2026-06</t>
        </is>
      </c>
      <c r="E144" t="inlineStr">
        <is>
          <t>2026-06-14 00:00:00</t>
        </is>
      </c>
      <c r="F144" t="inlineStr">
        <is>
          <t>6901+541</t>
        </is>
      </c>
      <c r="G144" t="inlineStr">
        <is>
          <t>未分類</t>
        </is>
      </c>
      <c r="I144" t="inlineStr"/>
      <c r="J144" t="n">
        <v>1</v>
      </c>
      <c r="K144" t="n">
        <v>598</v>
      </c>
      <c r="L144" t="n">
        <v>0.03</v>
      </c>
      <c r="M144">
        <f>J144*K144*L144</f>
        <v/>
      </c>
    </row>
    <row r="145">
      <c r="A145" t="inlineStr">
        <is>
          <t>Tai Po Yata</t>
        </is>
      </c>
      <c r="B145" t="inlineStr">
        <is>
          <t>Tai Po Yata</t>
        </is>
      </c>
      <c r="C145" t="inlineStr">
        <is>
          <t>Joe</t>
        </is>
      </c>
      <c r="D145" t="inlineStr">
        <is>
          <t>2026-06</t>
        </is>
      </c>
      <c r="E145" t="inlineStr">
        <is>
          <t>2026-06-19 00:00:00</t>
        </is>
      </c>
      <c r="F145" t="inlineStr">
        <is>
          <t>3733+3922</t>
        </is>
      </c>
      <c r="G145" t="inlineStr">
        <is>
          <t>未分類</t>
        </is>
      </c>
      <c r="I145" t="inlineStr"/>
      <c r="J145" t="n">
        <v>2</v>
      </c>
      <c r="K145" t="n">
        <v>648</v>
      </c>
      <c r="L145" t="n">
        <v>0.03</v>
      </c>
      <c r="M145">
        <f>J145*K145*L145</f>
        <v/>
      </c>
    </row>
    <row r="146">
      <c r="A146" t="inlineStr">
        <is>
          <t>Tai Po Yata</t>
        </is>
      </c>
      <c r="B146" t="inlineStr">
        <is>
          <t>Tai Po Yata</t>
        </is>
      </c>
      <c r="C146" t="inlineStr">
        <is>
          <t>Joe</t>
        </is>
      </c>
      <c r="D146" t="inlineStr">
        <is>
          <t>2026-06</t>
        </is>
      </c>
      <c r="E146" t="inlineStr">
        <is>
          <t>2026-06-19 00:00:00</t>
        </is>
      </c>
      <c r="F146" t="inlineStr">
        <is>
          <t>3812+3922</t>
        </is>
      </c>
      <c r="G146" t="inlineStr">
        <is>
          <t>未分類</t>
        </is>
      </c>
      <c r="I146" t="inlineStr"/>
      <c r="J146" t="n">
        <v>1</v>
      </c>
      <c r="K146" t="n">
        <v>798</v>
      </c>
      <c r="L146" t="n">
        <v>0.03</v>
      </c>
      <c r="M146">
        <f>J146*K146*L146</f>
        <v/>
      </c>
    </row>
    <row r="147">
      <c r="A147" t="inlineStr">
        <is>
          <t>Tai Po Yata</t>
        </is>
      </c>
      <c r="B147" t="inlineStr">
        <is>
          <t>Tai Po Yata</t>
        </is>
      </c>
      <c r="C147" t="inlineStr">
        <is>
          <t>Joe</t>
        </is>
      </c>
      <c r="D147" t="inlineStr">
        <is>
          <t>2026-06</t>
        </is>
      </c>
      <c r="E147" t="inlineStr">
        <is>
          <t>2026-06-19 00:00:00</t>
        </is>
      </c>
      <c r="F147" t="inlineStr">
        <is>
          <t>3773+3922</t>
        </is>
      </c>
      <c r="G147" t="inlineStr">
        <is>
          <t>未分類</t>
        </is>
      </c>
      <c r="I147" t="inlineStr"/>
      <c r="J147" t="n">
        <v>1</v>
      </c>
      <c r="K147" t="n">
        <v>1498</v>
      </c>
      <c r="L147" t="n">
        <v>0.03</v>
      </c>
      <c r="M147">
        <f>J147*K147*L147</f>
        <v/>
      </c>
    </row>
    <row r="148">
      <c r="A148" t="inlineStr">
        <is>
          <t>Tai Po Yata</t>
        </is>
      </c>
      <c r="B148" t="inlineStr">
        <is>
          <t>Tai Po Yata</t>
        </is>
      </c>
      <c r="C148" t="inlineStr">
        <is>
          <t>Joe</t>
        </is>
      </c>
      <c r="D148" t="inlineStr">
        <is>
          <t>2026-06</t>
        </is>
      </c>
      <c r="E148" t="inlineStr">
        <is>
          <t>2026-06-19 00:00:00</t>
        </is>
      </c>
      <c r="F148" t="inlineStr">
        <is>
          <t>6910+550</t>
        </is>
      </c>
      <c r="G148" t="inlineStr">
        <is>
          <t>未分類</t>
        </is>
      </c>
      <c r="I148" t="inlineStr"/>
      <c r="J148" t="n">
        <v>1</v>
      </c>
      <c r="K148" t="n">
        <v>598</v>
      </c>
      <c r="L148" t="n">
        <v>0.03</v>
      </c>
      <c r="M148">
        <f>J148*K148*L148</f>
        <v/>
      </c>
    </row>
    <row r="149">
      <c r="A149" t="inlineStr">
        <is>
          <t>Tai Po Yata</t>
        </is>
      </c>
      <c r="B149" t="inlineStr">
        <is>
          <t>Tai Po Yata</t>
        </is>
      </c>
      <c r="C149" t="inlineStr">
        <is>
          <t>Joe</t>
        </is>
      </c>
      <c r="D149" t="inlineStr">
        <is>
          <t>2026-06</t>
        </is>
      </c>
      <c r="E149" t="inlineStr">
        <is>
          <t>2026-06-20 00:00:00</t>
        </is>
      </c>
      <c r="F149" t="inlineStr">
        <is>
          <t>810/90</t>
        </is>
      </c>
      <c r="G149" t="inlineStr">
        <is>
          <t>未分類</t>
        </is>
      </c>
      <c r="I149" t="inlineStr"/>
      <c r="J149" t="n">
        <v>1</v>
      </c>
      <c r="K149" t="n">
        <v>238</v>
      </c>
      <c r="L149" t="n">
        <v>0.03</v>
      </c>
      <c r="M149">
        <f>J149*K149*L149</f>
        <v/>
      </c>
    </row>
    <row r="150">
      <c r="A150" t="inlineStr">
        <is>
          <t>Tai Po Yata</t>
        </is>
      </c>
      <c r="B150" t="inlineStr">
        <is>
          <t>Tai Po Yata</t>
        </is>
      </c>
      <c r="C150" t="inlineStr">
        <is>
          <t>Joe</t>
        </is>
      </c>
      <c r="D150" t="inlineStr">
        <is>
          <t>2026-06</t>
        </is>
      </c>
      <c r="E150" t="inlineStr">
        <is>
          <t>2026-06-20 00:00:00</t>
        </is>
      </c>
      <c r="F150" t="inlineStr">
        <is>
          <t>4811+2722</t>
        </is>
      </c>
      <c r="G150" t="inlineStr">
        <is>
          <t>未分類</t>
        </is>
      </c>
      <c r="I150" t="inlineStr"/>
      <c r="J150" t="n">
        <v>1</v>
      </c>
      <c r="K150" t="n">
        <v>218</v>
      </c>
      <c r="L150" t="n">
        <v>0.03</v>
      </c>
      <c r="M150">
        <f>J150*K150*L150</f>
        <v/>
      </c>
    </row>
    <row r="151">
      <c r="A151" t="inlineStr">
        <is>
          <t>Tai Po Yata</t>
        </is>
      </c>
      <c r="B151" t="inlineStr">
        <is>
          <t>Tai Po Yata</t>
        </is>
      </c>
      <c r="C151" t="inlineStr">
        <is>
          <t>Joe</t>
        </is>
      </c>
      <c r="D151" t="inlineStr">
        <is>
          <t>2026-06</t>
        </is>
      </c>
      <c r="E151" t="inlineStr">
        <is>
          <t>2026-06-20 00:00:00</t>
        </is>
      </c>
      <c r="F151" t="inlineStr">
        <is>
          <t>3733+3922</t>
        </is>
      </c>
      <c r="G151" t="inlineStr">
        <is>
          <t>未分類</t>
        </is>
      </c>
      <c r="I151" t="inlineStr"/>
      <c r="J151" t="n">
        <v>1</v>
      </c>
      <c r="K151" t="n">
        <v>648</v>
      </c>
      <c r="L151" t="n">
        <v>0.03</v>
      </c>
      <c r="M151">
        <f>J151*K151*L151</f>
        <v/>
      </c>
    </row>
    <row r="152">
      <c r="A152" t="inlineStr">
        <is>
          <t>Tai Po Yata</t>
        </is>
      </c>
      <c r="B152" t="inlineStr">
        <is>
          <t>Tai Po Yata</t>
        </is>
      </c>
      <c r="C152" t="inlineStr">
        <is>
          <t>Joe</t>
        </is>
      </c>
      <c r="D152" t="inlineStr">
        <is>
          <t>2026-06</t>
        </is>
      </c>
      <c r="E152" t="inlineStr">
        <is>
          <t>2026-06-21 00:00:00</t>
        </is>
      </c>
      <c r="F152" t="inlineStr">
        <is>
          <t>6920WH</t>
        </is>
      </c>
      <c r="G152" t="inlineStr">
        <is>
          <t>未分類</t>
        </is>
      </c>
      <c r="I152" t="inlineStr"/>
      <c r="J152" t="n">
        <v>2</v>
      </c>
      <c r="K152" t="n">
        <v>3688</v>
      </c>
      <c r="L152" t="n">
        <v>0.03</v>
      </c>
      <c r="M152">
        <f>J152*K152*L152</f>
        <v/>
      </c>
    </row>
    <row r="153">
      <c r="A153" t="inlineStr">
        <is>
          <t>Tai Po Yata</t>
        </is>
      </c>
      <c r="B153" t="inlineStr">
        <is>
          <t>Tai Po Yata</t>
        </is>
      </c>
      <c r="C153" t="inlineStr">
        <is>
          <t>Joe</t>
        </is>
      </c>
      <c r="D153" t="inlineStr">
        <is>
          <t>2026-06</t>
        </is>
      </c>
      <c r="E153" t="inlineStr">
        <is>
          <t>2026-06-21 00:00:00</t>
        </is>
      </c>
      <c r="F153" t="inlineStr">
        <is>
          <t>6901+541</t>
        </is>
      </c>
      <c r="G153" t="inlineStr">
        <is>
          <t>未分類</t>
        </is>
      </c>
      <c r="I153" t="inlineStr"/>
      <c r="J153" t="n">
        <v>1</v>
      </c>
      <c r="K153" t="n">
        <v>598</v>
      </c>
      <c r="L153" t="n">
        <v>0.03</v>
      </c>
      <c r="M153">
        <f>J153*K153*L153</f>
        <v/>
      </c>
    </row>
    <row r="154">
      <c r="A154" t="inlineStr">
        <is>
          <t>Tai Po Yata</t>
        </is>
      </c>
      <c r="B154" t="inlineStr">
        <is>
          <t>Tai Po Yata</t>
        </is>
      </c>
      <c r="C154" t="inlineStr">
        <is>
          <t>Joe</t>
        </is>
      </c>
      <c r="D154" t="inlineStr">
        <is>
          <t>2026-06</t>
        </is>
      </c>
      <c r="E154" t="inlineStr">
        <is>
          <t>2026-06-21 00:00:00</t>
        </is>
      </c>
      <c r="F154" t="inlineStr">
        <is>
          <t>3733+3922</t>
        </is>
      </c>
      <c r="G154" t="inlineStr">
        <is>
          <t>未分類</t>
        </is>
      </c>
      <c r="I154" t="inlineStr"/>
      <c r="J154" t="n">
        <v>2</v>
      </c>
      <c r="K154" t="n">
        <v>648</v>
      </c>
      <c r="L154" t="n">
        <v>0.03</v>
      </c>
      <c r="M154">
        <f>J154*K154*L154</f>
        <v/>
      </c>
    </row>
    <row r="155">
      <c r="A155" t="inlineStr">
        <is>
          <t>Tai Po Yata</t>
        </is>
      </c>
      <c r="B155" t="inlineStr">
        <is>
          <t>Tai Po Yata</t>
        </is>
      </c>
      <c r="C155" t="inlineStr">
        <is>
          <t>Joe</t>
        </is>
      </c>
      <c r="D155" t="inlineStr">
        <is>
          <t>2026-06</t>
        </is>
      </c>
      <c r="E155" t="inlineStr">
        <is>
          <t>2026-06-21 00:00:00</t>
        </is>
      </c>
      <c r="F155" t="inlineStr">
        <is>
          <t>3811+3911</t>
        </is>
      </c>
      <c r="G155" t="inlineStr">
        <is>
          <t>未分類</t>
        </is>
      </c>
      <c r="I155" t="inlineStr"/>
      <c r="J155" t="n">
        <v>1</v>
      </c>
      <c r="K155" t="n">
        <v>406.4</v>
      </c>
      <c r="L155" t="n">
        <v>0.03</v>
      </c>
      <c r="M155">
        <f>J155*K155*L155</f>
        <v/>
      </c>
    </row>
    <row r="156">
      <c r="A156" t="inlineStr">
        <is>
          <t>Tai Po Yata</t>
        </is>
      </c>
      <c r="B156" t="inlineStr">
        <is>
          <t>Tai Po Yata</t>
        </is>
      </c>
      <c r="C156" t="inlineStr">
        <is>
          <t>Joe</t>
        </is>
      </c>
      <c r="D156" t="inlineStr">
        <is>
          <t>2026-06</t>
        </is>
      </c>
      <c r="E156" t="inlineStr">
        <is>
          <t>2026-06-21 00:00:00</t>
        </is>
      </c>
      <c r="F156" t="inlineStr">
        <is>
          <t>3773+3922</t>
        </is>
      </c>
      <c r="G156" t="inlineStr">
        <is>
          <t>未分類</t>
        </is>
      </c>
      <c r="I156" t="inlineStr"/>
      <c r="J156" t="n">
        <v>1</v>
      </c>
      <c r="K156" t="n">
        <v>898</v>
      </c>
      <c r="L156" t="n">
        <v>0.03</v>
      </c>
      <c r="M156">
        <f>J156*K156*L156</f>
        <v/>
      </c>
    </row>
    <row r="157">
      <c r="A157" t="inlineStr">
        <is>
          <t>Tai Po Yata</t>
        </is>
      </c>
      <c r="B157" t="inlineStr">
        <is>
          <t>Tai Po Yata</t>
        </is>
      </c>
      <c r="C157" t="inlineStr">
        <is>
          <t>Joe</t>
        </is>
      </c>
      <c r="D157" t="inlineStr">
        <is>
          <t>2026-06</t>
        </is>
      </c>
      <c r="E157" t="inlineStr">
        <is>
          <t>2026-06-21 00:00:00</t>
        </is>
      </c>
      <c r="F157" t="inlineStr">
        <is>
          <t>3773+3922</t>
        </is>
      </c>
      <c r="G157" t="inlineStr">
        <is>
          <t>未分類</t>
        </is>
      </c>
      <c r="I157" t="inlineStr"/>
      <c r="J157" t="n">
        <v>1</v>
      </c>
      <c r="K157" t="n">
        <v>1498</v>
      </c>
      <c r="L157" t="n">
        <v>0.03</v>
      </c>
      <c r="M157">
        <f>J157*K157*L157</f>
        <v/>
      </c>
    </row>
    <row r="158">
      <c r="A158" t="inlineStr">
        <is>
          <t>Tai Po Yata</t>
        </is>
      </c>
      <c r="B158" t="inlineStr">
        <is>
          <t>Tai Po Yata</t>
        </is>
      </c>
      <c r="C158" t="inlineStr">
        <is>
          <t>Joe</t>
        </is>
      </c>
      <c r="D158" t="inlineStr">
        <is>
          <t>2026-06</t>
        </is>
      </c>
      <c r="E158" t="inlineStr">
        <is>
          <t>2026-06-26 00:00:00</t>
        </is>
      </c>
      <c r="F158" t="inlineStr">
        <is>
          <t>3811+3911</t>
        </is>
      </c>
      <c r="G158" t="inlineStr">
        <is>
          <t>未分類</t>
        </is>
      </c>
      <c r="I158" t="inlineStr"/>
      <c r="J158" t="n">
        <v>2</v>
      </c>
      <c r="K158" t="n">
        <v>406.4</v>
      </c>
      <c r="L158" t="n">
        <v>0.03</v>
      </c>
      <c r="M158">
        <f>J158*K158*L158</f>
        <v/>
      </c>
    </row>
    <row r="159">
      <c r="A159" t="inlineStr">
        <is>
          <t>Tai Po Yata</t>
        </is>
      </c>
      <c r="B159" t="inlineStr">
        <is>
          <t>Tai Po Yata</t>
        </is>
      </c>
      <c r="C159" t="inlineStr">
        <is>
          <t>Joe</t>
        </is>
      </c>
      <c r="D159" t="inlineStr">
        <is>
          <t>2026-06</t>
        </is>
      </c>
      <c r="E159" t="inlineStr">
        <is>
          <t>2026-06-26 00:00:00</t>
        </is>
      </c>
      <c r="F159" t="inlineStr">
        <is>
          <t>604/90</t>
        </is>
      </c>
      <c r="G159" t="inlineStr">
        <is>
          <t>未分類</t>
        </is>
      </c>
      <c r="I159" t="inlineStr"/>
      <c r="J159" t="n">
        <v>1</v>
      </c>
      <c r="K159" t="n">
        <v>398</v>
      </c>
      <c r="L159" t="n">
        <v>0.03</v>
      </c>
      <c r="M159">
        <f>J159*K159*L159</f>
        <v/>
      </c>
    </row>
    <row r="160">
      <c r="A160" t="inlineStr">
        <is>
          <t>Tai Po Yata</t>
        </is>
      </c>
      <c r="B160" t="inlineStr">
        <is>
          <t>Tai Po Yata</t>
        </is>
      </c>
      <c r="C160" t="inlineStr">
        <is>
          <t>Joe</t>
        </is>
      </c>
      <c r="D160" t="inlineStr">
        <is>
          <t>2026-06</t>
        </is>
      </c>
      <c r="E160" t="inlineStr">
        <is>
          <t>2026-06-27 00:00:00</t>
        </is>
      </c>
      <c r="F160" t="inlineStr">
        <is>
          <t>6910+550</t>
        </is>
      </c>
      <c r="G160" t="inlineStr">
        <is>
          <t>未分類</t>
        </is>
      </c>
      <c r="I160" t="inlineStr"/>
      <c r="J160" t="n">
        <v>1</v>
      </c>
      <c r="K160" t="n">
        <v>598</v>
      </c>
      <c r="L160" t="n">
        <v>0.03</v>
      </c>
      <c r="M160">
        <f>J160*K160*L160</f>
        <v/>
      </c>
    </row>
    <row r="161">
      <c r="A161" t="inlineStr">
        <is>
          <t>Tai Po Yata</t>
        </is>
      </c>
      <c r="B161" t="inlineStr">
        <is>
          <t>Tai Po Yata</t>
        </is>
      </c>
      <c r="C161" t="inlineStr">
        <is>
          <t>Joe</t>
        </is>
      </c>
      <c r="D161" t="inlineStr">
        <is>
          <t>2026-06</t>
        </is>
      </c>
      <c r="E161" t="inlineStr">
        <is>
          <t>2026-06-27 00:00:00</t>
        </is>
      </c>
      <c r="F161" t="inlineStr">
        <is>
          <t>6901+541</t>
        </is>
      </c>
      <c r="G161" t="inlineStr">
        <is>
          <t>未分類</t>
        </is>
      </c>
      <c r="I161" t="inlineStr"/>
      <c r="J161" t="n">
        <v>1</v>
      </c>
      <c r="K161" t="n">
        <v>598</v>
      </c>
      <c r="L161" t="n">
        <v>0.03</v>
      </c>
      <c r="M161">
        <f>J161*K161*L161</f>
        <v/>
      </c>
    </row>
    <row r="162">
      <c r="A162" t="inlineStr">
        <is>
          <t>Tai Po Yata</t>
        </is>
      </c>
      <c r="B162" t="inlineStr">
        <is>
          <t>Tai Po Yata</t>
        </is>
      </c>
      <c r="C162" t="inlineStr">
        <is>
          <t>Joe</t>
        </is>
      </c>
      <c r="D162" t="inlineStr">
        <is>
          <t>2026-06</t>
        </is>
      </c>
      <c r="E162" t="inlineStr">
        <is>
          <t>2026-06-28 00:00:00</t>
        </is>
      </c>
      <c r="F162" t="inlineStr">
        <is>
          <t>6901+541</t>
        </is>
      </c>
      <c r="G162" t="inlineStr">
        <is>
          <t>未分類</t>
        </is>
      </c>
      <c r="I162" t="inlineStr"/>
      <c r="J162" t="n">
        <v>2</v>
      </c>
      <c r="K162" t="n">
        <v>598</v>
      </c>
      <c r="L162" t="n">
        <v>0.03</v>
      </c>
      <c r="M162">
        <f>J162*K162*L162</f>
        <v/>
      </c>
    </row>
    <row r="163">
      <c r="A163" t="inlineStr">
        <is>
          <t>Tai Po Yata</t>
        </is>
      </c>
      <c r="B163" t="inlineStr">
        <is>
          <t>Tai Po Yata</t>
        </is>
      </c>
      <c r="C163" t="inlineStr">
        <is>
          <t>Joe</t>
        </is>
      </c>
      <c r="D163" t="inlineStr">
        <is>
          <t>2026-06</t>
        </is>
      </c>
      <c r="E163" t="inlineStr">
        <is>
          <t>2026-06-28 00:00:00</t>
        </is>
      </c>
      <c r="F163" t="inlineStr">
        <is>
          <t>3811+3822</t>
        </is>
      </c>
      <c r="G163" t="inlineStr">
        <is>
          <t>未分類</t>
        </is>
      </c>
      <c r="I163" t="inlineStr"/>
      <c r="J163" t="n">
        <v>1</v>
      </c>
      <c r="K163" t="n">
        <v>648</v>
      </c>
      <c r="L163" t="n">
        <v>0.03</v>
      </c>
      <c r="M163">
        <f>J163*K163*L163</f>
        <v/>
      </c>
    </row>
    <row r="164">
      <c r="A164" t="inlineStr">
        <is>
          <t>Tai Po Yata</t>
        </is>
      </c>
      <c r="B164" t="inlineStr">
        <is>
          <t>Tai Po Yata</t>
        </is>
      </c>
      <c r="C164" t="inlineStr">
        <is>
          <t>Joe</t>
        </is>
      </c>
      <c r="D164" t="inlineStr">
        <is>
          <t>2026-06</t>
        </is>
      </c>
      <c r="E164" t="inlineStr">
        <is>
          <t>2026-06-28 00:00:00</t>
        </is>
      </c>
      <c r="F164" t="inlineStr">
        <is>
          <t>3811+3911</t>
        </is>
      </c>
      <c r="G164" t="inlineStr">
        <is>
          <t>未分類</t>
        </is>
      </c>
      <c r="I164" t="inlineStr"/>
      <c r="J164" t="n">
        <v>1</v>
      </c>
      <c r="K164" t="n">
        <v>528</v>
      </c>
      <c r="L164" t="n">
        <v>0.03</v>
      </c>
      <c r="M164">
        <f>J164*K164*L164</f>
        <v/>
      </c>
    </row>
    <row r="165">
      <c r="A165" t="inlineStr">
        <is>
          <t>TW Aeon</t>
        </is>
      </c>
      <c r="B165" t="inlineStr">
        <is>
          <t>TW Aeon</t>
        </is>
      </c>
      <c r="C165" t="inlineStr">
        <is>
          <t>Apple</t>
        </is>
      </c>
      <c r="D165" t="inlineStr">
        <is>
          <t>2026-06</t>
        </is>
      </c>
      <c r="E165" t="inlineStr">
        <is>
          <t>2026-06-20 00:00:00</t>
        </is>
      </c>
      <c r="F165" t="inlineStr">
        <is>
          <t>3733+3922</t>
        </is>
      </c>
      <c r="G165" t="inlineStr">
        <is>
          <t>未分類</t>
        </is>
      </c>
      <c r="I165" t="inlineStr"/>
      <c r="J165" t="n">
        <v>1</v>
      </c>
      <c r="K165" t="n">
        <v>398</v>
      </c>
      <c r="L165" t="n">
        <v>0.03</v>
      </c>
      <c r="M165">
        <f>J165*K165*L165</f>
        <v/>
      </c>
    </row>
    <row r="166">
      <c r="A166" t="inlineStr">
        <is>
          <t>TW Aeon</t>
        </is>
      </c>
      <c r="B166" t="inlineStr">
        <is>
          <t>TW Aeon</t>
        </is>
      </c>
      <c r="C166" t="inlineStr">
        <is>
          <t>Apple</t>
        </is>
      </c>
      <c r="D166" t="inlineStr">
        <is>
          <t>2026-06</t>
        </is>
      </c>
      <c r="E166" t="inlineStr">
        <is>
          <t>2026-06-21 00:00:00</t>
        </is>
      </c>
      <c r="F166" t="inlineStr">
        <is>
          <t>3811+3911</t>
        </is>
      </c>
      <c r="G166" t="inlineStr">
        <is>
          <t>未分類</t>
        </is>
      </c>
      <c r="I166" t="inlineStr"/>
      <c r="J166" t="n">
        <v>1</v>
      </c>
      <c r="K166" t="n">
        <v>298</v>
      </c>
      <c r="L166" t="n">
        <v>0.03</v>
      </c>
      <c r="M166">
        <f>J166*K166*L166</f>
        <v/>
      </c>
    </row>
    <row r="167">
      <c r="A167" t="inlineStr">
        <is>
          <t>TW Aeon</t>
        </is>
      </c>
      <c r="B167" t="inlineStr">
        <is>
          <t>TW Aeon</t>
        </is>
      </c>
      <c r="C167" t="inlineStr">
        <is>
          <t>Apple</t>
        </is>
      </c>
      <c r="D167" t="inlineStr">
        <is>
          <t>2026-06</t>
        </is>
      </c>
      <c r="E167" t="inlineStr">
        <is>
          <t>2026-06-21 00:00:00</t>
        </is>
      </c>
      <c r="F167" t="inlineStr">
        <is>
          <t>3733+3922</t>
        </is>
      </c>
      <c r="G167" t="inlineStr">
        <is>
          <t>未分類</t>
        </is>
      </c>
      <c r="I167" t="inlineStr"/>
      <c r="J167" t="n">
        <v>1</v>
      </c>
      <c r="K167" t="n">
        <v>398</v>
      </c>
      <c r="L167" t="n">
        <v>0.03</v>
      </c>
      <c r="M167">
        <f>J167*K167*L167</f>
        <v/>
      </c>
    </row>
    <row r="168">
      <c r="A168" t="inlineStr">
        <is>
          <t>Festival Walk Fortress</t>
        </is>
      </c>
      <c r="B168" t="inlineStr">
        <is>
          <t>Festival Walk Fortress</t>
        </is>
      </c>
      <c r="C168" t="inlineStr">
        <is>
          <t>Shirley</t>
        </is>
      </c>
      <c r="D168" t="inlineStr">
        <is>
          <t>2026-06</t>
        </is>
      </c>
      <c r="E168" t="inlineStr">
        <is>
          <t>2026-06-06 00:00:00</t>
        </is>
      </c>
      <c r="F168" t="inlineStr">
        <is>
          <t>6901+541</t>
        </is>
      </c>
      <c r="G168" t="inlineStr">
        <is>
          <t>未分類</t>
        </is>
      </c>
      <c r="I168" t="inlineStr"/>
      <c r="J168" t="n">
        <v>1</v>
      </c>
      <c r="K168" t="n">
        <v>628</v>
      </c>
      <c r="L168" t="n">
        <v>0.03</v>
      </c>
      <c r="M168">
        <f>J168*K168*L168</f>
        <v/>
      </c>
    </row>
    <row r="169">
      <c r="A169" t="inlineStr">
        <is>
          <t>Festival Walk Fortress</t>
        </is>
      </c>
      <c r="B169" t="inlineStr">
        <is>
          <t>Festival Walk Fortress</t>
        </is>
      </c>
      <c r="C169" t="inlineStr">
        <is>
          <t>Shirley</t>
        </is>
      </c>
      <c r="D169" t="inlineStr">
        <is>
          <t>2026-06</t>
        </is>
      </c>
      <c r="E169" t="inlineStr">
        <is>
          <t>2026-06-06 00:00:00</t>
        </is>
      </c>
      <c r="F169" t="inlineStr">
        <is>
          <t>6901+541</t>
        </is>
      </c>
      <c r="G169" t="inlineStr">
        <is>
          <t>未分類</t>
        </is>
      </c>
      <c r="I169" t="inlineStr"/>
      <c r="J169" t="n">
        <v>1</v>
      </c>
      <c r="K169" t="n">
        <v>168</v>
      </c>
      <c r="L169" t="n">
        <v>0.03</v>
      </c>
      <c r="M169">
        <f>J169*K169*L169</f>
        <v/>
      </c>
    </row>
    <row r="170">
      <c r="A170" t="inlineStr">
        <is>
          <t>Festival Walk Fortress</t>
        </is>
      </c>
      <c r="B170" t="inlineStr">
        <is>
          <t>Festival Walk Fortress</t>
        </is>
      </c>
      <c r="C170" t="inlineStr">
        <is>
          <t>Shirley</t>
        </is>
      </c>
      <c r="D170" t="inlineStr">
        <is>
          <t>2026-06</t>
        </is>
      </c>
      <c r="E170" t="inlineStr">
        <is>
          <t>2026-06-07 00:00:00</t>
        </is>
      </c>
      <c r="F170" t="inlineStr">
        <is>
          <t>3733+3922</t>
        </is>
      </c>
      <c r="G170" t="inlineStr">
        <is>
          <t>未分類</t>
        </is>
      </c>
      <c r="I170" t="inlineStr"/>
      <c r="J170" t="n">
        <v>1</v>
      </c>
      <c r="K170" t="n">
        <v>598</v>
      </c>
      <c r="L170" t="n">
        <v>0.03</v>
      </c>
      <c r="M170">
        <f>J170*K170*L170</f>
        <v/>
      </c>
    </row>
    <row r="171">
      <c r="A171" t="inlineStr">
        <is>
          <t>Festival Walk Fortress</t>
        </is>
      </c>
      <c r="B171" t="inlineStr">
        <is>
          <t>Festival Walk Fortress</t>
        </is>
      </c>
      <c r="C171" t="inlineStr">
        <is>
          <t>Shirley</t>
        </is>
      </c>
      <c r="D171" t="inlineStr">
        <is>
          <t>2026-06</t>
        </is>
      </c>
      <c r="E171" t="inlineStr">
        <is>
          <t>2026-06-07 00:00:00</t>
        </is>
      </c>
      <c r="F171" t="inlineStr">
        <is>
          <t>3733+3922</t>
        </is>
      </c>
      <c r="G171" t="inlineStr">
        <is>
          <t>未分類</t>
        </is>
      </c>
      <c r="I171" t="inlineStr"/>
      <c r="J171" t="n">
        <v>1</v>
      </c>
      <c r="K171" t="n">
        <v>598</v>
      </c>
      <c r="L171" t="n">
        <v>0.03</v>
      </c>
      <c r="M171">
        <f>J171*K171*L171</f>
        <v/>
      </c>
    </row>
    <row r="172">
      <c r="A172" t="inlineStr">
        <is>
          <t>Festival Walk Fortress</t>
        </is>
      </c>
      <c r="B172" t="inlineStr">
        <is>
          <t>Festival Walk Fortress</t>
        </is>
      </c>
      <c r="C172" t="inlineStr">
        <is>
          <t>Shirley</t>
        </is>
      </c>
      <c r="D172" t="inlineStr">
        <is>
          <t>2026-06</t>
        </is>
      </c>
      <c r="E172" t="inlineStr">
        <is>
          <t>2026-06-07 00:00:00</t>
        </is>
      </c>
      <c r="F172" t="inlineStr">
        <is>
          <t>A3983</t>
        </is>
      </c>
      <c r="G172" t="inlineStr">
        <is>
          <t>未分類</t>
        </is>
      </c>
      <c r="I172" t="inlineStr"/>
      <c r="J172" t="n">
        <v>1</v>
      </c>
      <c r="K172" t="n">
        <v>898</v>
      </c>
      <c r="L172" t="n">
        <v>0.03</v>
      </c>
      <c r="M172">
        <f>J172*K172*L172</f>
        <v/>
      </c>
    </row>
    <row r="173">
      <c r="A173" t="inlineStr">
        <is>
          <t>Shatin Fortress</t>
        </is>
      </c>
      <c r="B173" t="inlineStr">
        <is>
          <t>Shatin Fortress</t>
        </is>
      </c>
      <c r="C173" t="inlineStr">
        <is>
          <t>Margaret</t>
        </is>
      </c>
      <c r="D173" t="inlineStr">
        <is>
          <t>2026-06</t>
        </is>
      </c>
      <c r="E173" t="inlineStr">
        <is>
          <t>2026-06-05 00:00:00</t>
        </is>
      </c>
      <c r="F173" t="inlineStr">
        <is>
          <t>Model-Input-Ref</t>
        </is>
      </c>
      <c r="G173" t="inlineStr">
        <is>
          <t>未分類 (單據新增)</t>
        </is>
      </c>
      <c r="I173" t="inlineStr"/>
      <c r="J173" t="n">
        <v>1</v>
      </c>
      <c r="K173" t="n">
        <v>848</v>
      </c>
      <c r="L173" t="n">
        <v>0.03</v>
      </c>
      <c r="M173">
        <f>J173*K173*L173</f>
        <v/>
      </c>
    </row>
    <row r="174">
      <c r="A174" t="inlineStr">
        <is>
          <t>Shatin Fortress</t>
        </is>
      </c>
      <c r="B174" t="inlineStr">
        <is>
          <t>Shatin Fortress</t>
        </is>
      </c>
      <c r="C174" t="inlineStr">
        <is>
          <t>Margaret</t>
        </is>
      </c>
      <c r="D174" t="inlineStr">
        <is>
          <t>2026-06</t>
        </is>
      </c>
      <c r="E174" t="inlineStr">
        <is>
          <t>2026-06-05 00:00:00</t>
        </is>
      </c>
      <c r="F174" t="inlineStr">
        <is>
          <t>Model-Input-Ref</t>
        </is>
      </c>
      <c r="G174" t="inlineStr">
        <is>
          <t>未分類 (單據新增)</t>
        </is>
      </c>
      <c r="I174" t="inlineStr"/>
      <c r="J174" t="n">
        <v>1</v>
      </c>
      <c r="K174" t="n">
        <v>1798</v>
      </c>
      <c r="L174" t="n">
        <v>0.03</v>
      </c>
      <c r="M174">
        <f>J174*K174*L174</f>
        <v/>
      </c>
    </row>
    <row r="175">
      <c r="A175" t="inlineStr">
        <is>
          <t>Shatin Fortress</t>
        </is>
      </c>
      <c r="B175" t="inlineStr">
        <is>
          <t>Shatin Fortress</t>
        </is>
      </c>
      <c r="C175" t="inlineStr">
        <is>
          <t>Margaret</t>
        </is>
      </c>
      <c r="D175" t="inlineStr">
        <is>
          <t>2026-06</t>
        </is>
      </c>
      <c r="E175" t="inlineStr">
        <is>
          <t>2026-06-05 00:00:00</t>
        </is>
      </c>
      <c r="F175" t="inlineStr">
        <is>
          <t>Model-Input-Ref</t>
        </is>
      </c>
      <c r="G175" t="inlineStr">
        <is>
          <t>未分類 (單據新增)</t>
        </is>
      </c>
      <c r="I175" t="inlineStr"/>
      <c r="J175" t="n">
        <v>1</v>
      </c>
      <c r="K175" t="n">
        <v>848</v>
      </c>
      <c r="L175" t="n">
        <v>0.03</v>
      </c>
      <c r="M175">
        <f>J175*K175*L175</f>
        <v/>
      </c>
    </row>
    <row r="176">
      <c r="A176" t="inlineStr">
        <is>
          <t>Shatin Fortress</t>
        </is>
      </c>
      <c r="B176" t="inlineStr">
        <is>
          <t>Shatin Fortress</t>
        </is>
      </c>
      <c r="C176" t="inlineStr">
        <is>
          <t>Margaret</t>
        </is>
      </c>
      <c r="D176" t="inlineStr">
        <is>
          <t>2026-06</t>
        </is>
      </c>
      <c r="E176" t="inlineStr">
        <is>
          <t>2026-06-05 00:00:00</t>
        </is>
      </c>
      <c r="F176" t="inlineStr">
        <is>
          <t>Model-Input-Ref</t>
        </is>
      </c>
      <c r="G176" t="inlineStr">
        <is>
          <t>未分類 (單據新增)</t>
        </is>
      </c>
      <c r="I176" t="inlineStr"/>
      <c r="J176" t="n">
        <v>1</v>
      </c>
      <c r="K176" t="n">
        <v>598</v>
      </c>
      <c r="L176" t="n">
        <v>0.03</v>
      </c>
      <c r="M176">
        <f>J176*K176*L176</f>
        <v/>
      </c>
    </row>
    <row r="177">
      <c r="A177" t="inlineStr">
        <is>
          <t>Shatin Fortress</t>
        </is>
      </c>
      <c r="B177" t="inlineStr">
        <is>
          <t>Shatin Fortress</t>
        </is>
      </c>
      <c r="C177" t="inlineStr">
        <is>
          <t>Margaret</t>
        </is>
      </c>
      <c r="D177" t="inlineStr">
        <is>
          <t>2026-06</t>
        </is>
      </c>
      <c r="E177" t="inlineStr">
        <is>
          <t>2026-06-05 00:00:00</t>
        </is>
      </c>
      <c r="F177" t="inlineStr">
        <is>
          <t>Model-Input-Ref</t>
        </is>
      </c>
      <c r="G177" t="inlineStr">
        <is>
          <t>未分類 (單據新增)</t>
        </is>
      </c>
      <c r="I177" t="inlineStr"/>
      <c r="J177" t="n">
        <v>1</v>
      </c>
      <c r="K177" t="n">
        <v>598</v>
      </c>
      <c r="L177" t="n">
        <v>0.03</v>
      </c>
      <c r="M177">
        <f>J177*K177*L177</f>
        <v/>
      </c>
    </row>
    <row r="178">
      <c r="A178" t="inlineStr">
        <is>
          <t>Shatin Fortress</t>
        </is>
      </c>
      <c r="B178" t="inlineStr">
        <is>
          <t>Shatin Fortress</t>
        </is>
      </c>
      <c r="C178" t="inlineStr">
        <is>
          <t>Margaret</t>
        </is>
      </c>
      <c r="D178" t="inlineStr">
        <is>
          <t>2026-06</t>
        </is>
      </c>
      <c r="E178" t="inlineStr">
        <is>
          <t>2026-06-05 00:00:00</t>
        </is>
      </c>
      <c r="F178" t="inlineStr">
        <is>
          <t>Model-Input-Ref</t>
        </is>
      </c>
      <c r="G178" t="inlineStr">
        <is>
          <t>未分類 (單據新增)</t>
        </is>
      </c>
      <c r="I178" t="inlineStr"/>
      <c r="J178" t="n">
        <v>1</v>
      </c>
      <c r="K178" t="n">
        <v>598</v>
      </c>
      <c r="L178" t="n">
        <v>0.03</v>
      </c>
      <c r="M178">
        <f>J178*K178*L178</f>
        <v/>
      </c>
    </row>
    <row r="179">
      <c r="A179" t="inlineStr">
        <is>
          <t>Shatin Fortress</t>
        </is>
      </c>
      <c r="B179" t="inlineStr">
        <is>
          <t>Shatin Fortress</t>
        </is>
      </c>
      <c r="C179" t="inlineStr">
        <is>
          <t>Margaret</t>
        </is>
      </c>
      <c r="D179" t="inlineStr">
        <is>
          <t>2026-06</t>
        </is>
      </c>
      <c r="E179" t="inlineStr">
        <is>
          <t>2026-06-05 00:00:00</t>
        </is>
      </c>
      <c r="F179" t="inlineStr">
        <is>
          <t>Model-Input-Ref</t>
        </is>
      </c>
      <c r="G179" t="inlineStr">
        <is>
          <t>未分類 (單據新增)</t>
        </is>
      </c>
      <c r="I179" t="inlineStr"/>
      <c r="J179" t="n">
        <v>1</v>
      </c>
      <c r="K179" t="n">
        <v>598</v>
      </c>
      <c r="L179" t="n">
        <v>0.03</v>
      </c>
      <c r="M179">
        <f>J179*K179*L179</f>
        <v/>
      </c>
    </row>
    <row r="180">
      <c r="A180" t="inlineStr">
        <is>
          <t>Shatin Fortress</t>
        </is>
      </c>
      <c r="B180" t="inlineStr">
        <is>
          <t>Shatin Fortress</t>
        </is>
      </c>
      <c r="C180" t="inlineStr">
        <is>
          <t>Margaret</t>
        </is>
      </c>
      <c r="D180" t="inlineStr">
        <is>
          <t>2026-06</t>
        </is>
      </c>
      <c r="E180" t="inlineStr">
        <is>
          <t>2026-06-05 00:00:00</t>
        </is>
      </c>
      <c r="F180" t="inlineStr">
        <is>
          <t>Model-Input-Ref</t>
        </is>
      </c>
      <c r="G180" t="inlineStr">
        <is>
          <t>未分類 (單據新增)</t>
        </is>
      </c>
      <c r="I180" t="inlineStr"/>
      <c r="J180" t="n">
        <v>1</v>
      </c>
      <c r="K180" t="n">
        <v>8988</v>
      </c>
      <c r="L180" t="n">
        <v>0.03</v>
      </c>
      <c r="M180">
        <f>J180*K180*L180</f>
        <v/>
      </c>
    </row>
    <row r="181">
      <c r="A181" t="inlineStr">
        <is>
          <t>Shatin Fortress</t>
        </is>
      </c>
      <c r="B181" t="inlineStr">
        <is>
          <t>Shatin Fortress</t>
        </is>
      </c>
      <c r="C181" t="inlineStr">
        <is>
          <t>Margaret</t>
        </is>
      </c>
      <c r="D181" t="inlineStr">
        <is>
          <t>2026-06</t>
        </is>
      </c>
      <c r="E181" t="inlineStr">
        <is>
          <t>2026-06-05 00:00:00</t>
        </is>
      </c>
      <c r="F181" t="inlineStr">
        <is>
          <t>Model-Input-Ref</t>
        </is>
      </c>
      <c r="G181" t="inlineStr">
        <is>
          <t>未分類 (單據新增)</t>
        </is>
      </c>
      <c r="I181" t="inlineStr"/>
      <c r="J181" t="n">
        <v>1</v>
      </c>
      <c r="K181" t="n">
        <v>598</v>
      </c>
      <c r="L181" t="n">
        <v>0.03</v>
      </c>
      <c r="M181">
        <f>J181*K181*L181</f>
        <v/>
      </c>
    </row>
    <row r="182">
      <c r="A182" t="inlineStr">
        <is>
          <t>Shatin Fortress</t>
        </is>
      </c>
      <c r="B182" t="inlineStr">
        <is>
          <t>Shatin Fortress</t>
        </is>
      </c>
      <c r="C182" t="inlineStr">
        <is>
          <t>Margaret</t>
        </is>
      </c>
      <c r="D182" t="inlineStr">
        <is>
          <t>2026-06</t>
        </is>
      </c>
      <c r="E182" t="inlineStr">
        <is>
          <t>2026-06-05 00:00:00</t>
        </is>
      </c>
      <c r="F182" t="inlineStr">
        <is>
          <t>Model-Input-Ref</t>
        </is>
      </c>
      <c r="G182" t="inlineStr">
        <is>
          <t>未分類 (單據新增)</t>
        </is>
      </c>
      <c r="I182" t="inlineStr"/>
      <c r="J182" t="n">
        <v>1</v>
      </c>
      <c r="K182" t="n">
        <v>848</v>
      </c>
      <c r="L182" t="n">
        <v>0.03</v>
      </c>
      <c r="M182">
        <f>J182*K182*L182</f>
        <v/>
      </c>
    </row>
    <row r="183">
      <c r="A183" t="inlineStr">
        <is>
          <t>Shatin Fortress</t>
        </is>
      </c>
      <c r="B183" t="inlineStr">
        <is>
          <t>Shatin Fortress</t>
        </is>
      </c>
      <c r="C183" t="inlineStr">
        <is>
          <t>Margaret</t>
        </is>
      </c>
      <c r="D183" t="inlineStr">
        <is>
          <t>2026-06</t>
        </is>
      </c>
      <c r="E183" t="inlineStr">
        <is>
          <t>2026-06-06 00:00:00</t>
        </is>
      </c>
      <c r="F183" t="inlineStr">
        <is>
          <t>Model-Input-Ref</t>
        </is>
      </c>
      <c r="G183" t="inlineStr">
        <is>
          <t>未分類 (單據新增)</t>
        </is>
      </c>
      <c r="I183" t="inlineStr"/>
      <c r="J183" t="n">
        <v>1</v>
      </c>
      <c r="K183" t="n">
        <v>598</v>
      </c>
      <c r="L183" t="n">
        <v>0.03</v>
      </c>
      <c r="M183">
        <f>J183*K183*L183</f>
        <v/>
      </c>
    </row>
    <row r="184">
      <c r="A184" t="inlineStr">
        <is>
          <t>Shatin Fortress</t>
        </is>
      </c>
      <c r="B184" t="inlineStr">
        <is>
          <t>Shatin Fortress</t>
        </is>
      </c>
      <c r="C184" t="inlineStr">
        <is>
          <t>Margaret</t>
        </is>
      </c>
      <c r="D184" t="inlineStr">
        <is>
          <t>2026-06</t>
        </is>
      </c>
      <c r="E184" t="inlineStr">
        <is>
          <t>2026-06-06 00:00:00</t>
        </is>
      </c>
      <c r="F184" t="inlineStr">
        <is>
          <t>Model-Input-Ref</t>
        </is>
      </c>
      <c r="G184" t="inlineStr">
        <is>
          <t>未分類 (單據新增)</t>
        </is>
      </c>
      <c r="I184" t="inlineStr"/>
      <c r="J184" t="n">
        <v>1</v>
      </c>
      <c r="K184" t="n">
        <v>598</v>
      </c>
      <c r="L184" t="n">
        <v>0.03</v>
      </c>
      <c r="M184">
        <f>J184*K184*L184</f>
        <v/>
      </c>
    </row>
    <row r="185">
      <c r="A185" t="inlineStr">
        <is>
          <t>Shatin Fortress</t>
        </is>
      </c>
      <c r="B185" t="inlineStr">
        <is>
          <t>Shatin Fortress</t>
        </is>
      </c>
      <c r="C185" t="inlineStr">
        <is>
          <t>Margaret</t>
        </is>
      </c>
      <c r="D185" t="inlineStr">
        <is>
          <t>2026-06</t>
        </is>
      </c>
      <c r="E185" t="inlineStr">
        <is>
          <t>2026-06-06 00:00:00</t>
        </is>
      </c>
      <c r="F185" t="inlineStr">
        <is>
          <t>Model-Input-Ref</t>
        </is>
      </c>
      <c r="G185" t="inlineStr">
        <is>
          <t>未分類 (單據新增)</t>
        </is>
      </c>
      <c r="I185" t="inlineStr"/>
      <c r="J185" t="n">
        <v>1</v>
      </c>
      <c r="K185" t="n">
        <v>1899</v>
      </c>
      <c r="L185" t="n">
        <v>0.03</v>
      </c>
      <c r="M185">
        <f>J185*K185*L185</f>
        <v/>
      </c>
    </row>
    <row r="186">
      <c r="A186" t="inlineStr">
        <is>
          <t>Shatin Fortress</t>
        </is>
      </c>
      <c r="B186" t="inlineStr">
        <is>
          <t>Shatin Fortress</t>
        </is>
      </c>
      <c r="C186" t="inlineStr">
        <is>
          <t>Margaret</t>
        </is>
      </c>
      <c r="D186" t="inlineStr">
        <is>
          <t>2026-06</t>
        </is>
      </c>
      <c r="E186" t="inlineStr">
        <is>
          <t>2026-06-06 00:00:00</t>
        </is>
      </c>
      <c r="F186" t="inlineStr">
        <is>
          <t>Model-Input-Ref</t>
        </is>
      </c>
      <c r="G186" t="inlineStr">
        <is>
          <t>未分類 (單據新增)</t>
        </is>
      </c>
      <c r="I186" t="inlineStr"/>
      <c r="J186" t="n">
        <v>1</v>
      </c>
      <c r="K186" t="n">
        <v>1899</v>
      </c>
      <c r="L186" t="n">
        <v>0.03</v>
      </c>
      <c r="M186">
        <f>J186*K186*L186</f>
        <v/>
      </c>
    </row>
    <row r="187">
      <c r="A187" t="inlineStr">
        <is>
          <t>Shatin Fortress</t>
        </is>
      </c>
      <c r="B187" t="inlineStr">
        <is>
          <t>Shatin Fortress</t>
        </is>
      </c>
      <c r="C187" t="inlineStr">
        <is>
          <t>Margaret</t>
        </is>
      </c>
      <c r="D187" t="inlineStr">
        <is>
          <t>2026-06</t>
        </is>
      </c>
      <c r="E187" t="inlineStr">
        <is>
          <t>2026-06-06 00:00:00</t>
        </is>
      </c>
      <c r="F187" t="inlineStr">
        <is>
          <t>Model-Input-Ref</t>
        </is>
      </c>
      <c r="G187" t="inlineStr">
        <is>
          <t>未分類 (單據新增)</t>
        </is>
      </c>
      <c r="I187" t="inlineStr"/>
      <c r="J187" t="n">
        <v>1</v>
      </c>
      <c r="K187" t="n">
        <v>798</v>
      </c>
      <c r="L187" t="n">
        <v>0.03</v>
      </c>
      <c r="M187">
        <f>J187*K187*L187</f>
        <v/>
      </c>
    </row>
    <row r="188">
      <c r="A188" t="inlineStr">
        <is>
          <t>Shatin Fortress</t>
        </is>
      </c>
      <c r="B188" t="inlineStr">
        <is>
          <t>Shatin Fortress</t>
        </is>
      </c>
      <c r="C188" t="inlineStr">
        <is>
          <t>Margaret</t>
        </is>
      </c>
      <c r="D188" t="inlineStr">
        <is>
          <t>2026-06</t>
        </is>
      </c>
      <c r="E188" t="inlineStr">
        <is>
          <t>2026-06-06 00:00:00</t>
        </is>
      </c>
      <c r="F188" t="inlineStr">
        <is>
          <t>Model-Input-Ref</t>
        </is>
      </c>
      <c r="G188" t="inlineStr">
        <is>
          <t>未分類 (單據新增)</t>
        </is>
      </c>
      <c r="I188" t="inlineStr"/>
      <c r="J188" t="n">
        <v>1</v>
      </c>
      <c r="K188" t="n">
        <v>598</v>
      </c>
      <c r="L188" t="n">
        <v>0.03</v>
      </c>
      <c r="M188">
        <f>J188*K188*L188</f>
        <v/>
      </c>
    </row>
    <row r="189">
      <c r="A189" t="inlineStr">
        <is>
          <t>Shatin Fortress</t>
        </is>
      </c>
      <c r="B189" t="inlineStr">
        <is>
          <t>Shatin Fortress</t>
        </is>
      </c>
      <c r="C189" t="inlineStr">
        <is>
          <t>Margaret</t>
        </is>
      </c>
      <c r="D189" t="inlineStr">
        <is>
          <t>2026-06</t>
        </is>
      </c>
      <c r="E189" t="inlineStr">
        <is>
          <t>2026-06-06 00:00:00</t>
        </is>
      </c>
      <c r="F189" t="inlineStr">
        <is>
          <t>Model-Input-Ref</t>
        </is>
      </c>
      <c r="G189" t="inlineStr">
        <is>
          <t>未分類 (單據新增)</t>
        </is>
      </c>
      <c r="I189" t="inlineStr"/>
      <c r="J189" t="n">
        <v>1</v>
      </c>
      <c r="K189" t="n">
        <v>1899</v>
      </c>
      <c r="L189" t="n">
        <v>0.03</v>
      </c>
      <c r="M189">
        <f>J189*K189*L189</f>
        <v/>
      </c>
    </row>
    <row r="190">
      <c r="A190" t="inlineStr">
        <is>
          <t>Shatin Fortress</t>
        </is>
      </c>
      <c r="B190" t="inlineStr">
        <is>
          <t>Shatin Fortress</t>
        </is>
      </c>
      <c r="C190" t="inlineStr">
        <is>
          <t>Margaret</t>
        </is>
      </c>
      <c r="D190" t="inlineStr">
        <is>
          <t>2026-06</t>
        </is>
      </c>
      <c r="E190" t="inlineStr">
        <is>
          <t>2026-06-06 00:00:00</t>
        </is>
      </c>
      <c r="F190" t="inlineStr">
        <is>
          <t>Model-Input-Ref</t>
        </is>
      </c>
      <c r="G190" t="inlineStr">
        <is>
          <t>未分類 (單據新增)</t>
        </is>
      </c>
      <c r="I190" t="inlineStr"/>
      <c r="J190" t="n">
        <v>1</v>
      </c>
      <c r="K190" t="n">
        <v>1899</v>
      </c>
      <c r="L190" t="n">
        <v>0.03</v>
      </c>
      <c r="M190">
        <f>J190*K190*L190</f>
        <v/>
      </c>
    </row>
    <row r="191">
      <c r="A191" t="inlineStr">
        <is>
          <t>Shatin Fortress</t>
        </is>
      </c>
      <c r="B191" t="inlineStr">
        <is>
          <t>Shatin Fortress</t>
        </is>
      </c>
      <c r="C191" t="inlineStr">
        <is>
          <t>Margaret</t>
        </is>
      </c>
      <c r="D191" t="inlineStr">
        <is>
          <t>2026-06</t>
        </is>
      </c>
      <c r="E191" t="inlineStr">
        <is>
          <t>2026-06-07 00:00:00</t>
        </is>
      </c>
      <c r="F191" t="inlineStr">
        <is>
          <t>Model-Input-Ref</t>
        </is>
      </c>
      <c r="G191" t="inlineStr">
        <is>
          <t>未分類 (單據新增)</t>
        </is>
      </c>
      <c r="I191" t="inlineStr"/>
      <c r="J191" t="n">
        <v>1</v>
      </c>
      <c r="K191" t="n">
        <v>598</v>
      </c>
      <c r="L191" t="n">
        <v>0.03</v>
      </c>
      <c r="M191">
        <f>J191*K191*L191</f>
        <v/>
      </c>
    </row>
    <row r="192">
      <c r="A192" t="inlineStr">
        <is>
          <t>Shatin Fortress</t>
        </is>
      </c>
      <c r="B192" t="inlineStr">
        <is>
          <t>Shatin Fortress</t>
        </is>
      </c>
      <c r="C192" t="inlineStr">
        <is>
          <t>Margaret</t>
        </is>
      </c>
      <c r="D192" t="inlineStr">
        <is>
          <t>2026-06</t>
        </is>
      </c>
      <c r="E192" t="inlineStr">
        <is>
          <t>2026-06-07 00:00:00</t>
        </is>
      </c>
      <c r="F192" t="inlineStr">
        <is>
          <t>Model-Input-Ref</t>
        </is>
      </c>
      <c r="G192" t="inlineStr">
        <is>
          <t>未分類 (單據新增)</t>
        </is>
      </c>
      <c r="I192" t="inlineStr"/>
      <c r="J192" t="n">
        <v>1</v>
      </c>
      <c r="K192" t="n">
        <v>2250</v>
      </c>
      <c r="L192" t="n">
        <v>0.03</v>
      </c>
      <c r="M192">
        <f>J192*K192*L192</f>
        <v/>
      </c>
    </row>
    <row r="193">
      <c r="A193" t="inlineStr">
        <is>
          <t>Shatin Fortress</t>
        </is>
      </c>
      <c r="B193" t="inlineStr">
        <is>
          <t>Shatin Fortress</t>
        </is>
      </c>
      <c r="C193" t="inlineStr">
        <is>
          <t>Margaret</t>
        </is>
      </c>
      <c r="D193" t="inlineStr">
        <is>
          <t>2026-06</t>
        </is>
      </c>
      <c r="E193" t="inlineStr">
        <is>
          <t>2026-06-07 00:00:00</t>
        </is>
      </c>
      <c r="F193" t="inlineStr">
        <is>
          <t>Model-Input-Ref</t>
        </is>
      </c>
      <c r="G193" t="inlineStr">
        <is>
          <t>未分類 (單據新增)</t>
        </is>
      </c>
      <c r="I193" t="inlineStr"/>
      <c r="J193" t="n">
        <v>1</v>
      </c>
      <c r="K193" t="n">
        <v>2250</v>
      </c>
      <c r="L193" t="n">
        <v>0.03</v>
      </c>
      <c r="M193">
        <f>J193*K193*L193</f>
        <v/>
      </c>
    </row>
    <row r="194">
      <c r="A194" t="inlineStr">
        <is>
          <t>Shatin Fortress</t>
        </is>
      </c>
      <c r="B194" t="inlineStr">
        <is>
          <t>Shatin Fortress</t>
        </is>
      </c>
      <c r="C194" t="inlineStr">
        <is>
          <t>Margaret</t>
        </is>
      </c>
      <c r="D194" t="inlineStr">
        <is>
          <t>2026-06</t>
        </is>
      </c>
      <c r="E194" t="inlineStr">
        <is>
          <t>2026-06-07 00:00:00</t>
        </is>
      </c>
      <c r="F194" t="inlineStr">
        <is>
          <t>Model-Input-Ref</t>
        </is>
      </c>
      <c r="G194" t="inlineStr">
        <is>
          <t>未分類 (單據新增)</t>
        </is>
      </c>
      <c r="I194" t="inlineStr"/>
      <c r="J194" t="n">
        <v>1</v>
      </c>
      <c r="K194" t="n">
        <v>1188</v>
      </c>
      <c r="L194" t="n">
        <v>0.03</v>
      </c>
      <c r="M194">
        <f>J194*K194*L194</f>
        <v/>
      </c>
    </row>
    <row r="195">
      <c r="A195" t="inlineStr">
        <is>
          <t>Shatin Fortress</t>
        </is>
      </c>
      <c r="B195" t="inlineStr">
        <is>
          <t>Shatin Fortress</t>
        </is>
      </c>
      <c r="C195" t="inlineStr">
        <is>
          <t>Margaret</t>
        </is>
      </c>
      <c r="D195" t="inlineStr">
        <is>
          <t>2026-06</t>
        </is>
      </c>
      <c r="E195" t="inlineStr">
        <is>
          <t>2026-06-07 00:00:00</t>
        </is>
      </c>
      <c r="F195" t="inlineStr">
        <is>
          <t>Model-Input-Ref</t>
        </is>
      </c>
      <c r="G195" t="inlineStr">
        <is>
          <t>未分類 (單據新增)</t>
        </is>
      </c>
      <c r="I195" t="inlineStr"/>
      <c r="J195" t="n">
        <v>1</v>
      </c>
      <c r="K195" t="n">
        <v>2688</v>
      </c>
      <c r="L195" t="n">
        <v>0.03</v>
      </c>
      <c r="M195">
        <f>J195*K195*L195</f>
        <v/>
      </c>
    </row>
    <row r="196">
      <c r="A196" t="inlineStr">
        <is>
          <t>Shatin Fortress</t>
        </is>
      </c>
      <c r="B196" t="inlineStr">
        <is>
          <t>Shatin Fortress</t>
        </is>
      </c>
      <c r="C196" t="inlineStr">
        <is>
          <t>Margaret</t>
        </is>
      </c>
      <c r="D196" t="inlineStr">
        <is>
          <t>2026-06</t>
        </is>
      </c>
      <c r="E196" t="inlineStr">
        <is>
          <t>2026-06-07 00:00:00</t>
        </is>
      </c>
      <c r="F196" t="inlineStr">
        <is>
          <t>Model-Input-Ref</t>
        </is>
      </c>
      <c r="G196" t="inlineStr">
        <is>
          <t>未分類 (單據新增)</t>
        </is>
      </c>
      <c r="I196" t="inlineStr"/>
      <c r="J196" t="n">
        <v>1</v>
      </c>
      <c r="K196" t="n">
        <v>848</v>
      </c>
      <c r="L196" t="n">
        <v>0.03</v>
      </c>
      <c r="M196">
        <f>J196*K196*L196</f>
        <v/>
      </c>
    </row>
    <row r="197">
      <c r="A197" t="inlineStr">
        <is>
          <t>Shatin Fortress</t>
        </is>
      </c>
      <c r="B197" t="inlineStr">
        <is>
          <t>Shatin Fortress</t>
        </is>
      </c>
      <c r="C197" t="inlineStr">
        <is>
          <t>Margaret</t>
        </is>
      </c>
      <c r="D197" t="inlineStr">
        <is>
          <t>2026-06</t>
        </is>
      </c>
      <c r="E197" t="inlineStr">
        <is>
          <t>2026-06-07 00:00:00</t>
        </is>
      </c>
      <c r="F197" t="inlineStr">
        <is>
          <t>Model-Input-Ref</t>
        </is>
      </c>
      <c r="G197" t="inlineStr">
        <is>
          <t>未分類 (單據新增)</t>
        </is>
      </c>
      <c r="I197" t="inlineStr"/>
      <c r="J197" t="n">
        <v>2</v>
      </c>
      <c r="K197" t="n">
        <v>628</v>
      </c>
      <c r="L197" t="n">
        <v>0.03</v>
      </c>
      <c r="M197">
        <f>J197*K197*L197</f>
        <v/>
      </c>
    </row>
    <row r="198">
      <c r="A198" t="inlineStr">
        <is>
          <t>Shatin Fortress</t>
        </is>
      </c>
      <c r="B198" t="inlineStr">
        <is>
          <t>Shatin Fortress</t>
        </is>
      </c>
      <c r="C198" t="inlineStr">
        <is>
          <t>Margaret</t>
        </is>
      </c>
      <c r="D198" t="inlineStr">
        <is>
          <t>2026-06</t>
        </is>
      </c>
      <c r="E198" t="inlineStr">
        <is>
          <t>2026-06-07 00:00:00</t>
        </is>
      </c>
      <c r="F198" t="inlineStr">
        <is>
          <t>Model-Input-Ref</t>
        </is>
      </c>
      <c r="G198" t="inlineStr">
        <is>
          <t>未分類 (單據新增)</t>
        </is>
      </c>
      <c r="I198" t="inlineStr"/>
      <c r="J198" t="n">
        <v>1</v>
      </c>
      <c r="K198" t="n">
        <v>3688</v>
      </c>
      <c r="L198" t="n">
        <v>0.03</v>
      </c>
      <c r="M198">
        <f>J198*K198*L198</f>
        <v/>
      </c>
    </row>
    <row r="199">
      <c r="A199" t="inlineStr">
        <is>
          <t>Shatin Fortress</t>
        </is>
      </c>
      <c r="B199" t="inlineStr">
        <is>
          <t>Shatin Fortress</t>
        </is>
      </c>
      <c r="C199" t="inlineStr">
        <is>
          <t>Margaret</t>
        </is>
      </c>
      <c r="D199" t="inlineStr">
        <is>
          <t>2026-06</t>
        </is>
      </c>
      <c r="E199" t="inlineStr">
        <is>
          <t>2026-06-07 00:00:00</t>
        </is>
      </c>
      <c r="F199" t="inlineStr">
        <is>
          <t>Model-Input-Ref</t>
        </is>
      </c>
      <c r="G199" t="inlineStr">
        <is>
          <t>未分類 (單據新增)</t>
        </is>
      </c>
      <c r="I199" t="inlineStr"/>
      <c r="J199" t="n">
        <v>1</v>
      </c>
      <c r="K199" t="n">
        <v>1590</v>
      </c>
      <c r="L199" t="n">
        <v>0.03</v>
      </c>
      <c r="M199">
        <f>J199*K199*L199</f>
        <v/>
      </c>
    </row>
    <row r="200">
      <c r="A200" t="inlineStr">
        <is>
          <t>Shatin Fortress</t>
        </is>
      </c>
      <c r="B200" t="inlineStr">
        <is>
          <t>Shatin Fortress</t>
        </is>
      </c>
      <c r="C200" t="inlineStr">
        <is>
          <t>Margaret</t>
        </is>
      </c>
      <c r="D200" t="inlineStr">
        <is>
          <t>2026-06</t>
        </is>
      </c>
      <c r="E200" t="inlineStr">
        <is>
          <t>2026-06-07 00:00:00</t>
        </is>
      </c>
      <c r="F200" t="inlineStr">
        <is>
          <t>Model-Input-Ref</t>
        </is>
      </c>
      <c r="G200" t="inlineStr">
        <is>
          <t>未分類 (單據新增)</t>
        </is>
      </c>
      <c r="I200" t="inlineStr"/>
      <c r="J200" t="n">
        <v>1</v>
      </c>
      <c r="K200" t="n">
        <v>1899</v>
      </c>
      <c r="L200" t="n">
        <v>0.03</v>
      </c>
      <c r="M200">
        <f>J200*K200*L200</f>
        <v/>
      </c>
    </row>
    <row r="201">
      <c r="A201" t="inlineStr">
        <is>
          <t>Shatin Fortress</t>
        </is>
      </c>
      <c r="B201" t="inlineStr">
        <is>
          <t>Shatin Fortress</t>
        </is>
      </c>
      <c r="C201" t="inlineStr">
        <is>
          <t>Margaret</t>
        </is>
      </c>
      <c r="D201" t="inlineStr">
        <is>
          <t>2026-06</t>
        </is>
      </c>
      <c r="E201" t="inlineStr">
        <is>
          <t>2026-06-12 00:00:00</t>
        </is>
      </c>
      <c r="F201" t="inlineStr">
        <is>
          <t>Model-Input-Ref</t>
        </is>
      </c>
      <c r="G201" t="inlineStr">
        <is>
          <t>未分類 (單據新增)</t>
        </is>
      </c>
      <c r="I201" t="inlineStr"/>
      <c r="J201" t="n">
        <v>1</v>
      </c>
      <c r="K201" t="n">
        <v>598</v>
      </c>
      <c r="L201" t="n">
        <v>0.03</v>
      </c>
      <c r="M201">
        <f>J201*K201*L201</f>
        <v/>
      </c>
    </row>
    <row r="202">
      <c r="A202" t="inlineStr">
        <is>
          <t>Shatin Fortress</t>
        </is>
      </c>
      <c r="B202" t="inlineStr">
        <is>
          <t>Shatin Fortress</t>
        </is>
      </c>
      <c r="C202" t="inlineStr">
        <is>
          <t>Margaret</t>
        </is>
      </c>
      <c r="D202" t="inlineStr">
        <is>
          <t>2026-06</t>
        </is>
      </c>
      <c r="E202" t="inlineStr">
        <is>
          <t>2026-06-12 00:00:00</t>
        </is>
      </c>
      <c r="F202" t="inlineStr">
        <is>
          <t>Model-Input-Ref</t>
        </is>
      </c>
      <c r="G202" t="inlineStr">
        <is>
          <t>未分類 (單據新增)</t>
        </is>
      </c>
      <c r="I202" t="inlineStr"/>
      <c r="J202" t="n">
        <v>1</v>
      </c>
      <c r="K202" t="n">
        <v>868</v>
      </c>
      <c r="L202" t="n">
        <v>0.03</v>
      </c>
      <c r="M202">
        <f>J202*K202*L202</f>
        <v/>
      </c>
    </row>
    <row r="203">
      <c r="A203" t="inlineStr">
        <is>
          <t>Shatin Fortress</t>
        </is>
      </c>
      <c r="B203" t="inlineStr">
        <is>
          <t>Shatin Fortress</t>
        </is>
      </c>
      <c r="C203" t="inlineStr">
        <is>
          <t>Margaret</t>
        </is>
      </c>
      <c r="D203" t="inlineStr">
        <is>
          <t>2026-06</t>
        </is>
      </c>
      <c r="E203" t="inlineStr">
        <is>
          <t>2026-06-12 00:00:00</t>
        </is>
      </c>
      <c r="F203" t="inlineStr">
        <is>
          <t>Model-Input-Ref</t>
        </is>
      </c>
      <c r="G203" t="inlineStr">
        <is>
          <t>未分類 (單據新增)</t>
        </is>
      </c>
      <c r="I203" t="inlineStr"/>
      <c r="J203" t="n">
        <v>1</v>
      </c>
      <c r="K203" t="n">
        <v>598</v>
      </c>
      <c r="L203" t="n">
        <v>0.03</v>
      </c>
      <c r="M203">
        <f>J203*K203*L203</f>
        <v/>
      </c>
    </row>
    <row r="204">
      <c r="A204" t="inlineStr">
        <is>
          <t>Shatin Fortress</t>
        </is>
      </c>
      <c r="B204" t="inlineStr">
        <is>
          <t>Shatin Fortress</t>
        </is>
      </c>
      <c r="C204" t="inlineStr">
        <is>
          <t>Margaret</t>
        </is>
      </c>
      <c r="D204" t="inlineStr">
        <is>
          <t>2026-06</t>
        </is>
      </c>
      <c r="E204" t="inlineStr">
        <is>
          <t>2026-06-12 00:00:00</t>
        </is>
      </c>
      <c r="F204" t="inlineStr">
        <is>
          <t>Model-Input-Ref</t>
        </is>
      </c>
      <c r="G204" t="inlineStr">
        <is>
          <t>未分類 (單據新增)</t>
        </is>
      </c>
      <c r="I204" t="inlineStr"/>
      <c r="J204" t="n">
        <v>1</v>
      </c>
      <c r="K204" t="n">
        <v>5388</v>
      </c>
      <c r="L204" t="n">
        <v>0.03</v>
      </c>
      <c r="M204">
        <f>J204*K204*L204</f>
        <v/>
      </c>
    </row>
    <row r="205">
      <c r="A205" t="inlineStr">
        <is>
          <t>Shatin Fortress</t>
        </is>
      </c>
      <c r="B205" t="inlineStr">
        <is>
          <t>Shatin Fortress</t>
        </is>
      </c>
      <c r="C205" t="inlineStr">
        <is>
          <t>Margaret</t>
        </is>
      </c>
      <c r="D205" t="inlineStr">
        <is>
          <t>2026-06</t>
        </is>
      </c>
      <c r="E205" t="inlineStr">
        <is>
          <t>2026-06-12 00:00:00</t>
        </is>
      </c>
      <c r="F205" t="inlineStr">
        <is>
          <t>Model-Input-Ref</t>
        </is>
      </c>
      <c r="G205" t="inlineStr">
        <is>
          <t>未分類 (單據新增)</t>
        </is>
      </c>
      <c r="I205" t="inlineStr"/>
      <c r="J205" t="n">
        <v>1</v>
      </c>
      <c r="K205" t="n">
        <v>1899</v>
      </c>
      <c r="L205" t="n">
        <v>0.03</v>
      </c>
      <c r="M205">
        <f>J205*K205*L205</f>
        <v/>
      </c>
    </row>
    <row r="206">
      <c r="A206" t="inlineStr">
        <is>
          <t>Shatin Fortress</t>
        </is>
      </c>
      <c r="B206" t="inlineStr">
        <is>
          <t>Shatin Fortress</t>
        </is>
      </c>
      <c r="C206" t="inlineStr">
        <is>
          <t>Margaret</t>
        </is>
      </c>
      <c r="D206" t="inlineStr">
        <is>
          <t>2026-06</t>
        </is>
      </c>
      <c r="E206" t="inlineStr">
        <is>
          <t>2026-06-12 00:00:00</t>
        </is>
      </c>
      <c r="F206" t="inlineStr">
        <is>
          <t>Model-Input-Ref</t>
        </is>
      </c>
      <c r="G206" t="inlineStr">
        <is>
          <t>未分類 (單據新增)</t>
        </is>
      </c>
      <c r="I206" t="inlineStr"/>
      <c r="J206" t="n">
        <v>1</v>
      </c>
      <c r="K206" t="n">
        <v>1899</v>
      </c>
      <c r="L206" t="n">
        <v>0.03</v>
      </c>
      <c r="M206">
        <f>J206*K206*L206</f>
        <v/>
      </c>
    </row>
    <row r="207">
      <c r="A207" t="inlineStr">
        <is>
          <t>Shatin Fortress</t>
        </is>
      </c>
      <c r="B207" t="inlineStr">
        <is>
          <t>Shatin Fortress</t>
        </is>
      </c>
      <c r="C207" t="inlineStr">
        <is>
          <t>Margaret</t>
        </is>
      </c>
      <c r="D207" t="inlineStr">
        <is>
          <t>2026-06</t>
        </is>
      </c>
      <c r="E207" t="inlineStr">
        <is>
          <t>2026-06-13 00:00:00</t>
        </is>
      </c>
      <c r="F207" t="inlineStr">
        <is>
          <t>Model-Input-Ref</t>
        </is>
      </c>
      <c r="G207" t="inlineStr">
        <is>
          <t>未分類 (單據新增)</t>
        </is>
      </c>
      <c r="I207" t="inlineStr"/>
      <c r="J207" t="n">
        <v>1</v>
      </c>
      <c r="K207" t="n">
        <v>848</v>
      </c>
      <c r="L207" t="n">
        <v>0.03</v>
      </c>
      <c r="M207">
        <f>J207*K207*L207</f>
        <v/>
      </c>
    </row>
    <row r="208">
      <c r="A208" t="inlineStr">
        <is>
          <t>Shatin Fortress</t>
        </is>
      </c>
      <c r="B208" t="inlineStr">
        <is>
          <t>Shatin Fortress</t>
        </is>
      </c>
      <c r="C208" t="inlineStr">
        <is>
          <t>Margaret</t>
        </is>
      </c>
      <c r="D208" t="inlineStr">
        <is>
          <t>2026-06</t>
        </is>
      </c>
      <c r="E208" t="inlineStr">
        <is>
          <t>2026-06-13 00:00:00</t>
        </is>
      </c>
      <c r="F208" t="inlineStr">
        <is>
          <t>Model-Input-Ref</t>
        </is>
      </c>
      <c r="G208" t="inlineStr">
        <is>
          <t>未分類 (單據新增)</t>
        </is>
      </c>
      <c r="I208" t="inlineStr"/>
      <c r="J208" t="n">
        <v>1</v>
      </c>
      <c r="K208" t="n">
        <v>868</v>
      </c>
      <c r="L208" t="n">
        <v>0.03</v>
      </c>
      <c r="M208">
        <f>J208*K208*L208</f>
        <v/>
      </c>
    </row>
    <row r="209">
      <c r="A209" t="inlineStr">
        <is>
          <t>Shatin Fortress</t>
        </is>
      </c>
      <c r="B209" t="inlineStr">
        <is>
          <t>Shatin Fortress</t>
        </is>
      </c>
      <c r="C209" t="inlineStr">
        <is>
          <t>Margaret</t>
        </is>
      </c>
      <c r="D209" t="inlineStr">
        <is>
          <t>2026-06</t>
        </is>
      </c>
      <c r="E209" t="inlineStr">
        <is>
          <t>2026-06-13 00:00:00</t>
        </is>
      </c>
      <c r="F209" t="inlineStr">
        <is>
          <t>Model-Input-Ref</t>
        </is>
      </c>
      <c r="G209" t="inlineStr">
        <is>
          <t>未分類 (單據新增)</t>
        </is>
      </c>
      <c r="I209" t="inlineStr"/>
      <c r="J209" t="n">
        <v>1</v>
      </c>
      <c r="K209" t="n">
        <v>1899</v>
      </c>
      <c r="L209" t="n">
        <v>0.03</v>
      </c>
      <c r="M209">
        <f>J209*K209*L209</f>
        <v/>
      </c>
    </row>
    <row r="210">
      <c r="A210" t="inlineStr">
        <is>
          <t>Shatin Fortress</t>
        </is>
      </c>
      <c r="B210" t="inlineStr">
        <is>
          <t>Shatin Fortress</t>
        </is>
      </c>
      <c r="C210" t="inlineStr">
        <is>
          <t>Margaret</t>
        </is>
      </c>
      <c r="D210" t="inlineStr">
        <is>
          <t>2026-06</t>
        </is>
      </c>
      <c r="E210" t="inlineStr">
        <is>
          <t>2026-06-13 00:00:00</t>
        </is>
      </c>
      <c r="F210" t="inlineStr">
        <is>
          <t>Model-Input-Ref</t>
        </is>
      </c>
      <c r="G210" t="inlineStr">
        <is>
          <t>未分類 (單據新增)</t>
        </is>
      </c>
      <c r="I210" t="inlineStr"/>
      <c r="J210" t="n">
        <v>1</v>
      </c>
      <c r="K210" t="n">
        <v>598</v>
      </c>
      <c r="L210" t="n">
        <v>0.03</v>
      </c>
      <c r="M210">
        <f>J210*K210*L210</f>
        <v/>
      </c>
    </row>
    <row r="211">
      <c r="A211" t="inlineStr">
        <is>
          <t>Shatin Fortress</t>
        </is>
      </c>
      <c r="B211" t="inlineStr">
        <is>
          <t>Shatin Fortress</t>
        </is>
      </c>
      <c r="C211" t="inlineStr">
        <is>
          <t>Margaret</t>
        </is>
      </c>
      <c r="D211" t="inlineStr">
        <is>
          <t>2026-06</t>
        </is>
      </c>
      <c r="E211" t="inlineStr">
        <is>
          <t>2026-06-13 00:00:00</t>
        </is>
      </c>
      <c r="F211" t="inlineStr">
        <is>
          <t>Model-Input-Ref</t>
        </is>
      </c>
      <c r="G211" t="inlineStr">
        <is>
          <t>未分類 (單據新增)</t>
        </is>
      </c>
      <c r="I211" t="inlineStr"/>
      <c r="J211" t="n">
        <v>1</v>
      </c>
      <c r="K211" t="n">
        <v>598</v>
      </c>
      <c r="L211" t="n">
        <v>0.03</v>
      </c>
      <c r="M211">
        <f>J211*K211*L211</f>
        <v/>
      </c>
    </row>
    <row r="212">
      <c r="A212" t="inlineStr">
        <is>
          <t>Shatin Fortress</t>
        </is>
      </c>
      <c r="B212" t="inlineStr">
        <is>
          <t>Shatin Fortress</t>
        </is>
      </c>
      <c r="C212" t="inlineStr">
        <is>
          <t>Margaret</t>
        </is>
      </c>
      <c r="D212" t="inlineStr">
        <is>
          <t>2026-06</t>
        </is>
      </c>
      <c r="E212" t="inlineStr">
        <is>
          <t>2026-06-13 00:00:00</t>
        </is>
      </c>
      <c r="F212" t="inlineStr">
        <is>
          <t>Model-Input-Ref</t>
        </is>
      </c>
      <c r="G212" t="inlineStr">
        <is>
          <t>未分類 (單據新增)</t>
        </is>
      </c>
      <c r="I212" t="inlineStr"/>
      <c r="J212" t="n">
        <v>1</v>
      </c>
      <c r="K212" t="n">
        <v>598</v>
      </c>
      <c r="L212" t="n">
        <v>0.03</v>
      </c>
      <c r="M212">
        <f>J212*K212*L212</f>
        <v/>
      </c>
    </row>
    <row r="213">
      <c r="A213" t="inlineStr">
        <is>
          <t>Shatin Fortress</t>
        </is>
      </c>
      <c r="B213" t="inlineStr">
        <is>
          <t>Shatin Fortress</t>
        </is>
      </c>
      <c r="C213" t="inlineStr">
        <is>
          <t>Margaret</t>
        </is>
      </c>
      <c r="D213" t="inlineStr">
        <is>
          <t>2026-06</t>
        </is>
      </c>
      <c r="E213" t="inlineStr">
        <is>
          <t>2026-06-13 00:00:00</t>
        </is>
      </c>
      <c r="F213" t="inlineStr">
        <is>
          <t>Model-Input-Ref</t>
        </is>
      </c>
      <c r="G213" t="inlineStr">
        <is>
          <t>未分類 (單據新增)</t>
        </is>
      </c>
      <c r="I213" t="inlineStr"/>
      <c r="J213" t="n">
        <v>1</v>
      </c>
      <c r="K213" t="n">
        <v>868</v>
      </c>
      <c r="L213" t="n">
        <v>0.03</v>
      </c>
      <c r="M213">
        <f>J213*K213*L213</f>
        <v/>
      </c>
    </row>
    <row r="214">
      <c r="A214" t="inlineStr">
        <is>
          <t>Shatin Fortress</t>
        </is>
      </c>
      <c r="B214" t="inlineStr">
        <is>
          <t>Shatin Fortress</t>
        </is>
      </c>
      <c r="C214" t="inlineStr">
        <is>
          <t>Margaret</t>
        </is>
      </c>
      <c r="D214" t="inlineStr">
        <is>
          <t>2026-06</t>
        </is>
      </c>
      <c r="E214" t="inlineStr">
        <is>
          <t>2026-06-13 00:00:00</t>
        </is>
      </c>
      <c r="F214" t="inlineStr">
        <is>
          <t>Model-Input-Ref</t>
        </is>
      </c>
      <c r="G214" t="inlineStr">
        <is>
          <t>未分類 (單據新增)</t>
        </is>
      </c>
      <c r="I214" t="inlineStr"/>
      <c r="J214" t="n">
        <v>1</v>
      </c>
      <c r="K214" t="n">
        <v>598</v>
      </c>
      <c r="L214" t="n">
        <v>0.03</v>
      </c>
      <c r="M214">
        <f>J214*K214*L214</f>
        <v/>
      </c>
    </row>
    <row r="215">
      <c r="A215" t="inlineStr">
        <is>
          <t>Shatin Fortress</t>
        </is>
      </c>
      <c r="B215" t="inlineStr">
        <is>
          <t>Shatin Fortress</t>
        </is>
      </c>
      <c r="C215" t="inlineStr">
        <is>
          <t>Margaret</t>
        </is>
      </c>
      <c r="D215" t="inlineStr">
        <is>
          <t>2026-06</t>
        </is>
      </c>
      <c r="E215" t="inlineStr">
        <is>
          <t>2026-06-13 00:00:00</t>
        </is>
      </c>
      <c r="F215" t="inlineStr">
        <is>
          <t>Model-Input-Ref</t>
        </is>
      </c>
      <c r="G215" t="inlineStr">
        <is>
          <t>未分類 (單據新增)</t>
        </is>
      </c>
      <c r="I215" t="inlineStr"/>
      <c r="J215" t="n">
        <v>1</v>
      </c>
      <c r="K215" t="n">
        <v>2998</v>
      </c>
      <c r="L215" t="n">
        <v>0.03</v>
      </c>
      <c r="M215">
        <f>J215*K215*L215</f>
        <v/>
      </c>
    </row>
    <row r="216">
      <c r="A216" t="inlineStr">
        <is>
          <t>Shatin Fortress</t>
        </is>
      </c>
      <c r="B216" t="inlineStr">
        <is>
          <t>Shatin Fortress</t>
        </is>
      </c>
      <c r="C216" t="inlineStr">
        <is>
          <t>Margaret</t>
        </is>
      </c>
      <c r="D216" t="inlineStr">
        <is>
          <t>2026-06</t>
        </is>
      </c>
      <c r="E216" t="inlineStr">
        <is>
          <t>2026-06-13 00:00:00</t>
        </is>
      </c>
      <c r="F216" t="inlineStr">
        <is>
          <t>Model-Input-Ref</t>
        </is>
      </c>
      <c r="G216" t="inlineStr">
        <is>
          <t>未分類 (單據新增)</t>
        </is>
      </c>
      <c r="I216" t="inlineStr"/>
      <c r="J216" t="n">
        <v>1</v>
      </c>
      <c r="K216" t="n">
        <v>488</v>
      </c>
      <c r="L216" t="n">
        <v>0.03</v>
      </c>
      <c r="M216">
        <f>J216*K216*L216</f>
        <v/>
      </c>
    </row>
    <row r="217">
      <c r="A217" t="inlineStr">
        <is>
          <t>Shatin Fortress</t>
        </is>
      </c>
      <c r="B217" t="inlineStr">
        <is>
          <t>Shatin Fortress</t>
        </is>
      </c>
      <c r="C217" t="inlineStr">
        <is>
          <t>Margaret</t>
        </is>
      </c>
      <c r="D217" t="inlineStr">
        <is>
          <t>2026-06</t>
        </is>
      </c>
      <c r="E217" t="inlineStr">
        <is>
          <t>2026-06-13 00:00:00</t>
        </is>
      </c>
      <c r="F217" t="inlineStr">
        <is>
          <t>Model-Input-Ref</t>
        </is>
      </c>
      <c r="G217" t="inlineStr">
        <is>
          <t>未分類 (單據新增)</t>
        </is>
      </c>
      <c r="I217" t="inlineStr"/>
      <c r="J217" t="n">
        <v>1</v>
      </c>
      <c r="K217" t="n">
        <v>598</v>
      </c>
      <c r="L217" t="n">
        <v>0.03</v>
      </c>
      <c r="M217">
        <f>J217*K217*L217</f>
        <v/>
      </c>
    </row>
    <row r="218">
      <c r="A218" t="inlineStr">
        <is>
          <t>Shatin Fortress</t>
        </is>
      </c>
      <c r="B218" t="inlineStr">
        <is>
          <t>Shatin Fortress</t>
        </is>
      </c>
      <c r="C218" t="inlineStr">
        <is>
          <t>Margaret</t>
        </is>
      </c>
      <c r="D218" t="inlineStr">
        <is>
          <t>2026-06</t>
        </is>
      </c>
      <c r="E218" t="inlineStr">
        <is>
          <t>2026-06-13 00:00:00</t>
        </is>
      </c>
      <c r="F218" t="inlineStr">
        <is>
          <t>Model-Input-Ref</t>
        </is>
      </c>
      <c r="G218" t="inlineStr">
        <is>
          <t>未分類 (單據新增)</t>
        </is>
      </c>
      <c r="I218" t="inlineStr"/>
      <c r="J218" t="n">
        <v>1</v>
      </c>
      <c r="K218" t="n">
        <v>598</v>
      </c>
      <c r="L218" t="n">
        <v>0.03</v>
      </c>
      <c r="M218">
        <f>J218*K218*L218</f>
        <v/>
      </c>
    </row>
    <row r="219">
      <c r="A219" t="inlineStr">
        <is>
          <t>Shatin Fortress</t>
        </is>
      </c>
      <c r="B219" t="inlineStr">
        <is>
          <t>Shatin Fortress</t>
        </is>
      </c>
      <c r="C219" t="inlineStr">
        <is>
          <t>Margaret</t>
        </is>
      </c>
      <c r="D219" t="inlineStr">
        <is>
          <t>2026-06</t>
        </is>
      </c>
      <c r="E219" t="inlineStr">
        <is>
          <t>2026-06-13 00:00:00</t>
        </is>
      </c>
      <c r="F219" t="inlineStr">
        <is>
          <t>Model-Input-Ref</t>
        </is>
      </c>
      <c r="G219" t="inlineStr">
        <is>
          <t>未分類 (單據新增)</t>
        </is>
      </c>
      <c r="I219" t="inlineStr"/>
      <c r="J219" t="n">
        <v>1</v>
      </c>
      <c r="K219" t="n">
        <v>628</v>
      </c>
      <c r="L219" t="n">
        <v>0.03</v>
      </c>
      <c r="M219">
        <f>J219*K219*L219</f>
        <v/>
      </c>
    </row>
    <row r="220">
      <c r="A220" t="inlineStr">
        <is>
          <t>Shatin Fortress</t>
        </is>
      </c>
      <c r="B220" t="inlineStr">
        <is>
          <t>Shatin Fortress</t>
        </is>
      </c>
      <c r="C220" t="inlineStr">
        <is>
          <t>Margaret</t>
        </is>
      </c>
      <c r="D220" t="inlineStr">
        <is>
          <t>2026-06</t>
        </is>
      </c>
      <c r="E220" t="inlineStr">
        <is>
          <t>2026-06-14 00:00:00</t>
        </is>
      </c>
      <c r="F220" t="inlineStr">
        <is>
          <t>Model-Input-Ref</t>
        </is>
      </c>
      <c r="G220" t="inlineStr">
        <is>
          <t>未分類 (單據新增)</t>
        </is>
      </c>
      <c r="I220" t="inlineStr"/>
      <c r="J220" t="n">
        <v>1</v>
      </c>
      <c r="K220" t="n">
        <v>628</v>
      </c>
      <c r="L220" t="n">
        <v>0.03</v>
      </c>
      <c r="M220">
        <f>J220*K220*L220</f>
        <v/>
      </c>
    </row>
    <row r="221">
      <c r="A221" t="inlineStr">
        <is>
          <t>Shatin Fortress</t>
        </is>
      </c>
      <c r="B221" t="inlineStr">
        <is>
          <t>Shatin Fortress</t>
        </is>
      </c>
      <c r="C221" t="inlineStr">
        <is>
          <t>Margaret</t>
        </is>
      </c>
      <c r="D221" t="inlineStr">
        <is>
          <t>2026-06</t>
        </is>
      </c>
      <c r="E221" t="inlineStr">
        <is>
          <t>2026-06-14 00:00:00</t>
        </is>
      </c>
      <c r="F221" t="inlineStr">
        <is>
          <t>Model-Input-Ref</t>
        </is>
      </c>
      <c r="G221" t="inlineStr">
        <is>
          <t>未分類 (單據新增)</t>
        </is>
      </c>
      <c r="I221" t="inlineStr"/>
      <c r="J221" t="n">
        <v>1</v>
      </c>
      <c r="K221" t="n">
        <v>1796</v>
      </c>
      <c r="L221" t="n">
        <v>0.03</v>
      </c>
      <c r="M221">
        <f>J221*K221*L221</f>
        <v/>
      </c>
    </row>
    <row r="222">
      <c r="A222" t="inlineStr">
        <is>
          <t>Shatin Fortress</t>
        </is>
      </c>
      <c r="B222" t="inlineStr">
        <is>
          <t>Shatin Fortress</t>
        </is>
      </c>
      <c r="C222" t="inlineStr">
        <is>
          <t>Margaret</t>
        </is>
      </c>
      <c r="D222" t="inlineStr">
        <is>
          <t>2026-06</t>
        </is>
      </c>
      <c r="E222" t="inlineStr">
        <is>
          <t>2026-06-14 00:00:00</t>
        </is>
      </c>
      <c r="F222" t="inlineStr">
        <is>
          <t>Model-Input-Ref</t>
        </is>
      </c>
      <c r="G222" t="inlineStr">
        <is>
          <t>未分類 (單據新增)</t>
        </is>
      </c>
      <c r="I222" t="inlineStr"/>
      <c r="J222" t="n">
        <v>1</v>
      </c>
      <c r="K222" t="n">
        <v>1899</v>
      </c>
      <c r="L222" t="n">
        <v>0.03</v>
      </c>
      <c r="M222">
        <f>J222*K222*L222</f>
        <v/>
      </c>
    </row>
    <row r="223">
      <c r="A223" t="inlineStr">
        <is>
          <t>Shatin Fortress</t>
        </is>
      </c>
      <c r="B223" t="inlineStr">
        <is>
          <t>Shatin Fortress</t>
        </is>
      </c>
      <c r="C223" t="inlineStr">
        <is>
          <t>Margaret</t>
        </is>
      </c>
      <c r="D223" t="inlineStr">
        <is>
          <t>2026-06</t>
        </is>
      </c>
      <c r="E223" t="inlineStr">
        <is>
          <t>2026-06-14 00:00:00</t>
        </is>
      </c>
      <c r="F223" t="inlineStr">
        <is>
          <t>Model-Input-Ref</t>
        </is>
      </c>
      <c r="G223" t="inlineStr">
        <is>
          <t>未分類 (單據新增)</t>
        </is>
      </c>
      <c r="I223" t="inlineStr"/>
      <c r="J223" t="n">
        <v>1</v>
      </c>
      <c r="K223" t="n">
        <v>2688</v>
      </c>
      <c r="L223" t="n">
        <v>0.03</v>
      </c>
      <c r="M223">
        <f>J223*K223*L223</f>
        <v/>
      </c>
    </row>
    <row r="224">
      <c r="A224" t="inlineStr">
        <is>
          <t>Shatin Fortress</t>
        </is>
      </c>
      <c r="B224" t="inlineStr">
        <is>
          <t>Shatin Fortress</t>
        </is>
      </c>
      <c r="C224" t="inlineStr">
        <is>
          <t>Margaret</t>
        </is>
      </c>
      <c r="D224" t="inlineStr">
        <is>
          <t>2026-06</t>
        </is>
      </c>
      <c r="E224" t="inlineStr">
        <is>
          <t>2026-06-14 00:00:00</t>
        </is>
      </c>
      <c r="F224" t="inlineStr">
        <is>
          <t>Model-Input-Ref</t>
        </is>
      </c>
      <c r="G224" t="inlineStr">
        <is>
          <t>未分類 (單據新增)</t>
        </is>
      </c>
      <c r="I224" t="inlineStr"/>
      <c r="J224" t="n">
        <v>1</v>
      </c>
      <c r="K224" t="n">
        <v>848</v>
      </c>
      <c r="L224" t="n">
        <v>0.03</v>
      </c>
      <c r="M224">
        <f>J224*K224*L224</f>
        <v/>
      </c>
    </row>
    <row r="225">
      <c r="A225" t="inlineStr">
        <is>
          <t>Shatin Fortress</t>
        </is>
      </c>
      <c r="B225" t="inlineStr">
        <is>
          <t>Shatin Fortress</t>
        </is>
      </c>
      <c r="C225" t="inlineStr">
        <is>
          <t>Margaret</t>
        </is>
      </c>
      <c r="D225" t="inlineStr">
        <is>
          <t>2026-06</t>
        </is>
      </c>
      <c r="E225" t="inlineStr">
        <is>
          <t>2026-06-14 00:00:00</t>
        </is>
      </c>
      <c r="F225" t="inlineStr">
        <is>
          <t>Model-Input-Ref</t>
        </is>
      </c>
      <c r="G225" t="inlineStr">
        <is>
          <t>未分類 (單據新增)</t>
        </is>
      </c>
      <c r="I225" t="inlineStr"/>
      <c r="J225" t="n">
        <v>1</v>
      </c>
      <c r="K225" t="n">
        <v>1338</v>
      </c>
      <c r="L225" t="n">
        <v>0.03</v>
      </c>
      <c r="M225">
        <f>J225*K225*L225</f>
        <v/>
      </c>
    </row>
    <row r="226">
      <c r="A226" t="inlineStr">
        <is>
          <t>Shatin Fortress</t>
        </is>
      </c>
      <c r="B226" t="inlineStr">
        <is>
          <t>Shatin Fortress</t>
        </is>
      </c>
      <c r="C226" t="inlineStr">
        <is>
          <t>Margaret</t>
        </is>
      </c>
      <c r="D226" t="inlineStr">
        <is>
          <t>2026-06</t>
        </is>
      </c>
      <c r="E226" t="inlineStr">
        <is>
          <t>2026-06-14 00:00:00</t>
        </is>
      </c>
      <c r="F226" t="inlineStr">
        <is>
          <t>Model-Input-Ref</t>
        </is>
      </c>
      <c r="G226" t="inlineStr">
        <is>
          <t>未分類 (單據新增)</t>
        </is>
      </c>
      <c r="I226" t="inlineStr"/>
      <c r="J226" t="n">
        <v>1</v>
      </c>
      <c r="K226" t="n">
        <v>1338</v>
      </c>
      <c r="L226" t="n">
        <v>0.03</v>
      </c>
      <c r="M226">
        <f>J226*K226*L226</f>
        <v/>
      </c>
    </row>
    <row r="227">
      <c r="A227" t="inlineStr">
        <is>
          <t>Shatin Fortress</t>
        </is>
      </c>
      <c r="B227" t="inlineStr">
        <is>
          <t>Shatin Fortress</t>
        </is>
      </c>
      <c r="C227" t="inlineStr">
        <is>
          <t>Margaret</t>
        </is>
      </c>
      <c r="D227" t="inlineStr">
        <is>
          <t>2026-06</t>
        </is>
      </c>
      <c r="E227" t="inlineStr">
        <is>
          <t>2026-06-14 00:00:00</t>
        </is>
      </c>
      <c r="F227" t="inlineStr">
        <is>
          <t>Model-Input-Ref</t>
        </is>
      </c>
      <c r="G227" t="inlineStr">
        <is>
          <t>未分類 (單據新增)</t>
        </is>
      </c>
      <c r="I227" t="inlineStr"/>
      <c r="J227" t="n">
        <v>1</v>
      </c>
      <c r="K227" t="n">
        <v>3988</v>
      </c>
      <c r="L227" t="n">
        <v>0.03</v>
      </c>
      <c r="M227">
        <f>J227*K227*L227</f>
        <v/>
      </c>
    </row>
    <row r="228">
      <c r="A228" t="inlineStr">
        <is>
          <t>Shatin Fortress</t>
        </is>
      </c>
      <c r="B228" t="inlineStr">
        <is>
          <t>Shatin Fortress</t>
        </is>
      </c>
      <c r="C228" t="inlineStr">
        <is>
          <t>Margaret</t>
        </is>
      </c>
      <c r="D228" t="inlineStr">
        <is>
          <t>2026-06</t>
        </is>
      </c>
      <c r="E228" t="inlineStr">
        <is>
          <t>2026-06-14 00:00:00</t>
        </is>
      </c>
      <c r="F228" t="inlineStr">
        <is>
          <t>Model-Input-Ref</t>
        </is>
      </c>
      <c r="G228" t="inlineStr">
        <is>
          <t>未分類 (單據新增)</t>
        </is>
      </c>
      <c r="I228" t="inlineStr"/>
      <c r="J228" t="n">
        <v>1</v>
      </c>
      <c r="K228" t="n">
        <v>1899</v>
      </c>
      <c r="L228" t="n">
        <v>0.03</v>
      </c>
      <c r="M228">
        <f>J228*K228*L228</f>
        <v/>
      </c>
    </row>
    <row r="229">
      <c r="A229" t="inlineStr">
        <is>
          <t>Shatin Fortress</t>
        </is>
      </c>
      <c r="B229" t="inlineStr">
        <is>
          <t>Shatin Fortress</t>
        </is>
      </c>
      <c r="C229" t="inlineStr">
        <is>
          <t>Margaret</t>
        </is>
      </c>
      <c r="D229" t="inlineStr">
        <is>
          <t>2026-06</t>
        </is>
      </c>
      <c r="E229" t="inlineStr">
        <is>
          <t>2026-06-14 00:00:00</t>
        </is>
      </c>
      <c r="F229" t="inlineStr">
        <is>
          <t>Model-Input-Ref</t>
        </is>
      </c>
      <c r="G229" t="inlineStr">
        <is>
          <t>未分類 (單據新增)</t>
        </is>
      </c>
      <c r="I229" t="inlineStr"/>
      <c r="J229" t="n">
        <v>1</v>
      </c>
      <c r="K229" t="n">
        <v>3988</v>
      </c>
      <c r="L229" t="n">
        <v>0.03</v>
      </c>
      <c r="M229">
        <f>J229*K229*L229</f>
        <v/>
      </c>
    </row>
    <row r="230">
      <c r="A230" t="inlineStr">
        <is>
          <t>Shatin Fortress</t>
        </is>
      </c>
      <c r="B230" t="inlineStr">
        <is>
          <t>Shatin Fortress</t>
        </is>
      </c>
      <c r="C230" t="inlineStr">
        <is>
          <t>Margaret</t>
        </is>
      </c>
      <c r="D230" t="inlineStr">
        <is>
          <t>2026-06</t>
        </is>
      </c>
      <c r="E230" t="inlineStr">
        <is>
          <t>2026-06-14 00:00:00</t>
        </is>
      </c>
      <c r="F230" t="inlineStr">
        <is>
          <t>Model-Input-Ref</t>
        </is>
      </c>
      <c r="G230" t="inlineStr">
        <is>
          <t>未分類 (單據新增)</t>
        </is>
      </c>
      <c r="I230" t="inlineStr"/>
      <c r="J230" t="n">
        <v>1</v>
      </c>
      <c r="K230" t="n">
        <v>3688</v>
      </c>
      <c r="L230" t="n">
        <v>0.03</v>
      </c>
      <c r="M230">
        <f>J230*K230*L230</f>
        <v/>
      </c>
    </row>
    <row r="231">
      <c r="A231" t="inlineStr">
        <is>
          <t>Shatin Fortress</t>
        </is>
      </c>
      <c r="B231" t="inlineStr">
        <is>
          <t>Shatin Fortress</t>
        </is>
      </c>
      <c r="C231" t="inlineStr">
        <is>
          <t>Margaret</t>
        </is>
      </c>
      <c r="D231" t="inlineStr">
        <is>
          <t>2026-06</t>
        </is>
      </c>
      <c r="E231" t="inlineStr">
        <is>
          <t>2026-06-19 00:00:00</t>
        </is>
      </c>
      <c r="F231" t="inlineStr">
        <is>
          <t>Model-Input-Ref</t>
        </is>
      </c>
      <c r="G231" t="inlineStr">
        <is>
          <t>未分類 (單據新增)</t>
        </is>
      </c>
      <c r="I231" t="inlineStr"/>
      <c r="J231" t="n">
        <v>1</v>
      </c>
      <c r="K231" t="n">
        <v>1256</v>
      </c>
      <c r="L231" t="n">
        <v>0.03</v>
      </c>
      <c r="M231">
        <f>J231*K231*L231</f>
        <v/>
      </c>
    </row>
    <row r="232">
      <c r="A232" t="inlineStr">
        <is>
          <t>Shatin Fortress</t>
        </is>
      </c>
      <c r="B232" t="inlineStr">
        <is>
          <t>Shatin Fortress</t>
        </is>
      </c>
      <c r="C232" t="inlineStr">
        <is>
          <t>Margaret</t>
        </is>
      </c>
      <c r="D232" t="inlineStr">
        <is>
          <t>2026-06</t>
        </is>
      </c>
      <c r="E232" t="inlineStr">
        <is>
          <t>2026-06-19 00:00:00</t>
        </is>
      </c>
      <c r="F232" t="inlineStr">
        <is>
          <t>Model-Input-Ref</t>
        </is>
      </c>
      <c r="G232" t="inlineStr">
        <is>
          <t>未分類 (單據新增)</t>
        </is>
      </c>
      <c r="I232" t="inlineStr"/>
      <c r="J232" t="n">
        <v>1</v>
      </c>
      <c r="K232" t="n">
        <v>336</v>
      </c>
      <c r="L232" t="n">
        <v>0.03</v>
      </c>
      <c r="M232">
        <f>J232*K232*L232</f>
        <v/>
      </c>
    </row>
    <row r="233">
      <c r="A233" t="inlineStr">
        <is>
          <t>Shatin Fortress</t>
        </is>
      </c>
      <c r="B233" t="inlineStr">
        <is>
          <t>Shatin Fortress</t>
        </is>
      </c>
      <c r="C233" t="inlineStr">
        <is>
          <t>Margaret</t>
        </is>
      </c>
      <c r="D233" t="inlineStr">
        <is>
          <t>2026-06</t>
        </is>
      </c>
      <c r="E233" t="inlineStr">
        <is>
          <t>2026-06-19 00:00:00</t>
        </is>
      </c>
      <c r="F233" t="inlineStr">
        <is>
          <t>Model-Input-Ref</t>
        </is>
      </c>
      <c r="G233" t="inlineStr">
        <is>
          <t>未分類 (單據新增)</t>
        </is>
      </c>
      <c r="I233" t="inlineStr"/>
      <c r="J233" t="n">
        <v>1</v>
      </c>
      <c r="K233" t="n">
        <v>1899</v>
      </c>
      <c r="L233" t="n">
        <v>0.03</v>
      </c>
      <c r="M233">
        <f>J233*K233*L233</f>
        <v/>
      </c>
    </row>
    <row r="234">
      <c r="A234" t="inlineStr">
        <is>
          <t>Shatin Fortress</t>
        </is>
      </c>
      <c r="B234" t="inlineStr">
        <is>
          <t>Shatin Fortress</t>
        </is>
      </c>
      <c r="C234" t="inlineStr">
        <is>
          <t>Margaret</t>
        </is>
      </c>
      <c r="D234" t="inlineStr">
        <is>
          <t>2026-06</t>
        </is>
      </c>
      <c r="E234" t="inlineStr">
        <is>
          <t>2026-06-19 00:00:00</t>
        </is>
      </c>
      <c r="F234" t="inlineStr">
        <is>
          <t>Model-Input-Ref</t>
        </is>
      </c>
      <c r="G234" t="inlineStr">
        <is>
          <t>未分類 (單據新增)</t>
        </is>
      </c>
      <c r="I234" t="inlineStr"/>
      <c r="J234" t="n">
        <v>1</v>
      </c>
      <c r="K234" t="n">
        <v>598</v>
      </c>
      <c r="L234" t="n">
        <v>0.03</v>
      </c>
      <c r="M234">
        <f>J234*K234*L234</f>
        <v/>
      </c>
    </row>
    <row r="235">
      <c r="A235" t="inlineStr">
        <is>
          <t>Shatin Fortress</t>
        </is>
      </c>
      <c r="B235" t="inlineStr">
        <is>
          <t>Shatin Fortress</t>
        </is>
      </c>
      <c r="C235" t="inlineStr">
        <is>
          <t>Margaret</t>
        </is>
      </c>
      <c r="D235" t="inlineStr">
        <is>
          <t>2026-06</t>
        </is>
      </c>
      <c r="E235" t="inlineStr">
        <is>
          <t>2026-06-19 00:00:00</t>
        </is>
      </c>
      <c r="F235" t="inlineStr">
        <is>
          <t>Model-Input-Ref</t>
        </is>
      </c>
      <c r="G235" t="inlineStr">
        <is>
          <t>未分類 (單據新增)</t>
        </is>
      </c>
      <c r="I235" t="inlineStr"/>
      <c r="J235" t="n">
        <v>1</v>
      </c>
      <c r="K235" t="n">
        <v>598</v>
      </c>
      <c r="L235" t="n">
        <v>0.03</v>
      </c>
      <c r="M235">
        <f>J235*K235*L235</f>
        <v/>
      </c>
    </row>
    <row r="236">
      <c r="A236" t="inlineStr">
        <is>
          <t>Shatin Fortress</t>
        </is>
      </c>
      <c r="B236" t="inlineStr">
        <is>
          <t>Shatin Fortress</t>
        </is>
      </c>
      <c r="C236" t="inlineStr">
        <is>
          <t>Margaret</t>
        </is>
      </c>
      <c r="D236" t="inlineStr">
        <is>
          <t>2026-06</t>
        </is>
      </c>
      <c r="E236" t="inlineStr">
        <is>
          <t>2026-06-19 00:00:00</t>
        </is>
      </c>
      <c r="F236" t="inlineStr">
        <is>
          <t>Model-Input-Ref</t>
        </is>
      </c>
      <c r="G236" t="inlineStr">
        <is>
          <t>未分類 (單據新增)</t>
        </is>
      </c>
      <c r="I236" t="inlineStr"/>
      <c r="J236" t="n">
        <v>1</v>
      </c>
      <c r="K236" t="n">
        <v>628</v>
      </c>
      <c r="L236" t="n">
        <v>0.03</v>
      </c>
      <c r="M236">
        <f>J236*K236*L236</f>
        <v/>
      </c>
    </row>
    <row r="237">
      <c r="A237" t="inlineStr">
        <is>
          <t>Shatin Fortress</t>
        </is>
      </c>
      <c r="B237" t="inlineStr">
        <is>
          <t>Shatin Fortress</t>
        </is>
      </c>
      <c r="C237" t="inlineStr">
        <is>
          <t>Margaret</t>
        </is>
      </c>
      <c r="D237" t="inlineStr">
        <is>
          <t>2026-06</t>
        </is>
      </c>
      <c r="E237" t="inlineStr">
        <is>
          <t>2026-06-19 00:00:00</t>
        </is>
      </c>
      <c r="F237" t="inlineStr">
        <is>
          <t>Model-Input-Ref</t>
        </is>
      </c>
      <c r="G237" t="inlineStr">
        <is>
          <t>未分類 (單據新增)</t>
        </is>
      </c>
      <c r="I237" t="inlineStr"/>
      <c r="J237" t="n">
        <v>1</v>
      </c>
      <c r="K237" t="n">
        <v>1696</v>
      </c>
      <c r="L237" t="n">
        <v>0.03</v>
      </c>
      <c r="M237">
        <f>J237*K237*L237</f>
        <v/>
      </c>
    </row>
    <row r="238">
      <c r="A238" t="inlineStr">
        <is>
          <t>Shatin Fortress</t>
        </is>
      </c>
      <c r="B238" t="inlineStr">
        <is>
          <t>Shatin Fortress</t>
        </is>
      </c>
      <c r="C238" t="inlineStr">
        <is>
          <t>Margaret</t>
        </is>
      </c>
      <c r="D238" t="inlineStr">
        <is>
          <t>2026-06</t>
        </is>
      </c>
      <c r="E238" t="inlineStr">
        <is>
          <t>2026-06-19 00:00:00</t>
        </is>
      </c>
      <c r="F238" t="inlineStr">
        <is>
          <t>Model-Input-Ref</t>
        </is>
      </c>
      <c r="G238" t="inlineStr">
        <is>
          <t>未分類 (單據新增)</t>
        </is>
      </c>
      <c r="I238" t="inlineStr"/>
      <c r="J238" t="n">
        <v>1</v>
      </c>
      <c r="K238" t="n">
        <v>2998</v>
      </c>
      <c r="L238" t="n">
        <v>0.03</v>
      </c>
      <c r="M238">
        <f>J238*K238*L238</f>
        <v/>
      </c>
    </row>
    <row r="239">
      <c r="A239" t="inlineStr">
        <is>
          <t>Shatin Fortress</t>
        </is>
      </c>
      <c r="B239" t="inlineStr">
        <is>
          <t>Shatin Fortress</t>
        </is>
      </c>
      <c r="C239" t="inlineStr">
        <is>
          <t>Margaret</t>
        </is>
      </c>
      <c r="D239" t="inlineStr">
        <is>
          <t>2026-06</t>
        </is>
      </c>
      <c r="E239" t="inlineStr">
        <is>
          <t>2026-06-19 00:00:00</t>
        </is>
      </c>
      <c r="F239" t="inlineStr">
        <is>
          <t>Model-Input-Ref</t>
        </is>
      </c>
      <c r="G239" t="inlineStr">
        <is>
          <t>未分類 (單據新增)</t>
        </is>
      </c>
      <c r="I239" t="inlineStr"/>
      <c r="J239" t="n">
        <v>1</v>
      </c>
      <c r="K239" t="n">
        <v>3988</v>
      </c>
      <c r="L239" t="n">
        <v>0.03</v>
      </c>
      <c r="M239">
        <f>J239*K239*L239</f>
        <v/>
      </c>
    </row>
    <row r="240">
      <c r="A240" t="inlineStr">
        <is>
          <t>Shatin Fortress</t>
        </is>
      </c>
      <c r="B240" t="inlineStr">
        <is>
          <t>Shatin Fortress</t>
        </is>
      </c>
      <c r="C240" t="inlineStr">
        <is>
          <t>Margaret</t>
        </is>
      </c>
      <c r="D240" t="inlineStr">
        <is>
          <t>2026-06</t>
        </is>
      </c>
      <c r="E240" t="inlineStr">
        <is>
          <t>2026-06-19 00:00:00</t>
        </is>
      </c>
      <c r="F240" t="inlineStr">
        <is>
          <t>Model-Input-Ref</t>
        </is>
      </c>
      <c r="G240" t="inlineStr">
        <is>
          <t>未分類 (單據新增)</t>
        </is>
      </c>
      <c r="I240" t="inlineStr"/>
      <c r="J240" t="n">
        <v>1</v>
      </c>
      <c r="K240" t="n">
        <v>598</v>
      </c>
      <c r="L240" t="n">
        <v>0.03</v>
      </c>
      <c r="M240">
        <f>J240*K240*L240</f>
        <v/>
      </c>
    </row>
    <row r="241">
      <c r="A241" t="inlineStr">
        <is>
          <t>Shatin Fortress</t>
        </is>
      </c>
      <c r="B241" t="inlineStr">
        <is>
          <t>Shatin Fortress</t>
        </is>
      </c>
      <c r="C241" t="inlineStr">
        <is>
          <t>Margaret</t>
        </is>
      </c>
      <c r="D241" t="inlineStr">
        <is>
          <t>2026-06</t>
        </is>
      </c>
      <c r="E241" t="inlineStr">
        <is>
          <t>2026-06-20 00:00:00</t>
        </is>
      </c>
      <c r="F241" t="inlineStr">
        <is>
          <t>Model-Input-Ref</t>
        </is>
      </c>
      <c r="G241" t="inlineStr">
        <is>
          <t>未分類 (單據新增)</t>
        </is>
      </c>
      <c r="I241" t="inlineStr"/>
      <c r="J241" t="n">
        <v>1</v>
      </c>
      <c r="K241" t="n">
        <v>628</v>
      </c>
      <c r="L241" t="n">
        <v>0.03</v>
      </c>
      <c r="M241">
        <f>J241*K241*L241</f>
        <v/>
      </c>
    </row>
    <row r="242">
      <c r="A242" t="inlineStr">
        <is>
          <t>Shatin Fortress</t>
        </is>
      </c>
      <c r="B242" t="inlineStr">
        <is>
          <t>Shatin Fortress</t>
        </is>
      </c>
      <c r="C242" t="inlineStr">
        <is>
          <t>Margaret</t>
        </is>
      </c>
      <c r="D242" t="inlineStr">
        <is>
          <t>2026-06</t>
        </is>
      </c>
      <c r="E242" t="inlineStr">
        <is>
          <t>2026-06-20 00:00:00</t>
        </is>
      </c>
      <c r="F242" t="inlineStr">
        <is>
          <t>Model-Input-Ref</t>
        </is>
      </c>
      <c r="G242" t="inlineStr">
        <is>
          <t>未分類 (單據新增)</t>
        </is>
      </c>
      <c r="I242" t="inlineStr"/>
      <c r="J242" t="n">
        <v>1</v>
      </c>
      <c r="K242" t="n">
        <v>5588</v>
      </c>
      <c r="L242" t="n">
        <v>0.03</v>
      </c>
      <c r="M242">
        <f>J242*K242*L242</f>
        <v/>
      </c>
    </row>
    <row r="243">
      <c r="A243" t="inlineStr">
        <is>
          <t>Shatin Fortress</t>
        </is>
      </c>
      <c r="B243" t="inlineStr">
        <is>
          <t>Shatin Fortress</t>
        </is>
      </c>
      <c r="C243" t="inlineStr">
        <is>
          <t>Margaret</t>
        </is>
      </c>
      <c r="D243" t="inlineStr">
        <is>
          <t>2026-06</t>
        </is>
      </c>
      <c r="E243" t="inlineStr">
        <is>
          <t>2026-06-20 00:00:00</t>
        </is>
      </c>
      <c r="F243" t="inlineStr">
        <is>
          <t>Model-Input-Ref</t>
        </is>
      </c>
      <c r="G243" t="inlineStr">
        <is>
          <t>未分類 (單據新增)</t>
        </is>
      </c>
      <c r="I243" t="inlineStr"/>
      <c r="J243" t="n">
        <v>1</v>
      </c>
      <c r="K243" t="n">
        <v>3988</v>
      </c>
      <c r="L243" t="n">
        <v>0.03</v>
      </c>
      <c r="M243">
        <f>J243*K243*L243</f>
        <v/>
      </c>
    </row>
    <row r="244">
      <c r="A244" t="inlineStr">
        <is>
          <t>Shatin Fortress</t>
        </is>
      </c>
      <c r="B244" t="inlineStr">
        <is>
          <t>Shatin Fortress</t>
        </is>
      </c>
      <c r="C244" t="inlineStr">
        <is>
          <t>Margaret</t>
        </is>
      </c>
      <c r="D244" t="inlineStr">
        <is>
          <t>2026-06</t>
        </is>
      </c>
      <c r="E244" t="inlineStr">
        <is>
          <t>2026-06-20 00:00:00</t>
        </is>
      </c>
      <c r="F244" t="inlineStr">
        <is>
          <t>Model-Input-Ref</t>
        </is>
      </c>
      <c r="G244" t="inlineStr">
        <is>
          <t>未分類 (單據新增)</t>
        </is>
      </c>
      <c r="I244" t="inlineStr"/>
      <c r="J244" t="n">
        <v>1</v>
      </c>
      <c r="K244" t="n">
        <v>2388</v>
      </c>
      <c r="L244" t="n">
        <v>0.03</v>
      </c>
      <c r="M244">
        <f>J244*K244*L244</f>
        <v/>
      </c>
    </row>
    <row r="245">
      <c r="A245" t="inlineStr">
        <is>
          <t>Shatin Fortress</t>
        </is>
      </c>
      <c r="B245" t="inlineStr">
        <is>
          <t>Shatin Fortress</t>
        </is>
      </c>
      <c r="C245" t="inlineStr">
        <is>
          <t>Margaret</t>
        </is>
      </c>
      <c r="D245" t="inlineStr">
        <is>
          <t>2026-06</t>
        </is>
      </c>
      <c r="E245" t="inlineStr">
        <is>
          <t>2026-06-20 00:00:00</t>
        </is>
      </c>
      <c r="F245" t="inlineStr">
        <is>
          <t>Model-Input-Ref</t>
        </is>
      </c>
      <c r="G245" t="inlineStr">
        <is>
          <t>未分類 (單據新增)</t>
        </is>
      </c>
      <c r="I245" t="inlineStr"/>
      <c r="J245" t="n">
        <v>1</v>
      </c>
      <c r="K245" t="n">
        <v>598</v>
      </c>
      <c r="L245" t="n">
        <v>0.03</v>
      </c>
      <c r="M245">
        <f>J245*K245*L245</f>
        <v/>
      </c>
    </row>
    <row r="246">
      <c r="A246" t="inlineStr">
        <is>
          <t>Shatin Fortress</t>
        </is>
      </c>
      <c r="B246" t="inlineStr">
        <is>
          <t>Shatin Fortress</t>
        </is>
      </c>
      <c r="C246" t="inlineStr">
        <is>
          <t>Margaret</t>
        </is>
      </c>
      <c r="D246" t="inlineStr">
        <is>
          <t>2026-06</t>
        </is>
      </c>
      <c r="E246" t="inlineStr">
        <is>
          <t>2026-06-20 00:00:00</t>
        </is>
      </c>
      <c r="F246" t="inlineStr">
        <is>
          <t>Model-Input-Ref</t>
        </is>
      </c>
      <c r="G246" t="inlineStr">
        <is>
          <t>未分類 (單據新增)</t>
        </is>
      </c>
      <c r="I246" t="inlineStr"/>
      <c r="J246" t="n">
        <v>1</v>
      </c>
      <c r="K246" t="n">
        <v>628</v>
      </c>
      <c r="L246" t="n">
        <v>0.03</v>
      </c>
      <c r="M246">
        <f>J246*K246*L246</f>
        <v/>
      </c>
    </row>
    <row r="247">
      <c r="A247" t="inlineStr">
        <is>
          <t>Shatin Fortress</t>
        </is>
      </c>
      <c r="B247" t="inlineStr">
        <is>
          <t>Shatin Fortress</t>
        </is>
      </c>
      <c r="C247" t="inlineStr">
        <is>
          <t>Margaret</t>
        </is>
      </c>
      <c r="D247" t="inlineStr">
        <is>
          <t>2026-06</t>
        </is>
      </c>
      <c r="E247" t="inlineStr">
        <is>
          <t>2026-06-21 00:00:00</t>
        </is>
      </c>
      <c r="F247" t="inlineStr">
        <is>
          <t>Model-Input-Ref</t>
        </is>
      </c>
      <c r="G247" t="inlineStr">
        <is>
          <t>未分類 (單據新增)</t>
        </is>
      </c>
      <c r="I247" t="inlineStr"/>
      <c r="J247" t="n">
        <v>1</v>
      </c>
      <c r="K247" t="n">
        <v>168</v>
      </c>
      <c r="L247" t="n">
        <v>0.03</v>
      </c>
      <c r="M247">
        <f>J247*K247*L247</f>
        <v/>
      </c>
    </row>
    <row r="248">
      <c r="A248" t="inlineStr">
        <is>
          <t>Shatin Fortress</t>
        </is>
      </c>
      <c r="B248" t="inlineStr">
        <is>
          <t>Shatin Fortress</t>
        </is>
      </c>
      <c r="C248" t="inlineStr">
        <is>
          <t>Margaret</t>
        </is>
      </c>
      <c r="D248" t="inlineStr">
        <is>
          <t>2026-06</t>
        </is>
      </c>
      <c r="E248" t="inlineStr">
        <is>
          <t>2026-06-21 00:00:00</t>
        </is>
      </c>
      <c r="F248" t="inlineStr">
        <is>
          <t>Model-Input-Ref</t>
        </is>
      </c>
      <c r="G248" t="inlineStr">
        <is>
          <t>未分類 (單據新增)</t>
        </is>
      </c>
      <c r="I248" t="inlineStr"/>
      <c r="J248" t="n">
        <v>1</v>
      </c>
      <c r="K248" t="n">
        <v>628</v>
      </c>
      <c r="L248" t="n">
        <v>0.03</v>
      </c>
      <c r="M248">
        <f>J248*K248*L248</f>
        <v/>
      </c>
    </row>
    <row r="249">
      <c r="A249" t="inlineStr">
        <is>
          <t>Shatin Fortress</t>
        </is>
      </c>
      <c r="B249" t="inlineStr">
        <is>
          <t>Shatin Fortress</t>
        </is>
      </c>
      <c r="C249" t="inlineStr">
        <is>
          <t>Margaret</t>
        </is>
      </c>
      <c r="D249" t="inlineStr">
        <is>
          <t>2026-06</t>
        </is>
      </c>
      <c r="E249" t="inlineStr">
        <is>
          <t>2026-06-21 00:00:00</t>
        </is>
      </c>
      <c r="F249" t="inlineStr">
        <is>
          <t>Model-Input-Ref</t>
        </is>
      </c>
      <c r="G249" t="inlineStr">
        <is>
          <t>未分類 (單據新增)</t>
        </is>
      </c>
      <c r="I249" t="inlineStr"/>
      <c r="J249" t="n">
        <v>1</v>
      </c>
      <c r="K249" t="n">
        <v>598</v>
      </c>
      <c r="L249" t="n">
        <v>0.03</v>
      </c>
      <c r="M249">
        <f>J249*K249*L249</f>
        <v/>
      </c>
    </row>
    <row r="250">
      <c r="A250" t="inlineStr">
        <is>
          <t>Shatin Fortress</t>
        </is>
      </c>
      <c r="B250" t="inlineStr">
        <is>
          <t>Shatin Fortress</t>
        </is>
      </c>
      <c r="C250" t="inlineStr">
        <is>
          <t>Margaret</t>
        </is>
      </c>
      <c r="D250" t="inlineStr">
        <is>
          <t>2026-06</t>
        </is>
      </c>
      <c r="E250" t="inlineStr">
        <is>
          <t>2026-06-21 00:00:00</t>
        </is>
      </c>
      <c r="F250" t="inlineStr">
        <is>
          <t>Model-Input-Ref</t>
        </is>
      </c>
      <c r="G250" t="inlineStr">
        <is>
          <t>未分類 (單據新增)</t>
        </is>
      </c>
      <c r="I250" t="inlineStr"/>
      <c r="J250" t="n">
        <v>1</v>
      </c>
      <c r="K250" t="n">
        <v>628</v>
      </c>
      <c r="L250" t="n">
        <v>0.03</v>
      </c>
      <c r="M250">
        <f>J250*K250*L250</f>
        <v/>
      </c>
    </row>
    <row r="251">
      <c r="A251" t="inlineStr">
        <is>
          <t>Shatin Fortress</t>
        </is>
      </c>
      <c r="B251" t="inlineStr">
        <is>
          <t>Shatin Fortress</t>
        </is>
      </c>
      <c r="C251" t="inlineStr">
        <is>
          <t>Margaret</t>
        </is>
      </c>
      <c r="D251" t="inlineStr">
        <is>
          <t>2026-06</t>
        </is>
      </c>
      <c r="E251" t="inlineStr">
        <is>
          <t>2026-06-21 00:00:00</t>
        </is>
      </c>
      <c r="F251" t="inlineStr">
        <is>
          <t>Model-Input-Ref</t>
        </is>
      </c>
      <c r="G251" t="inlineStr">
        <is>
          <t>未分類 (單據新增)</t>
        </is>
      </c>
      <c r="I251" t="inlineStr"/>
      <c r="J251" t="n">
        <v>1</v>
      </c>
      <c r="K251" t="n">
        <v>676</v>
      </c>
      <c r="L251" t="n">
        <v>0.03</v>
      </c>
      <c r="M251">
        <f>J251*K251*L251</f>
        <v/>
      </c>
    </row>
    <row r="252">
      <c r="A252" t="inlineStr">
        <is>
          <t>Shatin Fortress</t>
        </is>
      </c>
      <c r="B252" t="inlineStr">
        <is>
          <t>Shatin Fortress</t>
        </is>
      </c>
      <c r="C252" t="inlineStr">
        <is>
          <t>Margaret</t>
        </is>
      </c>
      <c r="D252" t="inlineStr">
        <is>
          <t>2026-06</t>
        </is>
      </c>
      <c r="E252" t="inlineStr">
        <is>
          <t>2026-06-21 00:00:00</t>
        </is>
      </c>
      <c r="F252" t="inlineStr">
        <is>
          <t>Model-Input-Ref</t>
        </is>
      </c>
      <c r="G252" t="inlineStr">
        <is>
          <t>未分類 (單據新增)</t>
        </is>
      </c>
      <c r="I252" t="inlineStr"/>
      <c r="J252" t="n">
        <v>1</v>
      </c>
      <c r="K252" t="n">
        <v>1256</v>
      </c>
      <c r="L252" t="n">
        <v>0.03</v>
      </c>
      <c r="M252">
        <f>J252*K252*L252</f>
        <v/>
      </c>
    </row>
    <row r="253">
      <c r="A253" t="inlineStr">
        <is>
          <t>Shatin Fortress</t>
        </is>
      </c>
      <c r="B253" t="inlineStr">
        <is>
          <t>Shatin Fortress</t>
        </is>
      </c>
      <c r="C253" t="inlineStr">
        <is>
          <t>Margaret</t>
        </is>
      </c>
      <c r="D253" t="inlineStr">
        <is>
          <t>2026-06</t>
        </is>
      </c>
      <c r="E253" t="inlineStr">
        <is>
          <t>2026-06-21 00:00:00</t>
        </is>
      </c>
      <c r="F253" t="inlineStr">
        <is>
          <t>Model-Input-Ref</t>
        </is>
      </c>
      <c r="G253" t="inlineStr">
        <is>
          <t>未分類 (單據新增)</t>
        </is>
      </c>
      <c r="I253" t="inlineStr"/>
      <c r="J253" t="n">
        <v>1</v>
      </c>
      <c r="K253" t="n">
        <v>1899</v>
      </c>
      <c r="L253" t="n">
        <v>0.03</v>
      </c>
      <c r="M253">
        <f>J253*K253*L253</f>
        <v/>
      </c>
    </row>
    <row r="254">
      <c r="A254" t="inlineStr">
        <is>
          <t>Shatin Fortress</t>
        </is>
      </c>
      <c r="B254" t="inlineStr">
        <is>
          <t>Shatin Fortress</t>
        </is>
      </c>
      <c r="C254" t="inlineStr">
        <is>
          <t>Margaret</t>
        </is>
      </c>
      <c r="D254" t="inlineStr">
        <is>
          <t>2026-06</t>
        </is>
      </c>
      <c r="E254" t="inlineStr">
        <is>
          <t>2026-06-21 00:00:00</t>
        </is>
      </c>
      <c r="F254" t="inlineStr">
        <is>
          <t>Model-Input-Ref</t>
        </is>
      </c>
      <c r="G254" t="inlineStr">
        <is>
          <t>未分類 (單據新增)</t>
        </is>
      </c>
      <c r="I254" t="inlineStr"/>
      <c r="J254" t="n">
        <v>1</v>
      </c>
      <c r="K254" t="n">
        <v>1388</v>
      </c>
      <c r="L254" t="n">
        <v>0.03</v>
      </c>
      <c r="M254">
        <f>J254*K254*L254</f>
        <v/>
      </c>
    </row>
    <row r="255">
      <c r="A255" t="inlineStr">
        <is>
          <t>Shatin Fortress</t>
        </is>
      </c>
      <c r="B255" t="inlineStr">
        <is>
          <t>Shatin Fortress</t>
        </is>
      </c>
      <c r="C255" t="inlineStr">
        <is>
          <t>Margaret</t>
        </is>
      </c>
      <c r="D255" t="inlineStr">
        <is>
          <t>2026-06</t>
        </is>
      </c>
      <c r="E255" t="inlineStr">
        <is>
          <t>2026-06-21 00:00:00</t>
        </is>
      </c>
      <c r="F255" t="inlineStr">
        <is>
          <t>Model-Input-Ref</t>
        </is>
      </c>
      <c r="G255" t="inlineStr">
        <is>
          <t>未分類 (單據新增)</t>
        </is>
      </c>
      <c r="I255" t="inlineStr"/>
      <c r="J255" t="n">
        <v>1</v>
      </c>
      <c r="K255" t="n">
        <v>1899</v>
      </c>
      <c r="L255" t="n">
        <v>0.03</v>
      </c>
      <c r="M255">
        <f>J255*K255*L255</f>
        <v/>
      </c>
    </row>
    <row r="256">
      <c r="A256" t="inlineStr">
        <is>
          <t>Shatin Fortress</t>
        </is>
      </c>
      <c r="B256" t="inlineStr">
        <is>
          <t>Shatin Fortress</t>
        </is>
      </c>
      <c r="C256" t="inlineStr">
        <is>
          <t>Margaret</t>
        </is>
      </c>
      <c r="D256" t="inlineStr">
        <is>
          <t>2026-06</t>
        </is>
      </c>
      <c r="E256" t="inlineStr">
        <is>
          <t>2026-06-21 00:00:00</t>
        </is>
      </c>
      <c r="F256" t="inlineStr">
        <is>
          <t>Model-Input-Ref</t>
        </is>
      </c>
      <c r="G256" t="inlineStr">
        <is>
          <t>未分類 (單據新增)</t>
        </is>
      </c>
      <c r="I256" t="inlineStr"/>
      <c r="J256" t="n">
        <v>1</v>
      </c>
      <c r="K256" t="n">
        <v>1696</v>
      </c>
      <c r="L256" t="n">
        <v>0.03</v>
      </c>
      <c r="M256">
        <f>J256*K256*L256</f>
        <v/>
      </c>
    </row>
    <row r="257">
      <c r="A257" t="inlineStr">
        <is>
          <t>Shatin Fortress</t>
        </is>
      </c>
      <c r="B257" t="inlineStr">
        <is>
          <t>Shatin Fortress</t>
        </is>
      </c>
      <c r="C257" t="inlineStr">
        <is>
          <t>Margaret</t>
        </is>
      </c>
      <c r="D257" t="inlineStr">
        <is>
          <t>2026-06</t>
        </is>
      </c>
      <c r="E257" t="inlineStr">
        <is>
          <t>2026-06-21 00:00:00</t>
        </is>
      </c>
      <c r="F257" t="inlineStr">
        <is>
          <t>Model-Input-Ref</t>
        </is>
      </c>
      <c r="G257" t="inlineStr">
        <is>
          <t>未分類 (單據新增)</t>
        </is>
      </c>
      <c r="I257" t="inlineStr"/>
      <c r="J257" t="n">
        <v>1</v>
      </c>
      <c r="K257" t="n">
        <v>848</v>
      </c>
      <c r="L257" t="n">
        <v>0.03</v>
      </c>
      <c r="M257">
        <f>J257*K257*L257</f>
        <v/>
      </c>
    </row>
    <row r="258">
      <c r="A258" t="inlineStr">
        <is>
          <t>Shatin Fortress</t>
        </is>
      </c>
      <c r="B258" t="inlineStr">
        <is>
          <t>Shatin Fortress</t>
        </is>
      </c>
      <c r="C258" t="inlineStr">
        <is>
          <t>Margaret</t>
        </is>
      </c>
      <c r="D258" t="inlineStr">
        <is>
          <t>2026-06</t>
        </is>
      </c>
      <c r="E258" t="inlineStr">
        <is>
          <t>2026-06-21 00:00:00</t>
        </is>
      </c>
      <c r="F258" t="inlineStr">
        <is>
          <t>Model-Input-Ref</t>
        </is>
      </c>
      <c r="G258" t="inlineStr">
        <is>
          <t>未分類 (單據新增)</t>
        </is>
      </c>
      <c r="I258" t="inlineStr"/>
      <c r="J258" t="n">
        <v>1</v>
      </c>
      <c r="K258" t="n">
        <v>628</v>
      </c>
      <c r="L258" t="n">
        <v>0.03</v>
      </c>
      <c r="M258">
        <f>J258*K258*L258</f>
        <v/>
      </c>
    </row>
    <row r="259">
      <c r="A259" t="inlineStr">
        <is>
          <t>Shatin Fortress</t>
        </is>
      </c>
      <c r="B259" t="inlineStr">
        <is>
          <t>Shatin Fortress</t>
        </is>
      </c>
      <c r="C259" t="inlineStr">
        <is>
          <t>Margaret</t>
        </is>
      </c>
      <c r="D259" t="inlineStr">
        <is>
          <t>2026-06</t>
        </is>
      </c>
      <c r="E259" t="inlineStr">
        <is>
          <t>2026-06-21 00:00:00</t>
        </is>
      </c>
      <c r="F259" t="inlineStr">
        <is>
          <t>Model-Input-Ref</t>
        </is>
      </c>
      <c r="G259" t="inlineStr">
        <is>
          <t>未分類 (單據新增)</t>
        </is>
      </c>
      <c r="I259" t="inlineStr"/>
      <c r="J259" t="n">
        <v>1</v>
      </c>
      <c r="K259" t="n">
        <v>848</v>
      </c>
      <c r="L259" t="n">
        <v>0.03</v>
      </c>
      <c r="M259">
        <f>J259*K259*L259</f>
        <v/>
      </c>
    </row>
    <row r="260">
      <c r="A260" t="inlineStr">
        <is>
          <t>Shatin Fortress</t>
        </is>
      </c>
      <c r="B260" t="inlineStr">
        <is>
          <t>Shatin Fortress</t>
        </is>
      </c>
      <c r="C260" t="inlineStr">
        <is>
          <t>Margaret</t>
        </is>
      </c>
      <c r="D260" t="inlineStr">
        <is>
          <t>2026-06</t>
        </is>
      </c>
      <c r="E260" t="inlineStr">
        <is>
          <t>2026-06-21 00:00:00</t>
        </is>
      </c>
      <c r="F260" t="inlineStr">
        <is>
          <t>Model-Input-Ref</t>
        </is>
      </c>
      <c r="G260" t="inlineStr">
        <is>
          <t>未分類 (單據新增)</t>
        </is>
      </c>
      <c r="I260" t="inlineStr"/>
      <c r="J260" t="n">
        <v>1</v>
      </c>
      <c r="K260" t="n">
        <v>4288</v>
      </c>
      <c r="L260" t="n">
        <v>0.03</v>
      </c>
      <c r="M260">
        <f>J260*K260*L260</f>
        <v/>
      </c>
    </row>
    <row r="261">
      <c r="A261" t="inlineStr">
        <is>
          <t>Shatin Fortress</t>
        </is>
      </c>
      <c r="B261" t="inlineStr">
        <is>
          <t>Shatin Fortress</t>
        </is>
      </c>
      <c r="C261" t="inlineStr">
        <is>
          <t>Margaret</t>
        </is>
      </c>
      <c r="D261" t="inlineStr">
        <is>
          <t>2026-06</t>
        </is>
      </c>
      <c r="E261" t="inlineStr">
        <is>
          <t>2026-06-21 00:00:00</t>
        </is>
      </c>
      <c r="F261" t="inlineStr">
        <is>
          <t>Model-Input-Ref</t>
        </is>
      </c>
      <c r="G261" t="inlineStr">
        <is>
          <t>未分類 (單據新增)</t>
        </is>
      </c>
      <c r="I261" t="inlineStr"/>
      <c r="J261" t="n">
        <v>1</v>
      </c>
      <c r="K261" t="n">
        <v>848</v>
      </c>
      <c r="L261" t="n">
        <v>0.03</v>
      </c>
      <c r="M261">
        <f>J261*K261*L261</f>
        <v/>
      </c>
    </row>
    <row r="262">
      <c r="A262" t="inlineStr">
        <is>
          <t>Shatin Fortress</t>
        </is>
      </c>
      <c r="B262" t="inlineStr">
        <is>
          <t>Shatin Fortress</t>
        </is>
      </c>
      <c r="C262" t="inlineStr">
        <is>
          <t>Margaret</t>
        </is>
      </c>
      <c r="D262" t="inlineStr">
        <is>
          <t>2026-06</t>
        </is>
      </c>
      <c r="E262" t="inlineStr">
        <is>
          <t>2026-06-21 00:00:00</t>
        </is>
      </c>
      <c r="F262" t="inlineStr">
        <is>
          <t>Model-Input-Ref</t>
        </is>
      </c>
      <c r="G262" t="inlineStr">
        <is>
          <t>未分類 (單據新增)</t>
        </is>
      </c>
      <c r="I262" t="inlineStr"/>
      <c r="J262" t="n">
        <v>1</v>
      </c>
      <c r="K262" t="n">
        <v>1899</v>
      </c>
      <c r="L262" t="n">
        <v>0.03</v>
      </c>
      <c r="M262">
        <f>J262*K262*L262</f>
        <v/>
      </c>
    </row>
    <row r="263">
      <c r="A263" t="inlineStr">
        <is>
          <t>Shatin Fortress</t>
        </is>
      </c>
      <c r="B263" t="inlineStr">
        <is>
          <t>Shatin Fortress</t>
        </is>
      </c>
      <c r="C263" t="inlineStr">
        <is>
          <t>Margaret</t>
        </is>
      </c>
      <c r="D263" t="inlineStr">
        <is>
          <t>2026-06</t>
        </is>
      </c>
      <c r="E263" t="inlineStr">
        <is>
          <t>2026-06-21 00:00:00</t>
        </is>
      </c>
      <c r="F263" t="inlineStr">
        <is>
          <t>Model-Input-Ref</t>
        </is>
      </c>
      <c r="G263" t="inlineStr">
        <is>
          <t>未分類 (單據新增)</t>
        </is>
      </c>
      <c r="I263" t="inlineStr"/>
      <c r="J263" t="n">
        <v>1</v>
      </c>
      <c r="K263" t="n">
        <v>2688</v>
      </c>
      <c r="L263" t="n">
        <v>0.03</v>
      </c>
      <c r="M263">
        <f>J263*K263*L263</f>
        <v/>
      </c>
    </row>
    <row r="264">
      <c r="A264" t="inlineStr">
        <is>
          <t>Shatin Fortress</t>
        </is>
      </c>
      <c r="B264" t="inlineStr">
        <is>
          <t>Shatin Fortress</t>
        </is>
      </c>
      <c r="C264" t="inlineStr">
        <is>
          <t>Margaret</t>
        </is>
      </c>
      <c r="D264" t="inlineStr">
        <is>
          <t>2026-06</t>
        </is>
      </c>
      <c r="E264" t="inlineStr">
        <is>
          <t>2026-06-21 00:00:00</t>
        </is>
      </c>
      <c r="F264" t="inlineStr">
        <is>
          <t>Model-Input-Ref</t>
        </is>
      </c>
      <c r="G264" t="inlineStr">
        <is>
          <t>未分類 (單據新增)</t>
        </is>
      </c>
      <c r="I264" t="inlineStr"/>
      <c r="J264" t="n">
        <v>1</v>
      </c>
      <c r="K264" t="n">
        <v>868</v>
      </c>
      <c r="L264" t="n">
        <v>0.03</v>
      </c>
      <c r="M264">
        <f>J264*K264*L264</f>
        <v/>
      </c>
    </row>
    <row r="265">
      <c r="A265" t="inlineStr">
        <is>
          <t>Shatin Fortress</t>
        </is>
      </c>
      <c r="B265" t="inlineStr">
        <is>
          <t>Shatin Fortress</t>
        </is>
      </c>
      <c r="C265" t="inlineStr">
        <is>
          <t>Margaret</t>
        </is>
      </c>
      <c r="D265" t="inlineStr">
        <is>
          <t>2026-06</t>
        </is>
      </c>
      <c r="E265" t="inlineStr">
        <is>
          <t>2026-06-25 00:00:00</t>
        </is>
      </c>
      <c r="F265" t="inlineStr">
        <is>
          <t>Model-Input-Ref</t>
        </is>
      </c>
      <c r="G265" t="inlineStr">
        <is>
          <t>未分類 (單據新增)</t>
        </is>
      </c>
      <c r="I265" t="inlineStr"/>
      <c r="J265" t="n">
        <v>1</v>
      </c>
      <c r="K265" t="n">
        <v>598</v>
      </c>
      <c r="L265" t="n">
        <v>0.03</v>
      </c>
      <c r="M265">
        <f>J265*K265*L265</f>
        <v/>
      </c>
    </row>
    <row r="266">
      <c r="A266" t="inlineStr">
        <is>
          <t>Shatin Fortress</t>
        </is>
      </c>
      <c r="B266" t="inlineStr">
        <is>
          <t>Shatin Fortress</t>
        </is>
      </c>
      <c r="C266" t="inlineStr">
        <is>
          <t>Margaret</t>
        </is>
      </c>
      <c r="D266" t="inlineStr">
        <is>
          <t>2026-06</t>
        </is>
      </c>
      <c r="E266" t="inlineStr">
        <is>
          <t>2026-06-25 00:00:00</t>
        </is>
      </c>
      <c r="F266" t="inlineStr">
        <is>
          <t>Model-Input-Ref</t>
        </is>
      </c>
      <c r="G266" t="inlineStr">
        <is>
          <t>未分類 (單據新增)</t>
        </is>
      </c>
      <c r="I266" t="inlineStr"/>
      <c r="J266" t="n">
        <v>1</v>
      </c>
      <c r="K266" t="n">
        <v>628</v>
      </c>
      <c r="L266" t="n">
        <v>0.03</v>
      </c>
      <c r="M266">
        <f>J266*K266*L266</f>
        <v/>
      </c>
    </row>
    <row r="267">
      <c r="A267" t="inlineStr">
        <is>
          <t>Shatin Fortress</t>
        </is>
      </c>
      <c r="B267" t="inlineStr">
        <is>
          <t>Shatin Fortress</t>
        </is>
      </c>
      <c r="C267" t="inlineStr">
        <is>
          <t>Margaret</t>
        </is>
      </c>
      <c r="D267" t="inlineStr">
        <is>
          <t>2026-06</t>
        </is>
      </c>
      <c r="E267" t="inlineStr">
        <is>
          <t>2026-06-25 00:00:00</t>
        </is>
      </c>
      <c r="F267" t="inlineStr">
        <is>
          <t>Model-Input-Ref</t>
        </is>
      </c>
      <c r="G267" t="inlineStr">
        <is>
          <t>未分類 (單據新增)</t>
        </is>
      </c>
      <c r="I267" t="inlineStr"/>
      <c r="J267" t="n">
        <v>1</v>
      </c>
      <c r="K267" t="n">
        <v>848</v>
      </c>
      <c r="L267" t="n">
        <v>0.03</v>
      </c>
      <c r="M267">
        <f>J267*K267*L267</f>
        <v/>
      </c>
    </row>
    <row r="268">
      <c r="A268" t="inlineStr">
        <is>
          <t>Shatin Fortress</t>
        </is>
      </c>
      <c r="B268" t="inlineStr">
        <is>
          <t>Shatin Fortress</t>
        </is>
      </c>
      <c r="C268" t="inlineStr">
        <is>
          <t>Margaret</t>
        </is>
      </c>
      <c r="D268" t="inlineStr">
        <is>
          <t>2026-06</t>
        </is>
      </c>
      <c r="E268" t="inlineStr">
        <is>
          <t>2026-06-25 00:00:00</t>
        </is>
      </c>
      <c r="F268" t="inlineStr">
        <is>
          <t>Model-Input-Ref</t>
        </is>
      </c>
      <c r="G268" t="inlineStr">
        <is>
          <t>未分類 (單據新增)</t>
        </is>
      </c>
      <c r="I268" t="inlineStr"/>
      <c r="J268" t="n">
        <v>1</v>
      </c>
      <c r="K268" t="n">
        <v>598</v>
      </c>
      <c r="L268" t="n">
        <v>0.03</v>
      </c>
      <c r="M268">
        <f>J268*K268*L268</f>
        <v/>
      </c>
    </row>
    <row r="269">
      <c r="A269" t="inlineStr">
        <is>
          <t>Shatin Fortress</t>
        </is>
      </c>
      <c r="B269" t="inlineStr">
        <is>
          <t>Shatin Fortress</t>
        </is>
      </c>
      <c r="C269" t="inlineStr">
        <is>
          <t>Margaret</t>
        </is>
      </c>
      <c r="D269" t="inlineStr">
        <is>
          <t>2026-06</t>
        </is>
      </c>
      <c r="E269" t="inlineStr">
        <is>
          <t>2026-06-25 00:00:00</t>
        </is>
      </c>
      <c r="F269" t="inlineStr">
        <is>
          <t>Model-Input-Ref</t>
        </is>
      </c>
      <c r="G269" t="inlineStr">
        <is>
          <t>未分類 (單據新增)</t>
        </is>
      </c>
      <c r="I269" t="inlineStr"/>
      <c r="J269" t="n">
        <v>1</v>
      </c>
      <c r="K269" t="n">
        <v>598</v>
      </c>
      <c r="L269" t="n">
        <v>0.03</v>
      </c>
      <c r="M269">
        <f>J269*K269*L269</f>
        <v/>
      </c>
    </row>
    <row r="270">
      <c r="A270" t="inlineStr">
        <is>
          <t>Shatin Fortress</t>
        </is>
      </c>
      <c r="B270" t="inlineStr">
        <is>
          <t>Shatin Fortress</t>
        </is>
      </c>
      <c r="C270" t="inlineStr">
        <is>
          <t>Margaret</t>
        </is>
      </c>
      <c r="D270" t="inlineStr">
        <is>
          <t>2026-06</t>
        </is>
      </c>
      <c r="E270" t="inlineStr">
        <is>
          <t>2026-06-29 00:00:00</t>
        </is>
      </c>
      <c r="F270" t="inlineStr">
        <is>
          <t>Model-Input-Ref</t>
        </is>
      </c>
      <c r="G270" t="inlineStr">
        <is>
          <t>未分類 (單據新增)</t>
        </is>
      </c>
      <c r="I270" t="inlineStr"/>
      <c r="J270" t="n">
        <v>1</v>
      </c>
      <c r="K270" t="n">
        <v>868</v>
      </c>
      <c r="L270" t="n">
        <v>0.03</v>
      </c>
      <c r="M270">
        <f>J270*K270*L270</f>
        <v/>
      </c>
    </row>
    <row r="271">
      <c r="A271" t="inlineStr">
        <is>
          <t>Shatin Fortress</t>
        </is>
      </c>
      <c r="B271" t="inlineStr">
        <is>
          <t>Shatin Fortress</t>
        </is>
      </c>
      <c r="C271" t="inlineStr">
        <is>
          <t>Margaret</t>
        </is>
      </c>
      <c r="D271" t="inlineStr">
        <is>
          <t>2026-06</t>
        </is>
      </c>
      <c r="E271" t="inlineStr">
        <is>
          <t>2026-06-29 00:00:00</t>
        </is>
      </c>
      <c r="F271" t="inlineStr">
        <is>
          <t>Model-Input-Ref</t>
        </is>
      </c>
      <c r="G271" t="inlineStr">
        <is>
          <t>未分類 (單據新增)</t>
        </is>
      </c>
      <c r="I271" t="inlineStr"/>
      <c r="J271" t="n">
        <v>1</v>
      </c>
      <c r="K271" t="n">
        <v>598</v>
      </c>
      <c r="L271" t="n">
        <v>0.03</v>
      </c>
      <c r="M271">
        <f>J271*K271*L271</f>
        <v/>
      </c>
    </row>
    <row r="272">
      <c r="A272" t="inlineStr">
        <is>
          <t>Shatin Fortress</t>
        </is>
      </c>
      <c r="B272" t="inlineStr">
        <is>
          <t>Shatin Fortress</t>
        </is>
      </c>
      <c r="C272" t="inlineStr">
        <is>
          <t>Margaret</t>
        </is>
      </c>
      <c r="D272" t="inlineStr">
        <is>
          <t>2026-06</t>
        </is>
      </c>
      <c r="E272" t="inlineStr">
        <is>
          <t>2026-06-29 00:00:00</t>
        </is>
      </c>
      <c r="F272" t="inlineStr">
        <is>
          <t>Model-Input-Ref</t>
        </is>
      </c>
      <c r="G272" t="inlineStr">
        <is>
          <t>未分類 (單據新增)</t>
        </is>
      </c>
      <c r="I272" t="inlineStr"/>
      <c r="J272" t="n">
        <v>1</v>
      </c>
      <c r="K272" t="n">
        <v>1338</v>
      </c>
      <c r="L272" t="n">
        <v>0.03</v>
      </c>
      <c r="M272">
        <f>J272*K272*L272</f>
        <v/>
      </c>
    </row>
    <row r="273">
      <c r="A273" t="inlineStr">
        <is>
          <t>Shatin Fortress</t>
        </is>
      </c>
      <c r="B273" t="inlineStr">
        <is>
          <t>Shatin Fortress</t>
        </is>
      </c>
      <c r="C273" t="inlineStr">
        <is>
          <t>Margaret</t>
        </is>
      </c>
      <c r="D273" t="inlineStr">
        <is>
          <t>2026-06</t>
        </is>
      </c>
      <c r="E273" t="inlineStr">
        <is>
          <t>2026-06-29 00:00:00</t>
        </is>
      </c>
      <c r="F273" t="inlineStr">
        <is>
          <t>Model-Input-Ref</t>
        </is>
      </c>
      <c r="G273" t="inlineStr">
        <is>
          <t>未分類 (單據新增)</t>
        </is>
      </c>
      <c r="I273" t="inlineStr"/>
      <c r="J273" t="n">
        <v>1</v>
      </c>
      <c r="K273" t="n">
        <v>628</v>
      </c>
      <c r="L273" t="n">
        <v>0.03</v>
      </c>
      <c r="M273">
        <f>J273*K273*L273</f>
        <v/>
      </c>
    </row>
    <row r="274">
      <c r="A274" t="inlineStr">
        <is>
          <t>Shatin Fortress</t>
        </is>
      </c>
      <c r="B274" t="inlineStr">
        <is>
          <t>Shatin Fortress</t>
        </is>
      </c>
      <c r="C274" t="inlineStr">
        <is>
          <t>Margaret</t>
        </is>
      </c>
      <c r="D274" t="inlineStr">
        <is>
          <t>2026-06</t>
        </is>
      </c>
      <c r="E274" t="inlineStr">
        <is>
          <t>2026-06-29 00:00:00</t>
        </is>
      </c>
      <c r="F274" t="inlineStr">
        <is>
          <t>Model-Input-Ref</t>
        </is>
      </c>
      <c r="G274" t="inlineStr">
        <is>
          <t>未分類 (單據新增)</t>
        </is>
      </c>
      <c r="I274" t="inlineStr"/>
      <c r="J274" t="n">
        <v>1</v>
      </c>
      <c r="K274" t="n">
        <v>868</v>
      </c>
      <c r="L274" t="n">
        <v>0.03</v>
      </c>
      <c r="M274">
        <f>J274*K274*L274</f>
        <v/>
      </c>
    </row>
    <row r="275">
      <c r="A275" t="inlineStr">
        <is>
          <t>Shatin Fortress</t>
        </is>
      </c>
      <c r="B275" t="inlineStr">
        <is>
          <t>Shatin Fortress</t>
        </is>
      </c>
      <c r="C275" t="inlineStr">
        <is>
          <t>Margaret</t>
        </is>
      </c>
      <c r="D275" t="inlineStr">
        <is>
          <t>2026-06</t>
        </is>
      </c>
      <c r="E275" t="inlineStr">
        <is>
          <t>2026-06-29 00:00:00</t>
        </is>
      </c>
      <c r="F275" t="inlineStr">
        <is>
          <t>Model-Input-Ref</t>
        </is>
      </c>
      <c r="G275" t="inlineStr">
        <is>
          <t>未分類 (單據新增)</t>
        </is>
      </c>
      <c r="I275" t="inlineStr"/>
      <c r="J275" t="n">
        <v>1</v>
      </c>
      <c r="K275" t="n">
        <v>2998</v>
      </c>
      <c r="L275" t="n">
        <v>0.03</v>
      </c>
      <c r="M275">
        <f>J275*K275*L275</f>
        <v/>
      </c>
    </row>
    <row r="276">
      <c r="A276" t="inlineStr">
        <is>
          <t>Shatin Fortress</t>
        </is>
      </c>
      <c r="B276" t="inlineStr">
        <is>
          <t>Shatin Fortress</t>
        </is>
      </c>
      <c r="C276" t="inlineStr">
        <is>
          <t>Margaret</t>
        </is>
      </c>
      <c r="D276" t="inlineStr">
        <is>
          <t>2026-06</t>
        </is>
      </c>
      <c r="E276" t="inlineStr">
        <is>
          <t>2026-06-29 00:00:00</t>
        </is>
      </c>
      <c r="F276" t="inlineStr">
        <is>
          <t>Model-Input-Ref</t>
        </is>
      </c>
      <c r="G276" t="inlineStr">
        <is>
          <t>未分類 (單據新增)</t>
        </is>
      </c>
      <c r="I276" t="inlineStr"/>
      <c r="J276" t="n">
        <v>1</v>
      </c>
      <c r="K276" t="n">
        <v>3988</v>
      </c>
      <c r="L276" t="n">
        <v>0.03</v>
      </c>
      <c r="M276">
        <f>J276*K276*L276</f>
        <v/>
      </c>
    </row>
    <row r="277">
      <c r="A277" t="inlineStr">
        <is>
          <t>Shatin Fortress</t>
        </is>
      </c>
      <c r="B277" t="inlineStr">
        <is>
          <t>Shatin Fortress</t>
        </is>
      </c>
      <c r="C277" t="inlineStr">
        <is>
          <t>Margaret</t>
        </is>
      </c>
      <c r="D277" t="inlineStr">
        <is>
          <t>2026-06</t>
        </is>
      </c>
      <c r="E277" t="inlineStr">
        <is>
          <t>2026-06-29 00:00:00</t>
        </is>
      </c>
      <c r="F277" t="inlineStr">
        <is>
          <t>Model-Input-Ref</t>
        </is>
      </c>
      <c r="G277" t="inlineStr">
        <is>
          <t>未分類 (單據新增)</t>
        </is>
      </c>
      <c r="I277" t="inlineStr"/>
      <c r="J277" t="n">
        <v>1</v>
      </c>
      <c r="K277" t="n">
        <v>628</v>
      </c>
      <c r="L277" t="n">
        <v>0.03</v>
      </c>
      <c r="M277">
        <f>J277*K277*L277</f>
        <v/>
      </c>
    </row>
    <row r="278">
      <c r="A278" t="inlineStr">
        <is>
          <t>Central Fortress</t>
        </is>
      </c>
      <c r="B278" t="inlineStr">
        <is>
          <t>Central Fortress</t>
        </is>
      </c>
      <c r="C278" t="inlineStr">
        <is>
          <t>Margaret</t>
        </is>
      </c>
      <c r="D278" t="inlineStr">
        <is>
          <t>2026-06</t>
        </is>
      </c>
      <c r="E278" t="inlineStr">
        <is>
          <t>2026-06-01 00:00:00</t>
        </is>
      </c>
      <c r="F278" t="inlineStr">
        <is>
          <t>Model-Input-Ref</t>
        </is>
      </c>
      <c r="G278" t="inlineStr">
        <is>
          <t>未分類 (單據新增)</t>
        </is>
      </c>
      <c r="I278" t="inlineStr"/>
      <c r="J278" t="n">
        <v>1</v>
      </c>
      <c r="K278" t="n">
        <v>598</v>
      </c>
      <c r="L278" t="n">
        <v>0.03</v>
      </c>
      <c r="M278">
        <f>J278*K278*L278</f>
        <v/>
      </c>
    </row>
    <row r="279">
      <c r="A279" t="inlineStr">
        <is>
          <t>Central Fortress</t>
        </is>
      </c>
      <c r="B279" t="inlineStr">
        <is>
          <t>Central Fortress</t>
        </is>
      </c>
      <c r="C279" t="inlineStr">
        <is>
          <t>Margaret</t>
        </is>
      </c>
      <c r="D279" t="inlineStr">
        <is>
          <t>2026-06</t>
        </is>
      </c>
      <c r="E279" t="inlineStr">
        <is>
          <t>2026-06-01 00:00:00</t>
        </is>
      </c>
      <c r="F279" t="inlineStr">
        <is>
          <t>Model-Input-Ref</t>
        </is>
      </c>
      <c r="G279" t="inlineStr">
        <is>
          <t>未分類 (單據新增)</t>
        </is>
      </c>
      <c r="I279" t="inlineStr"/>
      <c r="J279" t="n">
        <v>1</v>
      </c>
      <c r="K279" t="n">
        <v>2388</v>
      </c>
      <c r="L279" t="n">
        <v>0.03</v>
      </c>
      <c r="M279">
        <f>J279*K279*L279</f>
        <v/>
      </c>
    </row>
    <row r="280">
      <c r="A280" t="inlineStr">
        <is>
          <t>Central Fortress</t>
        </is>
      </c>
      <c r="B280" t="inlineStr">
        <is>
          <t>Central Fortress</t>
        </is>
      </c>
      <c r="C280" t="inlineStr">
        <is>
          <t>Margaret</t>
        </is>
      </c>
      <c r="D280" t="inlineStr">
        <is>
          <t>2026-06</t>
        </is>
      </c>
      <c r="E280" t="inlineStr">
        <is>
          <t>2026-06-01 00:00:00</t>
        </is>
      </c>
      <c r="F280" t="inlineStr">
        <is>
          <t>Model-Input-Ref</t>
        </is>
      </c>
      <c r="G280" t="inlineStr">
        <is>
          <t>未分類 (單據新增)</t>
        </is>
      </c>
      <c r="I280" t="inlineStr"/>
      <c r="J280" t="n">
        <v>1</v>
      </c>
      <c r="K280" t="n">
        <v>598</v>
      </c>
      <c r="L280" t="n">
        <v>0.03</v>
      </c>
      <c r="M280">
        <f>J280*K280*L280</f>
        <v/>
      </c>
    </row>
    <row r="281">
      <c r="A281" t="inlineStr">
        <is>
          <t>Central Fortress</t>
        </is>
      </c>
      <c r="B281" t="inlineStr">
        <is>
          <t>Central Fortress</t>
        </is>
      </c>
      <c r="C281" t="inlineStr">
        <is>
          <t>Margaret</t>
        </is>
      </c>
      <c r="D281" t="inlineStr">
        <is>
          <t>2026-06</t>
        </is>
      </c>
      <c r="E281" t="inlineStr">
        <is>
          <t>2026-06-01 00:00:00</t>
        </is>
      </c>
      <c r="F281" t="inlineStr">
        <is>
          <t>Model-Input-Ref</t>
        </is>
      </c>
      <c r="G281" t="inlineStr">
        <is>
          <t>未分類 (單據新增)</t>
        </is>
      </c>
      <c r="I281" t="inlineStr"/>
      <c r="J281" t="n">
        <v>1</v>
      </c>
      <c r="K281" t="n">
        <v>2388</v>
      </c>
      <c r="L281" t="n">
        <v>0.03</v>
      </c>
      <c r="M281">
        <f>J281*K281*L281</f>
        <v/>
      </c>
    </row>
    <row r="282">
      <c r="A282" t="inlineStr">
        <is>
          <t>Central Fortress</t>
        </is>
      </c>
      <c r="B282" t="inlineStr">
        <is>
          <t>Central Fortress</t>
        </is>
      </c>
      <c r="C282" t="inlineStr">
        <is>
          <t>Margaret</t>
        </is>
      </c>
      <c r="D282" t="inlineStr">
        <is>
          <t>2026-06</t>
        </is>
      </c>
      <c r="E282" t="inlineStr">
        <is>
          <t>2026-06-01 00:00:00</t>
        </is>
      </c>
      <c r="F282" t="inlineStr">
        <is>
          <t>Model-Input-Ref</t>
        </is>
      </c>
      <c r="G282" t="inlineStr">
        <is>
          <t>未分類 (單據新增)</t>
        </is>
      </c>
      <c r="I282" t="inlineStr"/>
      <c r="J282" t="n">
        <v>1</v>
      </c>
      <c r="K282" t="n">
        <v>598</v>
      </c>
      <c r="L282" t="n">
        <v>0.03</v>
      </c>
      <c r="M282">
        <f>J282*K282*L282</f>
        <v/>
      </c>
    </row>
    <row r="283">
      <c r="A283" t="inlineStr">
        <is>
          <t>Central Fortress</t>
        </is>
      </c>
      <c r="B283" t="inlineStr">
        <is>
          <t>Central Fortress</t>
        </is>
      </c>
      <c r="C283" t="inlineStr">
        <is>
          <t>Margaret</t>
        </is>
      </c>
      <c r="D283" t="inlineStr">
        <is>
          <t>2026-06</t>
        </is>
      </c>
      <c r="E283" t="inlineStr">
        <is>
          <t>2026-06-02 00:00:00</t>
        </is>
      </c>
      <c r="F283" t="inlineStr">
        <is>
          <t>Model-Input-Ref</t>
        </is>
      </c>
      <c r="G283" t="inlineStr">
        <is>
          <t>未分類 (單據新增)</t>
        </is>
      </c>
      <c r="I283" t="inlineStr"/>
      <c r="J283" t="n">
        <v>1</v>
      </c>
      <c r="K283" t="n">
        <v>598</v>
      </c>
      <c r="L283" t="n">
        <v>0.03</v>
      </c>
      <c r="M283">
        <f>J283*K283*L283</f>
        <v/>
      </c>
    </row>
    <row r="284">
      <c r="A284" t="inlineStr">
        <is>
          <t>Central Fortress</t>
        </is>
      </c>
      <c r="B284" t="inlineStr">
        <is>
          <t>Central Fortress</t>
        </is>
      </c>
      <c r="C284" t="inlineStr">
        <is>
          <t>Margaret</t>
        </is>
      </c>
      <c r="D284" t="inlineStr">
        <is>
          <t>2026-06</t>
        </is>
      </c>
      <c r="E284" t="inlineStr">
        <is>
          <t>2026-06-02 00:00:00</t>
        </is>
      </c>
      <c r="F284" t="inlineStr">
        <is>
          <t>Model-Input-Ref</t>
        </is>
      </c>
      <c r="G284" t="inlineStr">
        <is>
          <t>未分類 (單據新增)</t>
        </is>
      </c>
      <c r="I284" t="inlineStr"/>
      <c r="J284" t="n">
        <v>1</v>
      </c>
      <c r="K284" t="n">
        <v>598</v>
      </c>
      <c r="L284" t="n">
        <v>0.03</v>
      </c>
      <c r="M284">
        <f>J284*K284*L284</f>
        <v/>
      </c>
    </row>
    <row r="285">
      <c r="A285" t="inlineStr">
        <is>
          <t>Central Fortress</t>
        </is>
      </c>
      <c r="B285" t="inlineStr">
        <is>
          <t>Central Fortress</t>
        </is>
      </c>
      <c r="C285" t="inlineStr">
        <is>
          <t>Margaret</t>
        </is>
      </c>
      <c r="D285" t="inlineStr">
        <is>
          <t>2026-06</t>
        </is>
      </c>
      <c r="E285" t="inlineStr">
        <is>
          <t>2026-06-02 00:00:00</t>
        </is>
      </c>
      <c r="F285" t="inlineStr">
        <is>
          <t>Model-Input-Ref</t>
        </is>
      </c>
      <c r="G285" t="inlineStr">
        <is>
          <t>未分類 (單據新增)</t>
        </is>
      </c>
      <c r="I285" t="inlineStr"/>
      <c r="J285" t="n">
        <v>1</v>
      </c>
      <c r="K285" t="n">
        <v>798</v>
      </c>
      <c r="L285" t="n">
        <v>0.03</v>
      </c>
      <c r="M285">
        <f>J285*K285*L285</f>
        <v/>
      </c>
    </row>
    <row r="286">
      <c r="A286" t="inlineStr">
        <is>
          <t>Central Fortress</t>
        </is>
      </c>
      <c r="B286" t="inlineStr">
        <is>
          <t>Central Fortress</t>
        </is>
      </c>
      <c r="C286" t="inlineStr">
        <is>
          <t>Margaret</t>
        </is>
      </c>
      <c r="D286" t="inlineStr">
        <is>
          <t>2026-06</t>
        </is>
      </c>
      <c r="E286" t="inlineStr">
        <is>
          <t>2026-06-02 00:00:00</t>
        </is>
      </c>
      <c r="F286" t="inlineStr">
        <is>
          <t>Model-Input-Ref</t>
        </is>
      </c>
      <c r="G286" t="inlineStr">
        <is>
          <t>未分類 (單據新增)</t>
        </is>
      </c>
      <c r="I286" t="inlineStr"/>
      <c r="J286" t="n">
        <v>1</v>
      </c>
      <c r="K286" t="n">
        <v>868</v>
      </c>
      <c r="L286" t="n">
        <v>0.03</v>
      </c>
      <c r="M286">
        <f>J286*K286*L286</f>
        <v/>
      </c>
    </row>
    <row r="287">
      <c r="A287" t="inlineStr">
        <is>
          <t>Central Fortress</t>
        </is>
      </c>
      <c r="B287" t="inlineStr">
        <is>
          <t>Central Fortress</t>
        </is>
      </c>
      <c r="C287" t="inlineStr">
        <is>
          <t>Margaret</t>
        </is>
      </c>
      <c r="D287" t="inlineStr">
        <is>
          <t>2026-06</t>
        </is>
      </c>
      <c r="E287" t="inlineStr">
        <is>
          <t>2026-06-02 00:00:00</t>
        </is>
      </c>
      <c r="F287" t="inlineStr">
        <is>
          <t>Model-Input-Ref</t>
        </is>
      </c>
      <c r="G287" t="inlineStr">
        <is>
          <t>未分類 (單據新增)</t>
        </is>
      </c>
      <c r="I287" t="inlineStr"/>
      <c r="J287" t="n">
        <v>1</v>
      </c>
      <c r="K287" t="n">
        <v>598</v>
      </c>
      <c r="L287" t="n">
        <v>0.03</v>
      </c>
      <c r="M287">
        <f>J287*K287*L287</f>
        <v/>
      </c>
    </row>
    <row r="288">
      <c r="A288" t="inlineStr">
        <is>
          <t>Central Fortress</t>
        </is>
      </c>
      <c r="B288" t="inlineStr">
        <is>
          <t>Central Fortress</t>
        </is>
      </c>
      <c r="C288" t="inlineStr">
        <is>
          <t>Margaret</t>
        </is>
      </c>
      <c r="D288" t="inlineStr">
        <is>
          <t>2026-06</t>
        </is>
      </c>
      <c r="E288" t="inlineStr">
        <is>
          <t>2026-06-02 00:00:00</t>
        </is>
      </c>
      <c r="F288" t="inlineStr">
        <is>
          <t>Model-Input-Ref</t>
        </is>
      </c>
      <c r="G288" t="inlineStr">
        <is>
          <t>未分類 (單據新增)</t>
        </is>
      </c>
      <c r="I288" t="inlineStr"/>
      <c r="J288" t="n">
        <v>1</v>
      </c>
      <c r="K288" t="n">
        <v>598</v>
      </c>
      <c r="L288" t="n">
        <v>0.03</v>
      </c>
      <c r="M288">
        <f>J288*K288*L288</f>
        <v/>
      </c>
    </row>
    <row r="289">
      <c r="A289" t="inlineStr">
        <is>
          <t>Central Fortress</t>
        </is>
      </c>
      <c r="B289" t="inlineStr">
        <is>
          <t>Central Fortress</t>
        </is>
      </c>
      <c r="C289" t="inlineStr">
        <is>
          <t>Margaret</t>
        </is>
      </c>
      <c r="D289" t="inlineStr">
        <is>
          <t>2026-06</t>
        </is>
      </c>
      <c r="E289" t="inlineStr">
        <is>
          <t>2026-06-02 00:00:00</t>
        </is>
      </c>
      <c r="F289" t="inlineStr">
        <is>
          <t>Model-Input-Ref</t>
        </is>
      </c>
      <c r="G289" t="inlineStr">
        <is>
          <t>未分類 (單據新增)</t>
        </is>
      </c>
      <c r="I289" t="inlineStr"/>
      <c r="J289" t="n">
        <v>1</v>
      </c>
      <c r="K289" t="n">
        <v>598</v>
      </c>
      <c r="L289" t="n">
        <v>0.03</v>
      </c>
      <c r="M289">
        <f>J289*K289*L289</f>
        <v/>
      </c>
    </row>
    <row r="290">
      <c r="A290" t="inlineStr">
        <is>
          <t>Central Fortress</t>
        </is>
      </c>
      <c r="B290" t="inlineStr">
        <is>
          <t>Central Fortress</t>
        </is>
      </c>
      <c r="C290" t="inlineStr">
        <is>
          <t>Margaret</t>
        </is>
      </c>
      <c r="D290" t="inlineStr">
        <is>
          <t>2026-06</t>
        </is>
      </c>
      <c r="E290" t="inlineStr">
        <is>
          <t>2026-06-02 00:00:00</t>
        </is>
      </c>
      <c r="F290" t="inlineStr">
        <is>
          <t>Model-Input-Ref</t>
        </is>
      </c>
      <c r="G290" t="inlineStr">
        <is>
          <t>未分類 (單據新增)</t>
        </is>
      </c>
      <c r="I290" t="inlineStr"/>
      <c r="J290" t="n">
        <v>1</v>
      </c>
      <c r="K290" t="n">
        <v>2388</v>
      </c>
      <c r="L290" t="n">
        <v>0.03</v>
      </c>
      <c r="M290">
        <f>J290*K290*L290</f>
        <v/>
      </c>
    </row>
    <row r="291">
      <c r="A291" t="inlineStr">
        <is>
          <t>Central Fortress</t>
        </is>
      </c>
      <c r="B291" t="inlineStr">
        <is>
          <t>Central Fortress</t>
        </is>
      </c>
      <c r="C291" t="inlineStr">
        <is>
          <t>Margaret</t>
        </is>
      </c>
      <c r="D291" t="inlineStr">
        <is>
          <t>2026-06</t>
        </is>
      </c>
      <c r="E291" t="inlineStr">
        <is>
          <t>2026-06-02 00:00:00</t>
        </is>
      </c>
      <c r="F291" t="inlineStr">
        <is>
          <t>Model-Input-Ref</t>
        </is>
      </c>
      <c r="G291" t="inlineStr">
        <is>
          <t>未分類 (單據新增)</t>
        </is>
      </c>
      <c r="I291" t="inlineStr"/>
      <c r="J291" t="n">
        <v>1</v>
      </c>
      <c r="K291" t="n">
        <v>698</v>
      </c>
      <c r="L291" t="n">
        <v>0.03</v>
      </c>
      <c r="M291">
        <f>J291*K291*L291</f>
        <v/>
      </c>
    </row>
    <row r="292">
      <c r="A292" t="inlineStr">
        <is>
          <t>Central Fortress</t>
        </is>
      </c>
      <c r="B292" t="inlineStr">
        <is>
          <t>Central Fortress</t>
        </is>
      </c>
      <c r="C292" t="inlineStr">
        <is>
          <t>Margaret</t>
        </is>
      </c>
      <c r="D292" t="inlineStr">
        <is>
          <t>2026-06</t>
        </is>
      </c>
      <c r="E292" t="inlineStr">
        <is>
          <t>2026-06-02 00:00:00</t>
        </is>
      </c>
      <c r="F292" t="inlineStr">
        <is>
          <t>Model-Input-Ref</t>
        </is>
      </c>
      <c r="G292" t="inlineStr">
        <is>
          <t>未分類 (單據新增)</t>
        </is>
      </c>
      <c r="I292" t="inlineStr"/>
      <c r="J292" t="n">
        <v>1</v>
      </c>
      <c r="K292" t="n">
        <v>158</v>
      </c>
      <c r="L292" t="n">
        <v>0.03</v>
      </c>
      <c r="M292">
        <f>J292*K292*L292</f>
        <v/>
      </c>
    </row>
    <row r="293">
      <c r="A293" t="inlineStr">
        <is>
          <t>Central Fortress</t>
        </is>
      </c>
      <c r="B293" t="inlineStr">
        <is>
          <t>Central Fortress</t>
        </is>
      </c>
      <c r="C293" t="inlineStr">
        <is>
          <t>Margaret</t>
        </is>
      </c>
      <c r="D293" t="inlineStr">
        <is>
          <t>2026-06</t>
        </is>
      </c>
      <c r="E293" t="inlineStr">
        <is>
          <t>2026-06-08 00:00:00</t>
        </is>
      </c>
      <c r="F293" t="inlineStr">
        <is>
          <t>Model-Input-Ref</t>
        </is>
      </c>
      <c r="G293" t="inlineStr">
        <is>
          <t>未分類 (單據新增)</t>
        </is>
      </c>
      <c r="I293" t="inlineStr"/>
      <c r="J293" t="n">
        <v>1</v>
      </c>
      <c r="K293" t="n">
        <v>598</v>
      </c>
      <c r="L293" t="n">
        <v>0.03</v>
      </c>
      <c r="M293">
        <f>J293*K293*L293</f>
        <v/>
      </c>
    </row>
    <row r="294">
      <c r="A294" t="inlineStr">
        <is>
          <t>Central Fortress</t>
        </is>
      </c>
      <c r="B294" t="inlineStr">
        <is>
          <t>Central Fortress</t>
        </is>
      </c>
      <c r="C294" t="inlineStr">
        <is>
          <t>Margaret</t>
        </is>
      </c>
      <c r="D294" t="inlineStr">
        <is>
          <t>2026-06</t>
        </is>
      </c>
      <c r="E294" t="inlineStr">
        <is>
          <t>2026-06-08 00:00:00</t>
        </is>
      </c>
      <c r="F294" t="inlineStr">
        <is>
          <t>Model-Input-Ref</t>
        </is>
      </c>
      <c r="G294" t="inlineStr">
        <is>
          <t>未分類 (單據新增)</t>
        </is>
      </c>
      <c r="I294" t="inlineStr"/>
      <c r="J294" t="n">
        <v>1</v>
      </c>
      <c r="K294" t="n">
        <v>798</v>
      </c>
      <c r="L294" t="n">
        <v>0.03</v>
      </c>
      <c r="M294">
        <f>J294*K294*L294</f>
        <v/>
      </c>
    </row>
    <row r="295">
      <c r="A295" t="inlineStr">
        <is>
          <t>Central Fortress</t>
        </is>
      </c>
      <c r="B295" t="inlineStr">
        <is>
          <t>Central Fortress</t>
        </is>
      </c>
      <c r="C295" t="inlineStr">
        <is>
          <t>Margaret</t>
        </is>
      </c>
      <c r="D295" t="inlineStr">
        <is>
          <t>2026-06</t>
        </is>
      </c>
      <c r="E295" t="inlineStr">
        <is>
          <t>2026-06-08 00:00:00</t>
        </is>
      </c>
      <c r="F295" t="inlineStr">
        <is>
          <t>Model-Input-Ref</t>
        </is>
      </c>
      <c r="G295" t="inlineStr">
        <is>
          <t>未分類 (單據新增)</t>
        </is>
      </c>
      <c r="I295" t="inlineStr"/>
      <c r="J295" t="n">
        <v>1</v>
      </c>
      <c r="K295" t="n">
        <v>2388</v>
      </c>
      <c r="L295" t="n">
        <v>0.03</v>
      </c>
      <c r="M295">
        <f>J295*K295*L295</f>
        <v/>
      </c>
    </row>
    <row r="296">
      <c r="A296" t="inlineStr">
        <is>
          <t>Central Fortress</t>
        </is>
      </c>
      <c r="B296" t="inlineStr">
        <is>
          <t>Central Fortress</t>
        </is>
      </c>
      <c r="C296" t="inlineStr">
        <is>
          <t>Margaret</t>
        </is>
      </c>
      <c r="D296" t="inlineStr">
        <is>
          <t>2026-06</t>
        </is>
      </c>
      <c r="E296" t="inlineStr">
        <is>
          <t>2026-06-08 00:00:00</t>
        </is>
      </c>
      <c r="F296" t="inlineStr">
        <is>
          <t>Model-Input-Ref</t>
        </is>
      </c>
      <c r="G296" t="inlineStr">
        <is>
          <t>未分類 (單據新增)</t>
        </is>
      </c>
      <c r="I296" t="inlineStr"/>
      <c r="J296" t="n">
        <v>1</v>
      </c>
      <c r="K296" t="n">
        <v>628</v>
      </c>
      <c r="L296" t="n">
        <v>0.03</v>
      </c>
      <c r="M296">
        <f>J296*K296*L296</f>
        <v/>
      </c>
    </row>
    <row r="297">
      <c r="A297" t="inlineStr">
        <is>
          <t>Central Fortress</t>
        </is>
      </c>
      <c r="B297" t="inlineStr">
        <is>
          <t>Central Fortress</t>
        </is>
      </c>
      <c r="C297" t="inlineStr">
        <is>
          <t>Margaret</t>
        </is>
      </c>
      <c r="D297" t="inlineStr">
        <is>
          <t>2026-06</t>
        </is>
      </c>
      <c r="E297" t="inlineStr">
        <is>
          <t>2026-06-08 00:00:00</t>
        </is>
      </c>
      <c r="F297" t="inlineStr">
        <is>
          <t>Model-Input-Ref</t>
        </is>
      </c>
      <c r="G297" t="inlineStr">
        <is>
          <t>未分類 (單據新增)</t>
        </is>
      </c>
      <c r="I297" t="inlineStr"/>
      <c r="J297" t="n">
        <v>1</v>
      </c>
      <c r="K297" t="n">
        <v>798</v>
      </c>
      <c r="L297" t="n">
        <v>0.03</v>
      </c>
      <c r="M297">
        <f>J297*K297*L297</f>
        <v/>
      </c>
    </row>
    <row r="298">
      <c r="A298" t="inlineStr">
        <is>
          <t>Central Fortress</t>
        </is>
      </c>
      <c r="B298" t="inlineStr">
        <is>
          <t>Central Fortress</t>
        </is>
      </c>
      <c r="C298" t="inlineStr">
        <is>
          <t>Margaret</t>
        </is>
      </c>
      <c r="D298" t="inlineStr">
        <is>
          <t>2026-06</t>
        </is>
      </c>
      <c r="E298" t="inlineStr">
        <is>
          <t>2026-06-09 00:00:00</t>
        </is>
      </c>
      <c r="F298" t="inlineStr">
        <is>
          <t>Model-Input-Ref</t>
        </is>
      </c>
      <c r="G298" t="inlineStr">
        <is>
          <t>未分類 (單據新增)</t>
        </is>
      </c>
      <c r="I298" t="inlineStr"/>
      <c r="J298" t="n">
        <v>1</v>
      </c>
      <c r="K298" t="n">
        <v>868</v>
      </c>
      <c r="L298" t="n">
        <v>0.03</v>
      </c>
      <c r="M298">
        <f>J298*K298*L298</f>
        <v/>
      </c>
    </row>
    <row r="299">
      <c r="A299" t="inlineStr">
        <is>
          <t>Central Fortress</t>
        </is>
      </c>
      <c r="B299" t="inlineStr">
        <is>
          <t>Central Fortress</t>
        </is>
      </c>
      <c r="C299" t="inlineStr">
        <is>
          <t>Margaret</t>
        </is>
      </c>
      <c r="D299" t="inlineStr">
        <is>
          <t>2026-06</t>
        </is>
      </c>
      <c r="E299" t="inlineStr">
        <is>
          <t>2026-06-09 00:00:00</t>
        </is>
      </c>
      <c r="F299" t="inlineStr">
        <is>
          <t>Model-Input-Ref</t>
        </is>
      </c>
      <c r="G299" t="inlineStr">
        <is>
          <t>未分類 (單據新增)</t>
        </is>
      </c>
      <c r="I299" t="inlineStr"/>
      <c r="J299" t="n">
        <v>1</v>
      </c>
      <c r="K299" t="n">
        <v>628</v>
      </c>
      <c r="L299" t="n">
        <v>0.03</v>
      </c>
      <c r="M299">
        <f>J299*K299*L299</f>
        <v/>
      </c>
    </row>
    <row r="300">
      <c r="A300" t="inlineStr">
        <is>
          <t>Central Fortress</t>
        </is>
      </c>
      <c r="B300" t="inlineStr">
        <is>
          <t>Central Fortress</t>
        </is>
      </c>
      <c r="C300" t="inlineStr">
        <is>
          <t>Margaret</t>
        </is>
      </c>
      <c r="D300" t="inlineStr">
        <is>
          <t>2026-06</t>
        </is>
      </c>
      <c r="E300" t="inlineStr">
        <is>
          <t>2026-06-09 00:00:00</t>
        </is>
      </c>
      <c r="F300" t="inlineStr">
        <is>
          <t>Model-Input-Ref</t>
        </is>
      </c>
      <c r="G300" t="inlineStr">
        <is>
          <t>未分類 (單據新增)</t>
        </is>
      </c>
      <c r="I300" t="inlineStr"/>
      <c r="J300" t="n">
        <v>1</v>
      </c>
      <c r="K300" t="n">
        <v>1899</v>
      </c>
      <c r="L300" t="n">
        <v>0.03</v>
      </c>
      <c r="M300">
        <f>J300*K300*L300</f>
        <v/>
      </c>
    </row>
    <row r="301">
      <c r="A301" t="inlineStr">
        <is>
          <t>Central Fortress</t>
        </is>
      </c>
      <c r="B301" t="inlineStr">
        <is>
          <t>Central Fortress</t>
        </is>
      </c>
      <c r="C301" t="inlineStr">
        <is>
          <t>Margaret</t>
        </is>
      </c>
      <c r="D301" t="inlineStr">
        <is>
          <t>2026-06</t>
        </is>
      </c>
      <c r="E301" t="inlineStr">
        <is>
          <t>2026-06-09 00:00:00</t>
        </is>
      </c>
      <c r="F301" t="inlineStr">
        <is>
          <t>Model-Input-Ref</t>
        </is>
      </c>
      <c r="G301" t="inlineStr">
        <is>
          <t>未分類 (單據新增)</t>
        </is>
      </c>
      <c r="I301" t="inlineStr"/>
      <c r="J301" t="n">
        <v>1</v>
      </c>
      <c r="K301" t="n">
        <v>848</v>
      </c>
      <c r="L301" t="n">
        <v>0.03</v>
      </c>
      <c r="M301">
        <f>J301*K301*L301</f>
        <v/>
      </c>
    </row>
    <row r="302">
      <c r="A302" t="inlineStr">
        <is>
          <t>Central Fortress</t>
        </is>
      </c>
      <c r="B302" t="inlineStr">
        <is>
          <t>Central Fortress</t>
        </is>
      </c>
      <c r="C302" t="inlineStr">
        <is>
          <t>Margaret</t>
        </is>
      </c>
      <c r="D302" t="inlineStr">
        <is>
          <t>2026-06</t>
        </is>
      </c>
      <c r="E302" t="inlineStr">
        <is>
          <t>2026-06-09 00:00:00</t>
        </is>
      </c>
      <c r="F302" t="inlineStr">
        <is>
          <t>Model-Input-Ref</t>
        </is>
      </c>
      <c r="G302" t="inlineStr">
        <is>
          <t>未分類 (單據新增)</t>
        </is>
      </c>
      <c r="I302" t="inlineStr"/>
      <c r="J302" t="n">
        <v>1</v>
      </c>
      <c r="K302" t="n">
        <v>298</v>
      </c>
      <c r="L302" t="n">
        <v>0.03</v>
      </c>
      <c r="M302">
        <f>J302*K302*L302</f>
        <v/>
      </c>
    </row>
    <row r="303">
      <c r="A303" t="inlineStr">
        <is>
          <t>Central Fortress</t>
        </is>
      </c>
      <c r="B303" t="inlineStr">
        <is>
          <t>Central Fortress</t>
        </is>
      </c>
      <c r="C303" t="inlineStr">
        <is>
          <t>Margaret</t>
        </is>
      </c>
      <c r="D303" t="inlineStr">
        <is>
          <t>2026-06</t>
        </is>
      </c>
      <c r="E303" t="inlineStr">
        <is>
          <t>2026-06-09 00:00:00</t>
        </is>
      </c>
      <c r="F303" t="inlineStr">
        <is>
          <t>Model-Input-Ref</t>
        </is>
      </c>
      <c r="G303" t="inlineStr">
        <is>
          <t>未分類 (單據新增)</t>
        </is>
      </c>
      <c r="I303" t="inlineStr"/>
      <c r="J303" t="n">
        <v>1</v>
      </c>
      <c r="K303" t="n">
        <v>628</v>
      </c>
      <c r="L303" t="n">
        <v>0.03</v>
      </c>
      <c r="M303">
        <f>J303*K303*L303</f>
        <v/>
      </c>
    </row>
    <row r="304">
      <c r="A304" t="inlineStr">
        <is>
          <t>Central Fortress</t>
        </is>
      </c>
      <c r="B304" t="inlineStr">
        <is>
          <t>Central Fortress</t>
        </is>
      </c>
      <c r="C304" t="inlineStr">
        <is>
          <t>Margaret</t>
        </is>
      </c>
      <c r="D304" t="inlineStr">
        <is>
          <t>2026-06</t>
        </is>
      </c>
      <c r="E304" t="inlineStr">
        <is>
          <t>2026-06-09 00:00:00</t>
        </is>
      </c>
      <c r="F304" t="inlineStr">
        <is>
          <t>Model-Input-Ref</t>
        </is>
      </c>
      <c r="G304" t="inlineStr">
        <is>
          <t>未分類 (單據新增)</t>
        </is>
      </c>
      <c r="I304" t="inlineStr"/>
      <c r="J304" t="n">
        <v>1</v>
      </c>
      <c r="K304" t="n">
        <v>3688</v>
      </c>
      <c r="L304" t="n">
        <v>0.03</v>
      </c>
      <c r="M304">
        <f>J304*K304*L304</f>
        <v/>
      </c>
    </row>
    <row r="305">
      <c r="A305" t="inlineStr">
        <is>
          <t>Central Fortress</t>
        </is>
      </c>
      <c r="B305" t="inlineStr">
        <is>
          <t>Central Fortress</t>
        </is>
      </c>
      <c r="C305" t="inlineStr">
        <is>
          <t>Margaret</t>
        </is>
      </c>
      <c r="D305" t="inlineStr">
        <is>
          <t>2026-06</t>
        </is>
      </c>
      <c r="E305" t="inlineStr">
        <is>
          <t>2026-06-15 00:00:00</t>
        </is>
      </c>
      <c r="F305" t="inlineStr">
        <is>
          <t>Model-Input-Ref</t>
        </is>
      </c>
      <c r="G305" t="inlineStr">
        <is>
          <t>未分類 (單據新增)</t>
        </is>
      </c>
      <c r="I305" t="inlineStr"/>
      <c r="J305" t="n">
        <v>1</v>
      </c>
      <c r="K305" t="n">
        <v>628</v>
      </c>
      <c r="L305" t="n">
        <v>0.03</v>
      </c>
      <c r="M305">
        <f>J305*K305*L305</f>
        <v/>
      </c>
    </row>
    <row r="306">
      <c r="A306" t="inlineStr">
        <is>
          <t>Central Fortress</t>
        </is>
      </c>
      <c r="B306" t="inlineStr">
        <is>
          <t>Central Fortress</t>
        </is>
      </c>
      <c r="C306" t="inlineStr">
        <is>
          <t>Margaret</t>
        </is>
      </c>
      <c r="D306" t="inlineStr">
        <is>
          <t>2026-06</t>
        </is>
      </c>
      <c r="E306" t="inlineStr">
        <is>
          <t>2026-06-15 00:00:00</t>
        </is>
      </c>
      <c r="F306" t="inlineStr">
        <is>
          <t>Model-Input-Ref</t>
        </is>
      </c>
      <c r="G306" t="inlineStr">
        <is>
          <t>未分類 (單據新增)</t>
        </is>
      </c>
      <c r="I306" t="inlineStr"/>
      <c r="J306" t="n">
        <v>1</v>
      </c>
      <c r="K306" t="n">
        <v>328</v>
      </c>
      <c r="L306" t="n">
        <v>0.03</v>
      </c>
      <c r="M306">
        <f>J306*K306*L306</f>
        <v/>
      </c>
    </row>
    <row r="307">
      <c r="A307" t="inlineStr">
        <is>
          <t>Central Fortress</t>
        </is>
      </c>
      <c r="B307" t="inlineStr">
        <is>
          <t>Central Fortress</t>
        </is>
      </c>
      <c r="C307" t="inlineStr">
        <is>
          <t>Margaret</t>
        </is>
      </c>
      <c r="D307" t="inlineStr">
        <is>
          <t>2026-06</t>
        </is>
      </c>
      <c r="E307" t="inlineStr">
        <is>
          <t>2026-06-15 00:00:00</t>
        </is>
      </c>
      <c r="F307" t="inlineStr">
        <is>
          <t>Model-Input-Ref</t>
        </is>
      </c>
      <c r="G307" t="inlineStr">
        <is>
          <t>未分類 (單據新增)</t>
        </is>
      </c>
      <c r="I307" t="inlineStr"/>
      <c r="J307" t="n">
        <v>1</v>
      </c>
      <c r="K307" t="n">
        <v>598</v>
      </c>
      <c r="L307" t="n">
        <v>0.03</v>
      </c>
      <c r="M307">
        <f>J307*K307*L307</f>
        <v/>
      </c>
    </row>
    <row r="308">
      <c r="A308" t="inlineStr">
        <is>
          <t>Central Fortress</t>
        </is>
      </c>
      <c r="B308" t="inlineStr">
        <is>
          <t>Central Fortress</t>
        </is>
      </c>
      <c r="C308" t="inlineStr">
        <is>
          <t>Margaret</t>
        </is>
      </c>
      <c r="D308" t="inlineStr">
        <is>
          <t>2026-06</t>
        </is>
      </c>
      <c r="E308" t="inlineStr">
        <is>
          <t>2026-06-15 00:00:00</t>
        </is>
      </c>
      <c r="F308" t="inlineStr">
        <is>
          <t>Model-Input-Ref</t>
        </is>
      </c>
      <c r="G308" t="inlineStr">
        <is>
          <t>未分類 (單據新增)</t>
        </is>
      </c>
      <c r="I308" t="inlineStr"/>
      <c r="J308" t="n">
        <v>1</v>
      </c>
      <c r="K308" t="n">
        <v>338</v>
      </c>
      <c r="L308" t="n">
        <v>0.03</v>
      </c>
      <c r="M308">
        <f>J308*K308*L308</f>
        <v/>
      </c>
    </row>
    <row r="309">
      <c r="A309" t="inlineStr">
        <is>
          <t>Central Fortress</t>
        </is>
      </c>
      <c r="B309" t="inlineStr">
        <is>
          <t>Central Fortress</t>
        </is>
      </c>
      <c r="C309" t="inlineStr">
        <is>
          <t>Margaret</t>
        </is>
      </c>
      <c r="D309" t="inlineStr">
        <is>
          <t>2026-06</t>
        </is>
      </c>
      <c r="E309" t="inlineStr">
        <is>
          <t>2026-06-15 00:00:00</t>
        </is>
      </c>
      <c r="F309" t="inlineStr">
        <is>
          <t>Model-Input-Ref</t>
        </is>
      </c>
      <c r="G309" t="inlineStr">
        <is>
          <t>未分類 (單據新增)</t>
        </is>
      </c>
      <c r="I309" t="inlineStr"/>
      <c r="J309" t="n">
        <v>1</v>
      </c>
      <c r="K309" t="n">
        <v>598</v>
      </c>
      <c r="L309" t="n">
        <v>0.03</v>
      </c>
      <c r="M309">
        <f>J309*K309*L309</f>
        <v/>
      </c>
    </row>
    <row r="310">
      <c r="A310" t="inlineStr">
        <is>
          <t>Central Fortress</t>
        </is>
      </c>
      <c r="B310" t="inlineStr">
        <is>
          <t>Central Fortress</t>
        </is>
      </c>
      <c r="C310" t="inlineStr">
        <is>
          <t>Margaret</t>
        </is>
      </c>
      <c r="D310" t="inlineStr">
        <is>
          <t>2026-06</t>
        </is>
      </c>
      <c r="E310" t="inlineStr">
        <is>
          <t>2026-06-15 00:00:00</t>
        </is>
      </c>
      <c r="F310" t="inlineStr">
        <is>
          <t>Model-Input-Ref</t>
        </is>
      </c>
      <c r="G310" t="inlineStr">
        <is>
          <t>未分類 (單據新增)</t>
        </is>
      </c>
      <c r="I310" t="inlineStr"/>
      <c r="J310" t="n">
        <v>1</v>
      </c>
      <c r="K310" t="n">
        <v>898</v>
      </c>
      <c r="L310" t="n">
        <v>0.03</v>
      </c>
      <c r="M310">
        <f>J310*K310*L310</f>
        <v/>
      </c>
    </row>
    <row r="311">
      <c r="A311" t="inlineStr">
        <is>
          <t>Central Fortress</t>
        </is>
      </c>
      <c r="B311" t="inlineStr">
        <is>
          <t>Central Fortress</t>
        </is>
      </c>
      <c r="C311" t="inlineStr">
        <is>
          <t>Margaret</t>
        </is>
      </c>
      <c r="D311" t="inlineStr">
        <is>
          <t>2026-06</t>
        </is>
      </c>
      <c r="E311" t="inlineStr">
        <is>
          <t>2026-06-15 00:00:00</t>
        </is>
      </c>
      <c r="F311" t="inlineStr">
        <is>
          <t>Model-Input-Ref</t>
        </is>
      </c>
      <c r="G311" t="inlineStr">
        <is>
          <t>未分類 (單據新增)</t>
        </is>
      </c>
      <c r="I311" t="inlineStr"/>
      <c r="J311" t="n">
        <v>1</v>
      </c>
      <c r="K311" t="n">
        <v>1889</v>
      </c>
      <c r="L311" t="n">
        <v>0.03</v>
      </c>
      <c r="M311">
        <f>J311*K311*L311</f>
        <v/>
      </c>
    </row>
    <row r="312">
      <c r="A312" t="inlineStr">
        <is>
          <t>Central Fortress</t>
        </is>
      </c>
      <c r="B312" t="inlineStr">
        <is>
          <t>Central Fortress</t>
        </is>
      </c>
      <c r="C312" t="inlineStr">
        <is>
          <t>Margaret</t>
        </is>
      </c>
      <c r="D312" t="inlineStr">
        <is>
          <t>2026-06</t>
        </is>
      </c>
      <c r="E312" t="inlineStr">
        <is>
          <t>2026-06-22 00:00:00</t>
        </is>
      </c>
      <c r="F312" t="inlineStr">
        <is>
          <t>Model-Input-Ref</t>
        </is>
      </c>
      <c r="G312" t="inlineStr">
        <is>
          <t>未分類 (單據新增)</t>
        </is>
      </c>
      <c r="I312" t="inlineStr"/>
      <c r="J312" t="n">
        <v>1</v>
      </c>
      <c r="K312" t="n">
        <v>598</v>
      </c>
      <c r="L312" t="n">
        <v>0.03</v>
      </c>
      <c r="M312">
        <f>J312*K312*L312</f>
        <v/>
      </c>
    </row>
    <row r="313">
      <c r="A313" t="inlineStr">
        <is>
          <t>Central Fortress</t>
        </is>
      </c>
      <c r="B313" t="inlineStr">
        <is>
          <t>Central Fortress</t>
        </is>
      </c>
      <c r="C313" t="inlineStr">
        <is>
          <t>Margaret</t>
        </is>
      </c>
      <c r="D313" t="inlineStr">
        <is>
          <t>2026-06</t>
        </is>
      </c>
      <c r="E313" t="inlineStr">
        <is>
          <t>2026-06-22 00:00:00</t>
        </is>
      </c>
      <c r="F313" t="inlineStr">
        <is>
          <t>Model-Input-Ref</t>
        </is>
      </c>
      <c r="G313" t="inlineStr">
        <is>
          <t>未分類 (單據新增)</t>
        </is>
      </c>
      <c r="I313" t="inlineStr"/>
      <c r="J313" t="n">
        <v>1</v>
      </c>
      <c r="K313" t="n">
        <v>628</v>
      </c>
      <c r="L313" t="n">
        <v>0.03</v>
      </c>
      <c r="M313">
        <f>J313*K313*L313</f>
        <v/>
      </c>
    </row>
    <row r="314">
      <c r="A314" t="inlineStr">
        <is>
          <t>Central Fortress</t>
        </is>
      </c>
      <c r="B314" t="inlineStr">
        <is>
          <t>Central Fortress</t>
        </is>
      </c>
      <c r="C314" t="inlineStr">
        <is>
          <t>Margaret</t>
        </is>
      </c>
      <c r="D314" t="inlineStr">
        <is>
          <t>2026-06</t>
        </is>
      </c>
      <c r="E314" t="inlineStr">
        <is>
          <t>2026-06-22 00:00:00</t>
        </is>
      </c>
      <c r="F314" t="inlineStr">
        <is>
          <t>Model-Input-Ref</t>
        </is>
      </c>
      <c r="G314" t="inlineStr">
        <is>
          <t>未分類 (單據新增)</t>
        </is>
      </c>
      <c r="I314" t="inlineStr"/>
      <c r="J314" t="n">
        <v>1</v>
      </c>
      <c r="K314" t="n">
        <v>598</v>
      </c>
      <c r="L314" t="n">
        <v>0.03</v>
      </c>
      <c r="M314">
        <f>J314*K314*L314</f>
        <v/>
      </c>
    </row>
    <row r="315">
      <c r="A315" t="inlineStr">
        <is>
          <t>Central Fortress</t>
        </is>
      </c>
      <c r="B315" t="inlineStr">
        <is>
          <t>Central Fortress</t>
        </is>
      </c>
      <c r="C315" t="inlineStr">
        <is>
          <t>Margaret</t>
        </is>
      </c>
      <c r="D315" t="inlineStr">
        <is>
          <t>2026-06</t>
        </is>
      </c>
      <c r="E315" t="inlineStr">
        <is>
          <t>2026-06-22 00:00:00</t>
        </is>
      </c>
      <c r="F315" t="inlineStr">
        <is>
          <t>Model-Input-Ref</t>
        </is>
      </c>
      <c r="G315" t="inlineStr">
        <is>
          <t>未分類 (單據新增)</t>
        </is>
      </c>
      <c r="I315" t="inlineStr"/>
      <c r="J315" t="n">
        <v>1</v>
      </c>
      <c r="K315" t="n">
        <v>328</v>
      </c>
      <c r="L315" t="n">
        <v>0.03</v>
      </c>
      <c r="M315">
        <f>J315*K315*L315</f>
        <v/>
      </c>
    </row>
    <row r="316">
      <c r="A316" t="inlineStr">
        <is>
          <t>Central Fortress</t>
        </is>
      </c>
      <c r="B316" t="inlineStr">
        <is>
          <t>Central Fortress</t>
        </is>
      </c>
      <c r="C316" t="inlineStr">
        <is>
          <t>Margaret</t>
        </is>
      </c>
      <c r="D316" t="inlineStr">
        <is>
          <t>2026-06</t>
        </is>
      </c>
      <c r="E316" t="inlineStr">
        <is>
          <t>2026-06-22 00:00:00</t>
        </is>
      </c>
      <c r="F316" t="inlineStr">
        <is>
          <t>Model-Input-Ref</t>
        </is>
      </c>
      <c r="G316" t="inlineStr">
        <is>
          <t>未分類 (單據新增)</t>
        </is>
      </c>
      <c r="I316" t="inlineStr"/>
      <c r="J316" t="n">
        <v>1</v>
      </c>
      <c r="K316" t="n">
        <v>328</v>
      </c>
      <c r="L316" t="n">
        <v>0.03</v>
      </c>
      <c r="M316">
        <f>J316*K316*L316</f>
        <v/>
      </c>
    </row>
    <row r="317">
      <c r="A317" t="inlineStr">
        <is>
          <t>Central Fortress</t>
        </is>
      </c>
      <c r="B317" t="inlineStr">
        <is>
          <t>Central Fortress</t>
        </is>
      </c>
      <c r="C317" t="inlineStr">
        <is>
          <t>Margaret</t>
        </is>
      </c>
      <c r="D317" t="inlineStr">
        <is>
          <t>2026-06</t>
        </is>
      </c>
      <c r="E317" t="inlineStr">
        <is>
          <t>2026-06-22 00:00:00</t>
        </is>
      </c>
      <c r="F317" t="inlineStr">
        <is>
          <t>Model-Input-Ref</t>
        </is>
      </c>
      <c r="G317" t="inlineStr">
        <is>
          <t>未分類 (單據新增)</t>
        </is>
      </c>
      <c r="I317" t="inlineStr"/>
      <c r="J317" t="n">
        <v>1</v>
      </c>
      <c r="K317" t="n">
        <v>1899</v>
      </c>
      <c r="L317" t="n">
        <v>0.03</v>
      </c>
      <c r="M317">
        <f>J317*K317*L317</f>
        <v/>
      </c>
    </row>
    <row r="318">
      <c r="A318" t="inlineStr">
        <is>
          <t>Central Fortress</t>
        </is>
      </c>
      <c r="B318" t="inlineStr">
        <is>
          <t>Central Fortress</t>
        </is>
      </c>
      <c r="C318" t="inlineStr">
        <is>
          <t>Margaret</t>
        </is>
      </c>
      <c r="D318" t="inlineStr">
        <is>
          <t>2026-06</t>
        </is>
      </c>
      <c r="E318" t="inlineStr">
        <is>
          <t>2026-06-22 00:00:00</t>
        </is>
      </c>
      <c r="F318" t="inlineStr">
        <is>
          <t>Model-Input-Ref</t>
        </is>
      </c>
      <c r="G318" t="inlineStr">
        <is>
          <t>未分類 (單據新增)</t>
        </is>
      </c>
      <c r="I318" t="inlineStr"/>
      <c r="J318" t="n">
        <v>1</v>
      </c>
      <c r="K318" t="n">
        <v>598</v>
      </c>
      <c r="L318" t="n">
        <v>0.03</v>
      </c>
      <c r="M318">
        <f>J318*K318*L318</f>
        <v/>
      </c>
    </row>
    <row r="319">
      <c r="A319" t="inlineStr">
        <is>
          <t>Central Fortress</t>
        </is>
      </c>
      <c r="B319" t="inlineStr">
        <is>
          <t>Central Fortress</t>
        </is>
      </c>
      <c r="C319" t="inlineStr">
        <is>
          <t>Margaret</t>
        </is>
      </c>
      <c r="D319" t="inlineStr">
        <is>
          <t>2026-06</t>
        </is>
      </c>
      <c r="E319" t="inlineStr">
        <is>
          <t>2026-06-22 00:00:00</t>
        </is>
      </c>
      <c r="F319" t="inlineStr">
        <is>
          <t>Model-Input-Ref</t>
        </is>
      </c>
      <c r="G319" t="inlineStr">
        <is>
          <t>未分類 (單據新增)</t>
        </is>
      </c>
      <c r="I319" t="inlineStr"/>
      <c r="J319" t="n">
        <v>1</v>
      </c>
      <c r="K319" t="n">
        <v>798</v>
      </c>
      <c r="L319" t="n">
        <v>0.03</v>
      </c>
      <c r="M319">
        <f>J319*K319*L319</f>
        <v/>
      </c>
    </row>
    <row r="320">
      <c r="A320" t="inlineStr">
        <is>
          <t>Central Fortress</t>
        </is>
      </c>
      <c r="B320" t="inlineStr">
        <is>
          <t>Central Fortress</t>
        </is>
      </c>
      <c r="C320" t="inlineStr">
        <is>
          <t>Margaret</t>
        </is>
      </c>
      <c r="D320" t="inlineStr">
        <is>
          <t>2026-06</t>
        </is>
      </c>
      <c r="E320" t="inlineStr">
        <is>
          <t>2026-06-23 00:00:00</t>
        </is>
      </c>
      <c r="F320" t="inlineStr">
        <is>
          <t>Model-Input-Ref</t>
        </is>
      </c>
      <c r="G320" t="inlineStr">
        <is>
          <t>未分類 (單據新增)</t>
        </is>
      </c>
      <c r="I320" t="inlineStr"/>
      <c r="J320" t="n">
        <v>1</v>
      </c>
      <c r="K320" t="n">
        <v>398</v>
      </c>
      <c r="L320" t="n">
        <v>0.03</v>
      </c>
      <c r="M320">
        <f>J320*K320*L320</f>
        <v/>
      </c>
    </row>
    <row r="321">
      <c r="A321" t="inlineStr">
        <is>
          <t>Central Fortress</t>
        </is>
      </c>
      <c r="B321" t="inlineStr">
        <is>
          <t>Central Fortress</t>
        </is>
      </c>
      <c r="C321" t="inlineStr">
        <is>
          <t>Margaret</t>
        </is>
      </c>
      <c r="D321" t="inlineStr">
        <is>
          <t>2026-06</t>
        </is>
      </c>
      <c r="E321" t="inlineStr">
        <is>
          <t>2026-06-23 00:00:00</t>
        </is>
      </c>
      <c r="F321" t="inlineStr">
        <is>
          <t>Model-Input-Ref</t>
        </is>
      </c>
      <c r="G321" t="inlineStr">
        <is>
          <t>未分類 (單據新增)</t>
        </is>
      </c>
      <c r="I321" t="inlineStr"/>
      <c r="J321" t="n">
        <v>1</v>
      </c>
      <c r="K321" t="n">
        <v>598</v>
      </c>
      <c r="L321" t="n">
        <v>0.03</v>
      </c>
      <c r="M321">
        <f>J321*K321*L321</f>
        <v/>
      </c>
    </row>
    <row r="322">
      <c r="A322" t="inlineStr">
        <is>
          <t>Central Fortress</t>
        </is>
      </c>
      <c r="B322" t="inlineStr">
        <is>
          <t>Central Fortress</t>
        </is>
      </c>
      <c r="C322" t="inlineStr">
        <is>
          <t>Margaret</t>
        </is>
      </c>
      <c r="D322" t="inlineStr">
        <is>
          <t>2026-06</t>
        </is>
      </c>
      <c r="E322" t="inlineStr">
        <is>
          <t>2026-06-23 00:00:00</t>
        </is>
      </c>
      <c r="F322" t="inlineStr">
        <is>
          <t>Model-Input-Ref</t>
        </is>
      </c>
      <c r="G322" t="inlineStr">
        <is>
          <t>未分類 (單據新增)</t>
        </is>
      </c>
      <c r="I322" t="inlineStr"/>
      <c r="J322" t="n">
        <v>1</v>
      </c>
      <c r="K322" t="n">
        <v>598</v>
      </c>
      <c r="L322" t="n">
        <v>0.03</v>
      </c>
      <c r="M322">
        <f>J322*K322*L322</f>
        <v/>
      </c>
    </row>
    <row r="323">
      <c r="A323" t="inlineStr">
        <is>
          <t>Central Fortress</t>
        </is>
      </c>
      <c r="B323" t="inlineStr">
        <is>
          <t>Central Fortress</t>
        </is>
      </c>
      <c r="C323" t="inlineStr">
        <is>
          <t>Margaret</t>
        </is>
      </c>
      <c r="D323" t="inlineStr">
        <is>
          <t>2026-06</t>
        </is>
      </c>
      <c r="E323" t="inlineStr">
        <is>
          <t>2026-06-23 00:00:00</t>
        </is>
      </c>
      <c r="F323" t="inlineStr">
        <is>
          <t>Model-Input-Ref</t>
        </is>
      </c>
      <c r="G323" t="inlineStr">
        <is>
          <t>未分類 (單據新增)</t>
        </is>
      </c>
      <c r="I323" t="inlineStr"/>
      <c r="J323" t="n">
        <v>1</v>
      </c>
      <c r="K323" t="n">
        <v>558</v>
      </c>
      <c r="L323" t="n">
        <v>0.03</v>
      </c>
      <c r="M323">
        <f>J323*K323*L323</f>
        <v/>
      </c>
    </row>
    <row r="324">
      <c r="A324" t="inlineStr">
        <is>
          <t>Central Fortress</t>
        </is>
      </c>
      <c r="B324" t="inlineStr">
        <is>
          <t>Central Fortress</t>
        </is>
      </c>
      <c r="C324" t="inlineStr">
        <is>
          <t>Margaret</t>
        </is>
      </c>
      <c r="D324" t="inlineStr">
        <is>
          <t>2026-06</t>
        </is>
      </c>
      <c r="E324" t="inlineStr">
        <is>
          <t>2026-06-23 00:00:00</t>
        </is>
      </c>
      <c r="F324" t="inlineStr">
        <is>
          <t>Model-Input-Ref</t>
        </is>
      </c>
      <c r="G324" t="inlineStr">
        <is>
          <t>未分類 (單據新增)</t>
        </is>
      </c>
      <c r="I324" t="inlineStr"/>
      <c r="J324" t="n">
        <v>1</v>
      </c>
      <c r="K324" t="n">
        <v>1899</v>
      </c>
      <c r="L324" t="n">
        <v>0.03</v>
      </c>
      <c r="M324">
        <f>J324*K324*L324</f>
        <v/>
      </c>
    </row>
    <row r="325">
      <c r="A325" t="inlineStr">
        <is>
          <t>Central Fortress</t>
        </is>
      </c>
      <c r="B325" t="inlineStr">
        <is>
          <t>Central Fortress</t>
        </is>
      </c>
      <c r="C325" t="inlineStr">
        <is>
          <t>Margaret</t>
        </is>
      </c>
      <c r="D325" t="inlineStr">
        <is>
          <t>2026-06</t>
        </is>
      </c>
      <c r="E325" t="inlineStr">
        <is>
          <t>2026-06-23 00:00:00</t>
        </is>
      </c>
      <c r="F325" t="inlineStr">
        <is>
          <t>Model-Input-Ref</t>
        </is>
      </c>
      <c r="G325" t="inlineStr">
        <is>
          <t>未分類 (單據新增)</t>
        </is>
      </c>
      <c r="I325" t="inlineStr"/>
      <c r="J325" t="n">
        <v>1</v>
      </c>
      <c r="K325" t="n">
        <v>368</v>
      </c>
      <c r="L325" t="n">
        <v>0.03</v>
      </c>
      <c r="M325">
        <f>J325*K325*L325</f>
        <v/>
      </c>
    </row>
    <row r="326">
      <c r="A326" t="inlineStr">
        <is>
          <t>Central Fortress</t>
        </is>
      </c>
      <c r="B326" t="inlineStr">
        <is>
          <t>Central Fortress</t>
        </is>
      </c>
      <c r="C326" t="inlineStr">
        <is>
          <t>Margaret</t>
        </is>
      </c>
      <c r="D326" t="inlineStr">
        <is>
          <t>2026-06</t>
        </is>
      </c>
      <c r="E326" t="inlineStr">
        <is>
          <t>2026-06-23 00:00:00</t>
        </is>
      </c>
      <c r="F326" t="inlineStr">
        <is>
          <t>Model-Input-Ref</t>
        </is>
      </c>
      <c r="G326" t="inlineStr">
        <is>
          <t>未分類 (單據新增)</t>
        </is>
      </c>
      <c r="I326" t="inlineStr"/>
      <c r="J326" t="n">
        <v>1</v>
      </c>
      <c r="K326" t="n">
        <v>598</v>
      </c>
      <c r="L326" t="n">
        <v>0.03</v>
      </c>
      <c r="M326">
        <f>J326*K326*L326</f>
        <v/>
      </c>
    </row>
    <row r="327">
      <c r="A327" t="inlineStr">
        <is>
          <t>Central Fortress</t>
        </is>
      </c>
      <c r="B327" t="inlineStr">
        <is>
          <t>Central Fortress</t>
        </is>
      </c>
      <c r="C327" t="inlineStr">
        <is>
          <t>Margaret</t>
        </is>
      </c>
      <c r="D327" t="inlineStr">
        <is>
          <t>2026-06</t>
        </is>
      </c>
      <c r="E327" t="inlineStr">
        <is>
          <t>2026-06-23 00:00:00</t>
        </is>
      </c>
      <c r="F327" t="inlineStr">
        <is>
          <t>Model-Input-Ref</t>
        </is>
      </c>
      <c r="G327" t="inlineStr">
        <is>
          <t>未分類 (單據新增)</t>
        </is>
      </c>
      <c r="I327" t="inlineStr"/>
      <c r="J327" t="n">
        <v>1</v>
      </c>
      <c r="K327" t="n">
        <v>698</v>
      </c>
      <c r="L327" t="n">
        <v>0.03</v>
      </c>
      <c r="M327">
        <f>J327*K327*L327</f>
        <v/>
      </c>
    </row>
    <row r="328">
      <c r="A328" t="inlineStr">
        <is>
          <t>Central Fortress</t>
        </is>
      </c>
      <c r="B328" t="inlineStr">
        <is>
          <t>Central Fortress</t>
        </is>
      </c>
      <c r="C328" t="inlineStr">
        <is>
          <t>Margaret</t>
        </is>
      </c>
      <c r="D328" t="inlineStr">
        <is>
          <t>2026-06</t>
        </is>
      </c>
      <c r="E328" t="inlineStr">
        <is>
          <t>2026-06-23 00:00:00</t>
        </is>
      </c>
      <c r="F328" t="inlineStr">
        <is>
          <t>Model-Input-Ref</t>
        </is>
      </c>
      <c r="G328" t="inlineStr">
        <is>
          <t>未分類 (單據新增)</t>
        </is>
      </c>
      <c r="I328" t="inlineStr"/>
      <c r="J328" t="n">
        <v>1</v>
      </c>
      <c r="K328" t="n">
        <v>3388</v>
      </c>
      <c r="L328" t="n">
        <v>0.03</v>
      </c>
      <c r="M328">
        <f>J328*K328*L328</f>
        <v/>
      </c>
    </row>
    <row r="329">
      <c r="A329" t="inlineStr">
        <is>
          <t>Central Fortress</t>
        </is>
      </c>
      <c r="B329" t="inlineStr">
        <is>
          <t>Central Fortress</t>
        </is>
      </c>
      <c r="C329" t="inlineStr">
        <is>
          <t>Margaret</t>
        </is>
      </c>
      <c r="D329" t="inlineStr">
        <is>
          <t>2026-06</t>
        </is>
      </c>
      <c r="E329" t="inlineStr">
        <is>
          <t>2026-06-23 00:00:00</t>
        </is>
      </c>
      <c r="F329" t="inlineStr">
        <is>
          <t>Model-Input-Ref</t>
        </is>
      </c>
      <c r="G329" t="inlineStr">
        <is>
          <t>未分類 (單據新增)</t>
        </is>
      </c>
      <c r="I329" t="inlineStr"/>
      <c r="J329" t="n">
        <v>1</v>
      </c>
      <c r="K329" t="n">
        <v>528</v>
      </c>
      <c r="L329" t="n">
        <v>0.03</v>
      </c>
      <c r="M329">
        <f>J329*K329*L329</f>
        <v/>
      </c>
    </row>
    <row r="330">
      <c r="A330" t="inlineStr">
        <is>
          <t>Central Fortress</t>
        </is>
      </c>
      <c r="B330" t="inlineStr">
        <is>
          <t>Central Fortress</t>
        </is>
      </c>
      <c r="C330" t="inlineStr">
        <is>
          <t>Margaret</t>
        </is>
      </c>
      <c r="D330" t="inlineStr">
        <is>
          <t>2026-06</t>
        </is>
      </c>
      <c r="E330" t="inlineStr">
        <is>
          <t>2026-06-23 00:00:00</t>
        </is>
      </c>
      <c r="F330" t="inlineStr">
        <is>
          <t>Model-Input-Ref</t>
        </is>
      </c>
      <c r="G330" t="inlineStr">
        <is>
          <t>未分類 (單據新增)</t>
        </is>
      </c>
      <c r="I330" t="inlineStr"/>
      <c r="J330" t="n">
        <v>1</v>
      </c>
      <c r="K330" t="n">
        <v>598</v>
      </c>
      <c r="L330" t="n">
        <v>0.03</v>
      </c>
      <c r="M330">
        <f>J330*K330*L330</f>
        <v/>
      </c>
    </row>
    <row r="331">
      <c r="A331" t="inlineStr">
        <is>
          <t>Central Fortress</t>
        </is>
      </c>
      <c r="B331" t="inlineStr">
        <is>
          <t>Central Fortress</t>
        </is>
      </c>
      <c r="C331" t="inlineStr">
        <is>
          <t>Margaret</t>
        </is>
      </c>
      <c r="D331" t="inlineStr">
        <is>
          <t>2026-06</t>
        </is>
      </c>
      <c r="E331" t="inlineStr">
        <is>
          <t>2026-06-23 00:00:00</t>
        </is>
      </c>
      <c r="F331" t="inlineStr">
        <is>
          <t>Model-Input-Ref</t>
        </is>
      </c>
      <c r="G331" t="inlineStr">
        <is>
          <t>未分類 (單據新增)</t>
        </is>
      </c>
      <c r="I331" t="inlineStr"/>
      <c r="J331" t="n">
        <v>1</v>
      </c>
      <c r="K331" t="n">
        <v>3688</v>
      </c>
      <c r="L331" t="n">
        <v>0.03</v>
      </c>
      <c r="M331">
        <f>J331*K331*L331</f>
        <v/>
      </c>
    </row>
    <row r="332">
      <c r="A332" t="inlineStr">
        <is>
          <t>Central Fortress</t>
        </is>
      </c>
      <c r="B332" t="inlineStr">
        <is>
          <t>Central Fortress</t>
        </is>
      </c>
      <c r="C332" t="inlineStr">
        <is>
          <t>Margaret</t>
        </is>
      </c>
      <c r="D332" t="inlineStr">
        <is>
          <t>2026-06</t>
        </is>
      </c>
      <c r="E332" t="inlineStr">
        <is>
          <t>2026-06-23 00:00:00</t>
        </is>
      </c>
      <c r="F332" t="inlineStr">
        <is>
          <t>Model-Input-Ref</t>
        </is>
      </c>
      <c r="G332" t="inlineStr">
        <is>
          <t>未分類 (單據新增)</t>
        </is>
      </c>
      <c r="I332" t="inlineStr"/>
      <c r="J332" t="n">
        <v>1</v>
      </c>
      <c r="K332" t="n">
        <v>1256</v>
      </c>
      <c r="L332" t="n">
        <v>0.03</v>
      </c>
      <c r="M332">
        <f>J332*K332*L332</f>
        <v/>
      </c>
    </row>
    <row r="333">
      <c r="A333" t="inlineStr">
        <is>
          <t>Central Fortress</t>
        </is>
      </c>
      <c r="B333" t="inlineStr">
        <is>
          <t>Central Fortress</t>
        </is>
      </c>
      <c r="C333" t="inlineStr">
        <is>
          <t>Margaret</t>
        </is>
      </c>
      <c r="D333" t="inlineStr">
        <is>
          <t>2026-06</t>
        </is>
      </c>
      <c r="E333" t="inlineStr">
        <is>
          <t>2026-06-23 00:00:00</t>
        </is>
      </c>
      <c r="F333" t="inlineStr">
        <is>
          <t>Model-Input-Ref</t>
        </is>
      </c>
      <c r="G333" t="inlineStr">
        <is>
          <t>未分類 (單據新增)</t>
        </is>
      </c>
      <c r="I333" t="inlineStr"/>
      <c r="J333" t="n">
        <v>1</v>
      </c>
      <c r="K333" t="n">
        <v>628</v>
      </c>
      <c r="L333" t="n">
        <v>0.03</v>
      </c>
      <c r="M333">
        <f>J333*K333*L333</f>
        <v/>
      </c>
    </row>
    <row r="334">
      <c r="A334" t="inlineStr">
        <is>
          <t>Kwai Fong Fortress</t>
        </is>
      </c>
      <c r="B334" t="inlineStr">
        <is>
          <t>Kwai Fong Fortress</t>
        </is>
      </c>
      <c r="C334" t="inlineStr">
        <is>
          <t>Wu Sir</t>
        </is>
      </c>
      <c r="D334" t="inlineStr">
        <is>
          <t>2026-06</t>
        </is>
      </c>
      <c r="E334" t="inlineStr">
        <is>
          <t>2026-06-06 00:00:00</t>
        </is>
      </c>
      <c r="F334" t="inlineStr">
        <is>
          <t>Model-Input-Ref</t>
        </is>
      </c>
      <c r="G334" t="inlineStr">
        <is>
          <t>未分類 (單據新增)</t>
        </is>
      </c>
      <c r="I334" t="inlineStr"/>
      <c r="J334" t="n">
        <v>1</v>
      </c>
      <c r="K334" t="n">
        <v>1899</v>
      </c>
      <c r="L334" t="n">
        <v>0.03</v>
      </c>
      <c r="M334">
        <f>J334*K334*L334</f>
        <v/>
      </c>
    </row>
    <row r="335">
      <c r="A335" t="inlineStr">
        <is>
          <t>Kwai Fong Fortress</t>
        </is>
      </c>
      <c r="B335" t="inlineStr">
        <is>
          <t>Kwai Fong Fortress</t>
        </is>
      </c>
      <c r="C335" t="inlineStr">
        <is>
          <t>Wu Sir</t>
        </is>
      </c>
      <c r="D335" t="inlineStr">
        <is>
          <t>2026-06</t>
        </is>
      </c>
      <c r="E335" t="inlineStr">
        <is>
          <t>2026-06-06 00:00:00</t>
        </is>
      </c>
      <c r="F335" t="inlineStr">
        <is>
          <t>Model-Input-Ref</t>
        </is>
      </c>
      <c r="G335" t="inlineStr">
        <is>
          <t>未分類 (單據新增)</t>
        </is>
      </c>
      <c r="I335" t="inlineStr"/>
      <c r="J335" t="n">
        <v>1</v>
      </c>
      <c r="K335" t="n">
        <v>2604</v>
      </c>
      <c r="L335" t="n">
        <v>0.03</v>
      </c>
      <c r="M335">
        <f>J335*K335*L335</f>
        <v/>
      </c>
    </row>
    <row r="336">
      <c r="A336" t="inlineStr">
        <is>
          <t>Kwai Fong Fortress</t>
        </is>
      </c>
      <c r="B336" t="inlineStr">
        <is>
          <t>Kwai Fong Fortress</t>
        </is>
      </c>
      <c r="C336" t="inlineStr">
        <is>
          <t>Wu Sir</t>
        </is>
      </c>
      <c r="D336" t="inlineStr">
        <is>
          <t>2026-06</t>
        </is>
      </c>
      <c r="E336" t="inlineStr">
        <is>
          <t>2026-06-06 00:00:00</t>
        </is>
      </c>
      <c r="F336" t="inlineStr">
        <is>
          <t>Model-Input-Ref</t>
        </is>
      </c>
      <c r="G336" t="inlineStr">
        <is>
          <t>未分類 (單據新增)</t>
        </is>
      </c>
      <c r="I336" t="inlineStr"/>
      <c r="J336" t="n">
        <v>1</v>
      </c>
      <c r="K336" t="n">
        <v>1884</v>
      </c>
      <c r="L336" t="n">
        <v>0.03</v>
      </c>
      <c r="M336">
        <f>J336*K336*L336</f>
        <v/>
      </c>
    </row>
    <row r="337">
      <c r="A337" t="inlineStr">
        <is>
          <t>Kwai Fong Fortress</t>
        </is>
      </c>
      <c r="B337" t="inlineStr">
        <is>
          <t>Kwai Fong Fortress</t>
        </is>
      </c>
      <c r="C337" t="inlineStr">
        <is>
          <t>Wu Sir</t>
        </is>
      </c>
      <c r="D337" t="inlineStr">
        <is>
          <t>2026-06</t>
        </is>
      </c>
      <c r="E337" t="inlineStr">
        <is>
          <t>2026-06-06 00:00:00</t>
        </is>
      </c>
      <c r="F337" t="inlineStr">
        <is>
          <t>Model-Input-Ref</t>
        </is>
      </c>
      <c r="G337" t="inlineStr">
        <is>
          <t>未分類 (單據新增)</t>
        </is>
      </c>
      <c r="I337" t="inlineStr"/>
      <c r="J337" t="n">
        <v>1</v>
      </c>
      <c r="K337" t="n">
        <v>168</v>
      </c>
      <c r="L337" t="n">
        <v>0.03</v>
      </c>
      <c r="M337">
        <f>J337*K337*L337</f>
        <v/>
      </c>
    </row>
    <row r="338">
      <c r="A338" t="inlineStr">
        <is>
          <t>Kwai Fong Fortress</t>
        </is>
      </c>
      <c r="B338" t="inlineStr">
        <is>
          <t>Kwai Fong Fortress</t>
        </is>
      </c>
      <c r="C338" t="inlineStr">
        <is>
          <t>Wu Sir</t>
        </is>
      </c>
      <c r="D338" t="inlineStr">
        <is>
          <t>2026-06</t>
        </is>
      </c>
      <c r="E338" t="inlineStr">
        <is>
          <t>2026-06-06 00:00:00</t>
        </is>
      </c>
      <c r="F338" t="inlineStr">
        <is>
          <t>Model-Input-Ref</t>
        </is>
      </c>
      <c r="G338" t="inlineStr">
        <is>
          <t>未分類 (單據新增)</t>
        </is>
      </c>
      <c r="I338" t="inlineStr"/>
      <c r="J338" t="n">
        <v>1</v>
      </c>
      <c r="K338" t="n">
        <v>1794</v>
      </c>
      <c r="L338" t="n">
        <v>0.03</v>
      </c>
      <c r="M338">
        <f>J338*K338*L338</f>
        <v/>
      </c>
    </row>
    <row r="339">
      <c r="A339" t="inlineStr">
        <is>
          <t>Kwai Fong Fortress</t>
        </is>
      </c>
      <c r="B339" t="inlineStr">
        <is>
          <t>Kwai Fong Fortress</t>
        </is>
      </c>
      <c r="C339" t="inlineStr">
        <is>
          <t>Wu Sir</t>
        </is>
      </c>
      <c r="D339" t="inlineStr">
        <is>
          <t>2026-06</t>
        </is>
      </c>
      <c r="E339" t="inlineStr">
        <is>
          <t>2026-06-07 00:00:00</t>
        </is>
      </c>
      <c r="F339" t="inlineStr">
        <is>
          <t>Model-Input-Ref</t>
        </is>
      </c>
      <c r="G339" t="inlineStr">
        <is>
          <t>未分類 (單據新增)</t>
        </is>
      </c>
      <c r="I339" t="inlineStr"/>
      <c r="J339" t="n">
        <v>1</v>
      </c>
      <c r="K339" t="n">
        <v>1196</v>
      </c>
      <c r="L339" t="n">
        <v>0.03</v>
      </c>
      <c r="M339">
        <f>J339*K339*L339</f>
        <v/>
      </c>
    </row>
    <row r="340">
      <c r="A340" t="inlineStr">
        <is>
          <t>Kwai Fong Fortress</t>
        </is>
      </c>
      <c r="B340" t="inlineStr">
        <is>
          <t>Kwai Fong Fortress</t>
        </is>
      </c>
      <c r="C340" t="inlineStr">
        <is>
          <t>Wu Sir</t>
        </is>
      </c>
      <c r="D340" t="inlineStr">
        <is>
          <t>2026-06</t>
        </is>
      </c>
      <c r="E340" t="inlineStr">
        <is>
          <t>2026-06-07 00:00:00</t>
        </is>
      </c>
      <c r="F340" t="inlineStr">
        <is>
          <t>Model-Input-Ref</t>
        </is>
      </c>
      <c r="G340" t="inlineStr">
        <is>
          <t>未分類 (單據新增)</t>
        </is>
      </c>
      <c r="I340" t="inlineStr"/>
      <c r="J340" t="n">
        <v>1</v>
      </c>
      <c r="K340" t="n">
        <v>558</v>
      </c>
      <c r="L340" t="n">
        <v>0.03</v>
      </c>
      <c r="M340">
        <f>J340*K340*L340</f>
        <v/>
      </c>
    </row>
    <row r="341">
      <c r="A341" t="inlineStr">
        <is>
          <t>Kwai Fong Fortress</t>
        </is>
      </c>
      <c r="B341" t="inlineStr">
        <is>
          <t>Kwai Fong Fortress</t>
        </is>
      </c>
      <c r="C341" t="inlineStr">
        <is>
          <t>Wu Sir</t>
        </is>
      </c>
      <c r="D341" t="inlineStr">
        <is>
          <t>2026-06</t>
        </is>
      </c>
      <c r="E341" t="inlineStr">
        <is>
          <t>2026-06-07 00:00:00</t>
        </is>
      </c>
      <c r="F341" t="inlineStr">
        <is>
          <t>Model-Input-Ref</t>
        </is>
      </c>
      <c r="G341" t="inlineStr">
        <is>
          <t>未分類 (單據新增)</t>
        </is>
      </c>
      <c r="I341" t="inlineStr"/>
      <c r="J341" t="n">
        <v>1</v>
      </c>
      <c r="K341" t="n">
        <v>3688</v>
      </c>
      <c r="L341" t="n">
        <v>0.03</v>
      </c>
      <c r="M341">
        <f>J341*K341*L341</f>
        <v/>
      </c>
    </row>
    <row r="342">
      <c r="A342" t="inlineStr">
        <is>
          <t>Kwai Fong Fortress</t>
        </is>
      </c>
      <c r="B342" t="inlineStr">
        <is>
          <t>Kwai Fong Fortress</t>
        </is>
      </c>
      <c r="C342" t="inlineStr">
        <is>
          <t>Wu Sir</t>
        </is>
      </c>
      <c r="D342" t="inlineStr">
        <is>
          <t>2026-06</t>
        </is>
      </c>
      <c r="E342" t="inlineStr">
        <is>
          <t>2026-06-07 00:00:00</t>
        </is>
      </c>
      <c r="F342" t="inlineStr">
        <is>
          <t>Model-Input-Ref</t>
        </is>
      </c>
      <c r="G342" t="inlineStr">
        <is>
          <t>未分類 (單據新增)</t>
        </is>
      </c>
      <c r="I342" t="inlineStr"/>
      <c r="J342" t="n">
        <v>1</v>
      </c>
      <c r="K342" t="n">
        <v>1899</v>
      </c>
      <c r="L342" t="n">
        <v>0.03</v>
      </c>
      <c r="M342">
        <f>J342*K342*L342</f>
        <v/>
      </c>
    </row>
    <row r="343">
      <c r="A343" t="inlineStr">
        <is>
          <t>Kwai Fong Fortress</t>
        </is>
      </c>
      <c r="B343" t="inlineStr">
        <is>
          <t>Kwai Fong Fortress</t>
        </is>
      </c>
      <c r="C343" t="inlineStr">
        <is>
          <t>Wu Sir</t>
        </is>
      </c>
      <c r="D343" t="inlineStr">
        <is>
          <t>2026-06</t>
        </is>
      </c>
      <c r="E343" t="inlineStr">
        <is>
          <t>2026-06-07 00:00:00</t>
        </is>
      </c>
      <c r="F343" t="inlineStr">
        <is>
          <t>Model-Input-Ref</t>
        </is>
      </c>
      <c r="G343" t="inlineStr">
        <is>
          <t>未分類 (單據新增)</t>
        </is>
      </c>
      <c r="I343" t="inlineStr"/>
      <c r="J343" t="n">
        <v>1</v>
      </c>
      <c r="K343" t="n">
        <v>798</v>
      </c>
      <c r="L343" t="n">
        <v>0.03</v>
      </c>
      <c r="M343">
        <f>J343*K343*L343</f>
        <v/>
      </c>
    </row>
    <row r="344">
      <c r="A344" t="inlineStr">
        <is>
          <t>Kwai Fong Fortress</t>
        </is>
      </c>
      <c r="B344" t="inlineStr">
        <is>
          <t>Kwai Fong Fortress</t>
        </is>
      </c>
      <c r="C344" t="inlineStr">
        <is>
          <t>Wu Sir</t>
        </is>
      </c>
      <c r="D344" t="inlineStr">
        <is>
          <t>2026-06</t>
        </is>
      </c>
      <c r="E344" t="inlineStr">
        <is>
          <t>2026-06-07 00:00:00</t>
        </is>
      </c>
      <c r="F344" t="inlineStr">
        <is>
          <t>Model-Input-Ref</t>
        </is>
      </c>
      <c r="G344" t="inlineStr">
        <is>
          <t>未分類 (單據新增)</t>
        </is>
      </c>
      <c r="I344" t="inlineStr"/>
      <c r="J344" t="n">
        <v>1</v>
      </c>
      <c r="K344" t="n">
        <v>1794</v>
      </c>
      <c r="L344" t="n">
        <v>0.03</v>
      </c>
      <c r="M344">
        <f>J344*K344*L344</f>
        <v/>
      </c>
    </row>
    <row r="345">
      <c r="A345" t="inlineStr">
        <is>
          <t>Kwai Fong Fortress</t>
        </is>
      </c>
      <c r="B345" t="inlineStr">
        <is>
          <t>Kwai Fong Fortress</t>
        </is>
      </c>
      <c r="C345" t="inlineStr">
        <is>
          <t>Wu Sir</t>
        </is>
      </c>
      <c r="D345" t="inlineStr">
        <is>
          <t>2026-06</t>
        </is>
      </c>
      <c r="E345" t="inlineStr">
        <is>
          <t>2026-06-07 00:00:00</t>
        </is>
      </c>
      <c r="F345" t="inlineStr">
        <is>
          <t>Model-Input-Ref</t>
        </is>
      </c>
      <c r="G345" t="inlineStr">
        <is>
          <t>未分類 (單據新增)</t>
        </is>
      </c>
      <c r="I345" t="inlineStr"/>
      <c r="J345" t="n">
        <v>1</v>
      </c>
      <c r="K345" t="n">
        <v>1899</v>
      </c>
      <c r="L345" t="n">
        <v>0.03</v>
      </c>
      <c r="M345">
        <f>J345*K345*L345</f>
        <v/>
      </c>
    </row>
    <row r="346">
      <c r="A346" t="inlineStr">
        <is>
          <t>Kwai Fong Fortress</t>
        </is>
      </c>
      <c r="B346" t="inlineStr">
        <is>
          <t>Kwai Fong Fortress</t>
        </is>
      </c>
      <c r="C346" t="inlineStr">
        <is>
          <t>Wu Sir</t>
        </is>
      </c>
      <c r="D346" t="inlineStr">
        <is>
          <t>2026-06</t>
        </is>
      </c>
      <c r="E346" t="inlineStr">
        <is>
          <t>2026-06-20 00:00:00</t>
        </is>
      </c>
      <c r="F346" t="inlineStr">
        <is>
          <t>Model-Input-Ref</t>
        </is>
      </c>
      <c r="G346" t="inlineStr">
        <is>
          <t>未分類 (單據新增)</t>
        </is>
      </c>
      <c r="I346" t="inlineStr"/>
      <c r="J346" t="n">
        <v>1</v>
      </c>
      <c r="K346" t="n">
        <v>7376</v>
      </c>
      <c r="L346" t="n">
        <v>0.03</v>
      </c>
      <c r="M346">
        <f>J346*K346*L346</f>
        <v/>
      </c>
    </row>
    <row r="347">
      <c r="A347" t="inlineStr">
        <is>
          <t>Kwai Fong Fortress</t>
        </is>
      </c>
      <c r="B347" t="inlineStr">
        <is>
          <t>Kwai Fong Fortress</t>
        </is>
      </c>
      <c r="C347" t="inlineStr">
        <is>
          <t>Wu Sir</t>
        </is>
      </c>
      <c r="D347" t="inlineStr">
        <is>
          <t>2026-06</t>
        </is>
      </c>
      <c r="E347" t="inlineStr">
        <is>
          <t>2026-06-20 00:00:00</t>
        </is>
      </c>
      <c r="F347" t="inlineStr">
        <is>
          <t>Model-Input-Ref</t>
        </is>
      </c>
      <c r="G347" t="inlineStr">
        <is>
          <t>未分類 (單據新增)</t>
        </is>
      </c>
      <c r="I347" t="inlineStr"/>
      <c r="J347" t="n">
        <v>1</v>
      </c>
      <c r="K347" t="n">
        <v>656</v>
      </c>
      <c r="L347" t="n">
        <v>0.03</v>
      </c>
      <c r="M347">
        <f>J347*K347*L347</f>
        <v/>
      </c>
    </row>
    <row r="348">
      <c r="A348" t="inlineStr">
        <is>
          <t>Kwai Fong Fortress</t>
        </is>
      </c>
      <c r="B348" t="inlineStr">
        <is>
          <t>Kwai Fong Fortress</t>
        </is>
      </c>
      <c r="C348" t="inlineStr">
        <is>
          <t>Wu Sir</t>
        </is>
      </c>
      <c r="D348" t="inlineStr">
        <is>
          <t>2026-06</t>
        </is>
      </c>
      <c r="E348" t="inlineStr">
        <is>
          <t>2026-06-20 00:00:00</t>
        </is>
      </c>
      <c r="F348" t="inlineStr">
        <is>
          <t>Model-Input-Ref</t>
        </is>
      </c>
      <c r="G348" t="inlineStr">
        <is>
          <t>未分類 (單據新增)</t>
        </is>
      </c>
      <c r="I348" t="inlineStr"/>
      <c r="J348" t="n">
        <v>1</v>
      </c>
      <c r="K348" t="n">
        <v>598</v>
      </c>
      <c r="L348" t="n">
        <v>0.03</v>
      </c>
      <c r="M348">
        <f>J348*K348*L348</f>
        <v/>
      </c>
    </row>
    <row r="349">
      <c r="A349" t="inlineStr">
        <is>
          <t>Kwai Fong Fortress</t>
        </is>
      </c>
      <c r="B349" t="inlineStr">
        <is>
          <t>Kwai Fong Fortress</t>
        </is>
      </c>
      <c r="C349" t="inlineStr">
        <is>
          <t>Wu Sir</t>
        </is>
      </c>
      <c r="D349" t="inlineStr">
        <is>
          <t>2026-06</t>
        </is>
      </c>
      <c r="E349" t="inlineStr">
        <is>
          <t>2026-06-20 00:00:00</t>
        </is>
      </c>
      <c r="F349" t="inlineStr">
        <is>
          <t>Model-Input-Ref</t>
        </is>
      </c>
      <c r="G349" t="inlineStr">
        <is>
          <t>未分類 (單據新增)</t>
        </is>
      </c>
      <c r="I349" t="inlineStr"/>
      <c r="J349" t="n">
        <v>1</v>
      </c>
      <c r="K349" t="n">
        <v>1696</v>
      </c>
      <c r="L349" t="n">
        <v>0.03</v>
      </c>
      <c r="M349">
        <f>J349*K349*L349</f>
        <v/>
      </c>
    </row>
    <row r="350">
      <c r="A350" t="inlineStr">
        <is>
          <t>Kwai Fong Fortress</t>
        </is>
      </c>
      <c r="B350" t="inlineStr">
        <is>
          <t>Kwai Fong Fortress</t>
        </is>
      </c>
      <c r="C350" t="inlineStr">
        <is>
          <t>Wu Sir</t>
        </is>
      </c>
      <c r="D350" t="inlineStr">
        <is>
          <t>2026-06</t>
        </is>
      </c>
      <c r="E350" t="inlineStr">
        <is>
          <t>2026-06-20 00:00:00</t>
        </is>
      </c>
      <c r="F350" t="inlineStr">
        <is>
          <t>Model-Input-Ref</t>
        </is>
      </c>
      <c r="G350" t="inlineStr">
        <is>
          <t>未分類 (單據新增)</t>
        </is>
      </c>
      <c r="I350" t="inlineStr"/>
      <c r="J350" t="n">
        <v>1</v>
      </c>
      <c r="K350" t="n">
        <v>558</v>
      </c>
      <c r="L350" t="n">
        <v>0.03</v>
      </c>
      <c r="M350">
        <f>J350*K350*L350</f>
        <v/>
      </c>
    </row>
    <row r="351">
      <c r="A351" t="inlineStr">
        <is>
          <t>Kwai Fong Fortress</t>
        </is>
      </c>
      <c r="B351" t="inlineStr">
        <is>
          <t>Kwai Fong Fortress</t>
        </is>
      </c>
      <c r="C351" t="inlineStr">
        <is>
          <t>Wu Sir</t>
        </is>
      </c>
      <c r="D351" t="inlineStr">
        <is>
          <t>2026-06</t>
        </is>
      </c>
      <c r="E351" t="inlineStr">
        <is>
          <t>2026-06-20 00:00:00</t>
        </is>
      </c>
      <c r="F351" t="inlineStr">
        <is>
          <t>Model-Input-Ref</t>
        </is>
      </c>
      <c r="G351" t="inlineStr">
        <is>
          <t>未分類 (單據新增)</t>
        </is>
      </c>
      <c r="I351" t="inlineStr"/>
      <c r="J351" t="n">
        <v>1</v>
      </c>
      <c r="K351" t="n">
        <v>2990</v>
      </c>
      <c r="L351" t="n">
        <v>0.03</v>
      </c>
      <c r="M351">
        <f>J351*K351*L351</f>
        <v/>
      </c>
    </row>
    <row r="352">
      <c r="A352" t="inlineStr">
        <is>
          <t>Kwai Fong Fortress</t>
        </is>
      </c>
      <c r="B352" t="inlineStr">
        <is>
          <t>Kwai Fong Fortress</t>
        </is>
      </c>
      <c r="C352" t="inlineStr">
        <is>
          <t>Wu Sir</t>
        </is>
      </c>
      <c r="D352" t="inlineStr">
        <is>
          <t>2026-06</t>
        </is>
      </c>
      <c r="E352" t="inlineStr">
        <is>
          <t>2026-06-20 00:00:00</t>
        </is>
      </c>
      <c r="F352" t="inlineStr">
        <is>
          <t>Model-Input-Ref</t>
        </is>
      </c>
      <c r="G352" t="inlineStr">
        <is>
          <t>未分類 (單據新增)</t>
        </is>
      </c>
      <c r="I352" t="inlineStr"/>
      <c r="J352" t="n">
        <v>1</v>
      </c>
      <c r="K352" t="n">
        <v>868</v>
      </c>
      <c r="L352" t="n">
        <v>0.03</v>
      </c>
      <c r="M352">
        <f>J352*K352*L352</f>
        <v/>
      </c>
    </row>
    <row r="353">
      <c r="A353" t="inlineStr">
        <is>
          <t>Kwai Fong Fortress</t>
        </is>
      </c>
      <c r="B353" t="inlineStr">
        <is>
          <t>Kwai Fong Fortress</t>
        </is>
      </c>
      <c r="C353" t="inlineStr">
        <is>
          <t>Wu Sir</t>
        </is>
      </c>
      <c r="D353" t="inlineStr">
        <is>
          <t>2026-06</t>
        </is>
      </c>
      <c r="E353" t="inlineStr">
        <is>
          <t>2026-06-20 00:00:00</t>
        </is>
      </c>
      <c r="F353" t="inlineStr">
        <is>
          <t>Model-Input-Ref</t>
        </is>
      </c>
      <c r="G353" t="inlineStr">
        <is>
          <t>未分類 (單據新增)</t>
        </is>
      </c>
      <c r="I353" t="inlineStr"/>
      <c r="J353" t="n">
        <v>1</v>
      </c>
      <c r="K353" t="n">
        <v>1596</v>
      </c>
      <c r="L353" t="n">
        <v>0.03</v>
      </c>
      <c r="M353">
        <f>J353*K353*L353</f>
        <v/>
      </c>
    </row>
    <row r="354">
      <c r="A354" t="inlineStr">
        <is>
          <t>Kwai Fong Fortress</t>
        </is>
      </c>
      <c r="B354" t="inlineStr">
        <is>
          <t>Kwai Fong Fortress</t>
        </is>
      </c>
      <c r="C354" t="inlineStr">
        <is>
          <t>Wu Sir</t>
        </is>
      </c>
      <c r="D354" t="inlineStr">
        <is>
          <t>2026-06</t>
        </is>
      </c>
      <c r="E354" t="inlineStr">
        <is>
          <t>2026-06-21 00:00:00</t>
        </is>
      </c>
      <c r="F354" t="inlineStr">
        <is>
          <t>Model-Input-Ref</t>
        </is>
      </c>
      <c r="G354" t="inlineStr">
        <is>
          <t>未分類 (單據新增)</t>
        </is>
      </c>
      <c r="I354" t="inlineStr"/>
      <c r="J354" t="n">
        <v>1</v>
      </c>
      <c r="K354" t="n">
        <v>2392</v>
      </c>
      <c r="L354" t="n">
        <v>0.03</v>
      </c>
      <c r="M354">
        <f>J354*K354*L354</f>
        <v/>
      </c>
    </row>
    <row r="355">
      <c r="A355" t="inlineStr">
        <is>
          <t>Kwai Fong Fortress</t>
        </is>
      </c>
      <c r="B355" t="inlineStr">
        <is>
          <t>Kwai Fong Fortress</t>
        </is>
      </c>
      <c r="C355" t="inlineStr">
        <is>
          <t>Wu Sir</t>
        </is>
      </c>
      <c r="D355" t="inlineStr">
        <is>
          <t>2026-06</t>
        </is>
      </c>
      <c r="E355" t="inlineStr">
        <is>
          <t>2026-06-21 00:00:00</t>
        </is>
      </c>
      <c r="F355" t="inlineStr">
        <is>
          <t>Model-Input-Ref</t>
        </is>
      </c>
      <c r="G355" t="inlineStr">
        <is>
          <t>未分類 (單據新增)</t>
        </is>
      </c>
      <c r="I355" t="inlineStr"/>
      <c r="J355" t="n">
        <v>1</v>
      </c>
      <c r="K355" t="n">
        <v>348</v>
      </c>
      <c r="L355" t="n">
        <v>0.03</v>
      </c>
      <c r="M355">
        <f>J355*K355*L355</f>
        <v/>
      </c>
    </row>
    <row r="356">
      <c r="A356" t="inlineStr">
        <is>
          <t>Kwai Fong Fortress</t>
        </is>
      </c>
      <c r="B356" t="inlineStr">
        <is>
          <t>Kwai Fong Fortress</t>
        </is>
      </c>
      <c r="C356" t="inlineStr">
        <is>
          <t>Wu Sir</t>
        </is>
      </c>
      <c r="D356" t="inlineStr">
        <is>
          <t>2026-06</t>
        </is>
      </c>
      <c r="E356" t="inlineStr">
        <is>
          <t>2026-06-21 00:00:00</t>
        </is>
      </c>
      <c r="F356" t="inlineStr">
        <is>
          <t>Model-Input-Ref</t>
        </is>
      </c>
      <c r="G356" t="inlineStr">
        <is>
          <t>未分類 (單據新增)</t>
        </is>
      </c>
      <c r="I356" t="inlineStr"/>
      <c r="J356" t="n">
        <v>1</v>
      </c>
      <c r="K356" t="n">
        <v>1196</v>
      </c>
      <c r="L356" t="n">
        <v>0.03</v>
      </c>
      <c r="M356">
        <f>J356*K356*L356</f>
        <v/>
      </c>
    </row>
    <row r="357">
      <c r="A357" t="inlineStr">
        <is>
          <t>Kwai Fong Fortress</t>
        </is>
      </c>
      <c r="B357" t="inlineStr">
        <is>
          <t>Kwai Fong Fortress</t>
        </is>
      </c>
      <c r="C357" t="inlineStr">
        <is>
          <t>Wu Sir</t>
        </is>
      </c>
      <c r="D357" t="inlineStr">
        <is>
          <t>2026-06</t>
        </is>
      </c>
      <c r="E357" t="inlineStr">
        <is>
          <t>2026-06-21 00:00:00</t>
        </is>
      </c>
      <c r="F357" t="inlineStr">
        <is>
          <t>Model-Input-Ref</t>
        </is>
      </c>
      <c r="G357" t="inlineStr">
        <is>
          <t>未分類 (單據新增)</t>
        </is>
      </c>
      <c r="I357" t="inlineStr"/>
      <c r="J357" t="n">
        <v>1</v>
      </c>
      <c r="K357" t="n">
        <v>798</v>
      </c>
      <c r="L357" t="n">
        <v>0.03</v>
      </c>
      <c r="M357">
        <f>J357*K357*L357</f>
        <v/>
      </c>
    </row>
    <row r="358">
      <c r="A358" t="inlineStr">
        <is>
          <t>Kwai Fong Fortress</t>
        </is>
      </c>
      <c r="B358" t="inlineStr">
        <is>
          <t>Kwai Fong Fortress</t>
        </is>
      </c>
      <c r="C358" t="inlineStr">
        <is>
          <t>Wu Sir</t>
        </is>
      </c>
      <c r="D358" t="inlineStr">
        <is>
          <t>2026-06</t>
        </is>
      </c>
      <c r="E358" t="inlineStr">
        <is>
          <t>2026-06-21 00:00:00</t>
        </is>
      </c>
      <c r="F358" t="inlineStr">
        <is>
          <t>Model-Input-Ref</t>
        </is>
      </c>
      <c r="G358" t="inlineStr">
        <is>
          <t>未分類 (單據新增)</t>
        </is>
      </c>
      <c r="I358" t="inlineStr"/>
      <c r="J358" t="n">
        <v>1</v>
      </c>
      <c r="K358" t="n">
        <v>3140</v>
      </c>
      <c r="L358" t="n">
        <v>0.03</v>
      </c>
      <c r="M358">
        <f>J358*K358*L358</f>
        <v/>
      </c>
    </row>
    <row r="359">
      <c r="A359" t="inlineStr">
        <is>
          <t>Kwai Fong Fortress</t>
        </is>
      </c>
      <c r="B359" t="inlineStr">
        <is>
          <t>Kwai Fong Fortress</t>
        </is>
      </c>
      <c r="C359" t="inlineStr">
        <is>
          <t>Wu Sir</t>
        </is>
      </c>
      <c r="D359" t="inlineStr">
        <is>
          <t>2026-06</t>
        </is>
      </c>
      <c r="E359" t="inlineStr">
        <is>
          <t>2026-06-21 00:00:00</t>
        </is>
      </c>
      <c r="F359" t="inlineStr">
        <is>
          <t>Model-Input-Ref</t>
        </is>
      </c>
      <c r="G359" t="inlineStr">
        <is>
          <t>未分類 (單據新增)</t>
        </is>
      </c>
      <c r="I359" t="inlineStr"/>
      <c r="J359" t="n">
        <v>1</v>
      </c>
      <c r="K359" t="n">
        <v>840</v>
      </c>
      <c r="L359" t="n">
        <v>0.03</v>
      </c>
      <c r="M359">
        <f>J359*K359*L359</f>
        <v/>
      </c>
    </row>
    <row r="360">
      <c r="A360" t="inlineStr">
        <is>
          <t>Kwai Fong Fortress</t>
        </is>
      </c>
      <c r="B360" t="inlineStr">
        <is>
          <t>Kwai Fong Fortress</t>
        </is>
      </c>
      <c r="C360" t="inlineStr">
        <is>
          <t>Wu Sir</t>
        </is>
      </c>
      <c r="D360" t="inlineStr">
        <is>
          <t>2026-06</t>
        </is>
      </c>
      <c r="E360" t="inlineStr">
        <is>
          <t>2026-06-21 00:00:00</t>
        </is>
      </c>
      <c r="F360" t="inlineStr">
        <is>
          <t>Model-Input-Ref</t>
        </is>
      </c>
      <c r="G360" t="inlineStr">
        <is>
          <t>未分類 (單據新增)</t>
        </is>
      </c>
      <c r="I360" t="inlineStr"/>
      <c r="J360" t="n">
        <v>1</v>
      </c>
      <c r="K360" t="n">
        <v>1899</v>
      </c>
      <c r="L360" t="n">
        <v>0.03</v>
      </c>
      <c r="M360">
        <f>J360*K360*L360</f>
        <v/>
      </c>
    </row>
    <row r="361">
      <c r="A361" t="inlineStr">
        <is>
          <t>Kwai Fong Fortress</t>
        </is>
      </c>
      <c r="B361" t="inlineStr">
        <is>
          <t>Kwai Fong Fortress</t>
        </is>
      </c>
      <c r="C361" t="inlineStr">
        <is>
          <t>Wu Sir</t>
        </is>
      </c>
      <c r="D361" t="inlineStr">
        <is>
          <t>2026-06</t>
        </is>
      </c>
      <c r="E361" t="inlineStr">
        <is>
          <t>2026-06-21 00:00:00</t>
        </is>
      </c>
      <c r="F361" t="inlineStr">
        <is>
          <t>Model-Input-Ref</t>
        </is>
      </c>
      <c r="G361" t="inlineStr">
        <is>
          <t>未分類 (單據新增)</t>
        </is>
      </c>
      <c r="I361" t="inlineStr"/>
      <c r="J361" t="n">
        <v>1</v>
      </c>
      <c r="K361" t="n">
        <v>1696</v>
      </c>
      <c r="L361" t="n">
        <v>0.03</v>
      </c>
      <c r="M361">
        <f>J361*K361*L361</f>
        <v/>
      </c>
    </row>
    <row r="362">
      <c r="A362" t="inlineStr">
        <is>
          <t>Kwai Fong Fortress</t>
        </is>
      </c>
      <c r="B362" t="inlineStr">
        <is>
          <t>Kwai Fong Fortress</t>
        </is>
      </c>
      <c r="C362" t="inlineStr">
        <is>
          <t>Wu Sir</t>
        </is>
      </c>
      <c r="D362" t="inlineStr">
        <is>
          <t>2026-06</t>
        </is>
      </c>
      <c r="E362" t="inlineStr">
        <is>
          <t>2026-06-27 00:00:00</t>
        </is>
      </c>
      <c r="F362" t="inlineStr">
        <is>
          <t>Model-Input-Ref</t>
        </is>
      </c>
      <c r="G362" t="inlineStr">
        <is>
          <t>未分類 (單據新增)</t>
        </is>
      </c>
      <c r="I362" t="inlineStr"/>
      <c r="J362" t="n">
        <v>1</v>
      </c>
      <c r="K362" t="n">
        <v>798</v>
      </c>
      <c r="L362" t="n">
        <v>0.03</v>
      </c>
      <c r="M362">
        <f>J362*K362*L362</f>
        <v/>
      </c>
    </row>
    <row r="363">
      <c r="A363" t="inlineStr">
        <is>
          <t>Kwai Fong Fortress</t>
        </is>
      </c>
      <c r="B363" t="inlineStr">
        <is>
          <t>Kwai Fong Fortress</t>
        </is>
      </c>
      <c r="C363" t="inlineStr">
        <is>
          <t>Wu Sir</t>
        </is>
      </c>
      <c r="D363" t="inlineStr">
        <is>
          <t>2026-06</t>
        </is>
      </c>
      <c r="E363" t="inlineStr">
        <is>
          <t>2026-06-27 00:00:00</t>
        </is>
      </c>
      <c r="F363" t="inlineStr">
        <is>
          <t>Model-Input-Ref</t>
        </is>
      </c>
      <c r="G363" t="inlineStr">
        <is>
          <t>未分類 (單據新增)</t>
        </is>
      </c>
      <c r="I363" t="inlineStr"/>
      <c r="J363" t="n">
        <v>1</v>
      </c>
      <c r="K363" t="n">
        <v>1794</v>
      </c>
      <c r="L363" t="n">
        <v>0.03</v>
      </c>
      <c r="M363">
        <f>J363*K363*L363</f>
        <v/>
      </c>
    </row>
    <row r="364">
      <c r="A364" t="inlineStr">
        <is>
          <t>Kwai Fong Fortress</t>
        </is>
      </c>
      <c r="B364" t="inlineStr">
        <is>
          <t>Kwai Fong Fortress</t>
        </is>
      </c>
      <c r="C364" t="inlineStr">
        <is>
          <t>Wu Sir</t>
        </is>
      </c>
      <c r="D364" t="inlineStr">
        <is>
          <t>2026-06</t>
        </is>
      </c>
      <c r="E364" t="inlineStr">
        <is>
          <t>2026-06-27 00:00:00</t>
        </is>
      </c>
      <c r="F364" t="inlineStr">
        <is>
          <t>Model-Input-Ref</t>
        </is>
      </c>
      <c r="G364" t="inlineStr">
        <is>
          <t>未分類 (單據新增)</t>
        </is>
      </c>
      <c r="I364" t="inlineStr"/>
      <c r="J364" t="n">
        <v>1</v>
      </c>
      <c r="K364" t="n">
        <v>3798</v>
      </c>
      <c r="L364" t="n">
        <v>0.03</v>
      </c>
      <c r="M364">
        <f>J364*K364*L364</f>
        <v/>
      </c>
    </row>
    <row r="365">
      <c r="A365" t="inlineStr">
        <is>
          <t>Kwai Fong Fortress</t>
        </is>
      </c>
      <c r="B365" t="inlineStr">
        <is>
          <t>Kwai Fong Fortress</t>
        </is>
      </c>
      <c r="C365" t="inlineStr">
        <is>
          <t>Wu Sir</t>
        </is>
      </c>
      <c r="D365" t="inlineStr">
        <is>
          <t>2026-06</t>
        </is>
      </c>
      <c r="E365" t="inlineStr">
        <is>
          <t>2026-06-27 00:00:00</t>
        </is>
      </c>
      <c r="F365" t="inlineStr">
        <is>
          <t>Model-Input-Ref</t>
        </is>
      </c>
      <c r="G365" t="inlineStr">
        <is>
          <t>未分類 (單據新增)</t>
        </is>
      </c>
      <c r="I365" t="inlineStr"/>
      <c r="J365" t="n">
        <v>1</v>
      </c>
      <c r="K365" t="n">
        <v>328</v>
      </c>
      <c r="L365" t="n">
        <v>0.03</v>
      </c>
      <c r="M365">
        <f>J365*K365*L365</f>
        <v/>
      </c>
    </row>
    <row r="366">
      <c r="A366" t="inlineStr">
        <is>
          <t>Kwai Fong Fortress</t>
        </is>
      </c>
      <c r="B366" t="inlineStr">
        <is>
          <t>Kwai Fong Fortress</t>
        </is>
      </c>
      <c r="C366" t="inlineStr">
        <is>
          <t>Wu Sir</t>
        </is>
      </c>
      <c r="D366" t="inlineStr">
        <is>
          <t>2026-06</t>
        </is>
      </c>
      <c r="E366" t="inlineStr">
        <is>
          <t>2026-06-27 00:00:00</t>
        </is>
      </c>
      <c r="F366" t="inlineStr">
        <is>
          <t>Model-Input-Ref</t>
        </is>
      </c>
      <c r="G366" t="inlineStr">
        <is>
          <t>未分類 (單據新增)</t>
        </is>
      </c>
      <c r="I366" t="inlineStr"/>
      <c r="J366" t="n">
        <v>1</v>
      </c>
      <c r="K366" t="n">
        <v>2990</v>
      </c>
      <c r="L366" t="n">
        <v>0.03</v>
      </c>
      <c r="M366">
        <f>J366*K366*L366</f>
        <v/>
      </c>
    </row>
    <row r="367">
      <c r="A367" t="inlineStr">
        <is>
          <t>Kwai Fong Fortress</t>
        </is>
      </c>
      <c r="B367" t="inlineStr">
        <is>
          <t>Kwai Fong Fortress</t>
        </is>
      </c>
      <c r="C367" t="inlineStr">
        <is>
          <t>Wu Sir</t>
        </is>
      </c>
      <c r="D367" t="inlineStr">
        <is>
          <t>2026-06</t>
        </is>
      </c>
      <c r="E367" t="inlineStr">
        <is>
          <t>2026-06-27 00:00:00</t>
        </is>
      </c>
      <c r="F367" t="inlineStr">
        <is>
          <t>Model-Input-Ref</t>
        </is>
      </c>
      <c r="G367" t="inlineStr">
        <is>
          <t>未分類 (單據新增)</t>
        </is>
      </c>
      <c r="I367" t="inlineStr"/>
      <c r="J367" t="n">
        <v>1</v>
      </c>
      <c r="K367" t="n">
        <v>2512</v>
      </c>
      <c r="L367" t="n">
        <v>0.03</v>
      </c>
      <c r="M367">
        <f>J367*K367*L367</f>
        <v/>
      </c>
    </row>
    <row r="368">
      <c r="A368" t="inlineStr">
        <is>
          <t>Kwai Fong Fortress</t>
        </is>
      </c>
      <c r="B368" t="inlineStr">
        <is>
          <t>Kwai Fong Fortress</t>
        </is>
      </c>
      <c r="C368" t="inlineStr">
        <is>
          <t>Wu Sir</t>
        </is>
      </c>
      <c r="D368" t="inlineStr">
        <is>
          <t>2026-06</t>
        </is>
      </c>
      <c r="E368" t="inlineStr">
        <is>
          <t>2026-06-27 00:00:00</t>
        </is>
      </c>
      <c r="F368" t="inlineStr">
        <is>
          <t>Model-Input-Ref</t>
        </is>
      </c>
      <c r="G368" t="inlineStr">
        <is>
          <t>未分類 (單據新增)</t>
        </is>
      </c>
      <c r="I368" t="inlineStr"/>
      <c r="J368" t="n">
        <v>1</v>
      </c>
      <c r="K368" t="n">
        <v>336</v>
      </c>
      <c r="L368" t="n">
        <v>0.03</v>
      </c>
      <c r="M368">
        <f>J368*K368*L368</f>
        <v/>
      </c>
    </row>
    <row r="369">
      <c r="A369" t="inlineStr">
        <is>
          <t>Kwai Fong Fortress</t>
        </is>
      </c>
      <c r="B369" t="inlineStr">
        <is>
          <t>Kwai Fong Fortress</t>
        </is>
      </c>
      <c r="C369" t="inlineStr">
        <is>
          <t>Wu Sir</t>
        </is>
      </c>
      <c r="D369" t="inlineStr">
        <is>
          <t>2026-06</t>
        </is>
      </c>
      <c r="E369" t="inlineStr">
        <is>
          <t>2026-06-27 00:00:00</t>
        </is>
      </c>
      <c r="F369" t="inlineStr">
        <is>
          <t>Model-Input-Ref</t>
        </is>
      </c>
      <c r="G369" t="inlineStr">
        <is>
          <t>未分類 (單據新增)</t>
        </is>
      </c>
      <c r="I369" t="inlineStr"/>
      <c r="J369" t="n">
        <v>1</v>
      </c>
      <c r="K369" t="n">
        <v>3688</v>
      </c>
      <c r="L369" t="n">
        <v>0.03</v>
      </c>
      <c r="M369">
        <f>J369*K369*L369</f>
        <v/>
      </c>
    </row>
    <row r="370">
      <c r="A370" t="inlineStr">
        <is>
          <t>Kwai Fong Fortress</t>
        </is>
      </c>
      <c r="B370" t="inlineStr">
        <is>
          <t>Kwai Fong Fortress</t>
        </is>
      </c>
      <c r="C370" t="inlineStr">
        <is>
          <t>Wu Sir</t>
        </is>
      </c>
      <c r="D370" t="inlineStr">
        <is>
          <t>2026-06</t>
        </is>
      </c>
      <c r="E370" t="inlineStr">
        <is>
          <t>2026-06-27 00:00:00</t>
        </is>
      </c>
      <c r="F370" t="inlineStr">
        <is>
          <t>Model-Input-Ref</t>
        </is>
      </c>
      <c r="G370" t="inlineStr">
        <is>
          <t>未分類 (單據新增)</t>
        </is>
      </c>
      <c r="I370" t="inlineStr"/>
      <c r="J370" t="n">
        <v>1</v>
      </c>
      <c r="K370" t="n">
        <v>488</v>
      </c>
      <c r="L370" t="n">
        <v>0.03</v>
      </c>
      <c r="M370">
        <f>J370*K370*L370</f>
        <v/>
      </c>
    </row>
    <row r="371">
      <c r="A371" t="inlineStr">
        <is>
          <t>Kwai Fong Fortress</t>
        </is>
      </c>
      <c r="B371" t="inlineStr">
        <is>
          <t>Kwai Fong Fortress</t>
        </is>
      </c>
      <c r="C371" t="inlineStr">
        <is>
          <t>Wu Sir</t>
        </is>
      </c>
      <c r="D371" t="inlineStr">
        <is>
          <t>2026-06</t>
        </is>
      </c>
      <c r="E371" t="inlineStr">
        <is>
          <t>2026-06-28 00:00:00</t>
        </is>
      </c>
      <c r="F371" t="inlineStr">
        <is>
          <t>Model-Input-Ref</t>
        </is>
      </c>
      <c r="G371" t="inlineStr">
        <is>
          <t>未分類 (單據新增)</t>
        </is>
      </c>
      <c r="I371" t="inlineStr"/>
      <c r="J371" t="n">
        <v>1</v>
      </c>
      <c r="K371" t="n">
        <v>2998</v>
      </c>
      <c r="L371" t="n">
        <v>0.03</v>
      </c>
      <c r="M371">
        <f>J371*K371*L371</f>
        <v/>
      </c>
    </row>
    <row r="372">
      <c r="A372" t="inlineStr">
        <is>
          <t>Kwai Fong Fortress</t>
        </is>
      </c>
      <c r="B372" t="inlineStr">
        <is>
          <t>Kwai Fong Fortress</t>
        </is>
      </c>
      <c r="C372" t="inlineStr">
        <is>
          <t>Wu Sir</t>
        </is>
      </c>
      <c r="D372" t="inlineStr">
        <is>
          <t>2026-06</t>
        </is>
      </c>
      <c r="E372" t="inlineStr">
        <is>
          <t>2026-06-28 00:00:00</t>
        </is>
      </c>
      <c r="F372" t="inlineStr">
        <is>
          <t>Model-Input-Ref</t>
        </is>
      </c>
      <c r="G372" t="inlineStr">
        <is>
          <t>未分類 (單據新增)</t>
        </is>
      </c>
      <c r="I372" t="inlineStr"/>
      <c r="J372" t="n">
        <v>1</v>
      </c>
      <c r="K372" t="n">
        <v>3768</v>
      </c>
      <c r="L372" t="n">
        <v>0.03</v>
      </c>
      <c r="M372">
        <f>J372*K372*L372</f>
        <v/>
      </c>
    </row>
    <row r="373">
      <c r="A373" t="inlineStr">
        <is>
          <t>Kwai Fong Fortress</t>
        </is>
      </c>
      <c r="B373" t="inlineStr">
        <is>
          <t>Kwai Fong Fortress</t>
        </is>
      </c>
      <c r="C373" t="inlineStr">
        <is>
          <t>Wu Sir</t>
        </is>
      </c>
      <c r="D373" t="inlineStr">
        <is>
          <t>2026-06</t>
        </is>
      </c>
      <c r="E373" t="inlineStr">
        <is>
          <t>2026-06-28 00:00:00</t>
        </is>
      </c>
      <c r="F373" t="inlineStr">
        <is>
          <t>Model-Input-Ref</t>
        </is>
      </c>
      <c r="G373" t="inlineStr">
        <is>
          <t>未分類 (單據新增)</t>
        </is>
      </c>
      <c r="I373" t="inlineStr"/>
      <c r="J373" t="n">
        <v>1</v>
      </c>
      <c r="K373" t="n">
        <v>504</v>
      </c>
      <c r="L373" t="n">
        <v>0.03</v>
      </c>
      <c r="M373">
        <f>J373*K373*L373</f>
        <v/>
      </c>
    </row>
    <row r="374">
      <c r="A374" t="inlineStr">
        <is>
          <t>Kwai Fong Fortress</t>
        </is>
      </c>
      <c r="B374" t="inlineStr">
        <is>
          <t>Kwai Fong Fortress</t>
        </is>
      </c>
      <c r="C374" t="inlineStr">
        <is>
          <t>Wu Sir</t>
        </is>
      </c>
      <c r="D374" t="inlineStr">
        <is>
          <t>2026-06</t>
        </is>
      </c>
      <c r="E374" t="inlineStr">
        <is>
          <t>2026-06-28 00:00:00</t>
        </is>
      </c>
      <c r="F374" t="inlineStr">
        <is>
          <t>Model-Input-Ref</t>
        </is>
      </c>
      <c r="G374" t="inlineStr">
        <is>
          <t>未分類 (單據新增)</t>
        </is>
      </c>
      <c r="I374" t="inlineStr"/>
      <c r="J374" t="n">
        <v>1</v>
      </c>
      <c r="K374" t="n">
        <v>798</v>
      </c>
      <c r="L374" t="n">
        <v>0.03</v>
      </c>
      <c r="M374">
        <f>J374*K374*L374</f>
        <v/>
      </c>
    </row>
    <row r="375">
      <c r="A375" t="inlineStr">
        <is>
          <t>Kwai Fong Fortress</t>
        </is>
      </c>
      <c r="B375" t="inlineStr">
        <is>
          <t>Kwai Fong Fortress</t>
        </is>
      </c>
      <c r="C375" t="inlineStr">
        <is>
          <t>Wu Sir</t>
        </is>
      </c>
      <c r="D375" t="inlineStr">
        <is>
          <t>2026-06</t>
        </is>
      </c>
      <c r="E375" t="inlineStr">
        <is>
          <t>2026-06-28 00:00:00</t>
        </is>
      </c>
      <c r="F375" t="inlineStr">
        <is>
          <t>Model-Input-Ref</t>
        </is>
      </c>
      <c r="G375" t="inlineStr">
        <is>
          <t>未分類 (單據新增)</t>
        </is>
      </c>
      <c r="I375" t="inlineStr"/>
      <c r="J375" t="n">
        <v>1</v>
      </c>
      <c r="K375" t="n">
        <v>598</v>
      </c>
      <c r="L375" t="n">
        <v>0.03</v>
      </c>
      <c r="M375">
        <f>J375*K375*L375</f>
        <v/>
      </c>
    </row>
    <row r="376">
      <c r="A376" t="inlineStr">
        <is>
          <t>Kwai Fong Fortress</t>
        </is>
      </c>
      <c r="B376" t="inlineStr">
        <is>
          <t>Kwai Fong Fortress</t>
        </is>
      </c>
      <c r="C376" t="inlineStr">
        <is>
          <t>Wu Sir</t>
        </is>
      </c>
      <c r="D376" t="inlineStr">
        <is>
          <t>2026-06</t>
        </is>
      </c>
      <c r="E376" t="inlineStr">
        <is>
          <t>2026-06-28 00:00:00</t>
        </is>
      </c>
      <c r="F376" t="inlineStr">
        <is>
          <t>Model-Input-Ref</t>
        </is>
      </c>
      <c r="G376" t="inlineStr">
        <is>
          <t>未分類 (單據新增)</t>
        </is>
      </c>
      <c r="I376" t="inlineStr"/>
      <c r="J376" t="n">
        <v>1</v>
      </c>
      <c r="K376" t="n">
        <v>3688</v>
      </c>
      <c r="L376" t="n">
        <v>0.03</v>
      </c>
      <c r="M376">
        <f>J376*K376*L376</f>
        <v/>
      </c>
    </row>
    <row r="377">
      <c r="A377" t="inlineStr">
        <is>
          <t>Kwai Fong Fortress</t>
        </is>
      </c>
      <c r="B377" t="inlineStr">
        <is>
          <t>Kwai Fong Fortress</t>
        </is>
      </c>
      <c r="C377" t="inlineStr">
        <is>
          <t>Wu Sir</t>
        </is>
      </c>
      <c r="D377" t="inlineStr">
        <is>
          <t>2026-06</t>
        </is>
      </c>
      <c r="E377" t="inlineStr">
        <is>
          <t>2026-06-28 00:00:00</t>
        </is>
      </c>
      <c r="F377" t="inlineStr">
        <is>
          <t>Model-Input-Ref</t>
        </is>
      </c>
      <c r="G377" t="inlineStr">
        <is>
          <t>未分類 (單據新增)</t>
        </is>
      </c>
      <c r="I377" t="inlineStr"/>
      <c r="J377" t="n">
        <v>1</v>
      </c>
      <c r="K377" t="n">
        <v>3088</v>
      </c>
      <c r="L377" t="n">
        <v>0.03</v>
      </c>
      <c r="M377">
        <f>J377*K377*L377</f>
        <v/>
      </c>
    </row>
    <row r="378">
      <c r="A378" t="inlineStr">
        <is>
          <t>Kwai Fong Fortress</t>
        </is>
      </c>
      <c r="B378" t="inlineStr">
        <is>
          <t>Kwai Fong Fortress</t>
        </is>
      </c>
      <c r="C378" t="inlineStr">
        <is>
          <t>Wu Sir</t>
        </is>
      </c>
      <c r="D378" t="inlineStr">
        <is>
          <t>2026-06</t>
        </is>
      </c>
      <c r="E378" t="inlineStr">
        <is>
          <t>2026-06-28 00:00:00</t>
        </is>
      </c>
      <c r="F378" t="inlineStr">
        <is>
          <t>Model-Input-Ref</t>
        </is>
      </c>
      <c r="G378" t="inlineStr">
        <is>
          <t>未分類 (單據新增)</t>
        </is>
      </c>
      <c r="I378" t="inlineStr"/>
      <c r="J378" t="n">
        <v>1</v>
      </c>
      <c r="K378" t="n">
        <v>1696</v>
      </c>
      <c r="L378" t="n">
        <v>0.03</v>
      </c>
      <c r="M378">
        <f>J378*K378*L378</f>
        <v/>
      </c>
    </row>
    <row r="379">
      <c r="A379" t="inlineStr">
        <is>
          <t>Kwai Fong Fortress</t>
        </is>
      </c>
      <c r="B379" t="inlineStr">
        <is>
          <t>Kwai Fong Fortress</t>
        </is>
      </c>
      <c r="C379" t="inlineStr">
        <is>
          <t>Wu Sir</t>
        </is>
      </c>
      <c r="D379" t="inlineStr">
        <is>
          <t>2026-06</t>
        </is>
      </c>
      <c r="E379" t="inlineStr">
        <is>
          <t>2026-06-28 00:00:00</t>
        </is>
      </c>
      <c r="F379" t="inlineStr">
        <is>
          <t>Model-Input-Ref</t>
        </is>
      </c>
      <c r="G379" t="inlineStr">
        <is>
          <t>未分類 (單據新增)</t>
        </is>
      </c>
      <c r="I379" t="inlineStr"/>
      <c r="J379" t="n">
        <v>1</v>
      </c>
      <c r="K379" t="n">
        <v>1736</v>
      </c>
      <c r="L379" t="n">
        <v>0.03</v>
      </c>
      <c r="M379">
        <f>J379*K379*L379</f>
        <v/>
      </c>
    </row>
    <row r="380">
      <c r="A380" t="inlineStr">
        <is>
          <t>Tsing Yi Fortress</t>
        </is>
      </c>
      <c r="B380" t="inlineStr">
        <is>
          <t>Tsing Yi Fortress</t>
        </is>
      </c>
      <c r="C380" t="inlineStr">
        <is>
          <t>Tammy</t>
        </is>
      </c>
      <c r="D380" t="inlineStr">
        <is>
          <t>2026-06</t>
        </is>
      </c>
      <c r="E380" t="inlineStr">
        <is>
          <t>2026-06-05 00:00:00</t>
        </is>
      </c>
      <c r="F380" t="inlineStr">
        <is>
          <t>Model-Input-Ref</t>
        </is>
      </c>
      <c r="G380" t="inlineStr">
        <is>
          <t>未分類 (單據新增)</t>
        </is>
      </c>
      <c r="I380" t="inlineStr"/>
      <c r="J380" t="n">
        <v>1</v>
      </c>
      <c r="K380" t="n">
        <v>650</v>
      </c>
      <c r="L380" t="n">
        <v>0.03</v>
      </c>
      <c r="M380">
        <f>J380*K380*L380</f>
        <v/>
      </c>
    </row>
    <row r="381">
      <c r="A381" t="inlineStr">
        <is>
          <t>Tsing Yi Fortress</t>
        </is>
      </c>
      <c r="B381" t="inlineStr">
        <is>
          <t>Tsing Yi Fortress</t>
        </is>
      </c>
      <c r="C381" t="inlineStr">
        <is>
          <t>Tammy</t>
        </is>
      </c>
      <c r="D381" t="inlineStr">
        <is>
          <t>2026-06</t>
        </is>
      </c>
      <c r="E381" t="inlineStr">
        <is>
          <t>2026-06-05 00:00:00</t>
        </is>
      </c>
      <c r="F381" t="inlineStr">
        <is>
          <t>Model-Input-Ref</t>
        </is>
      </c>
      <c r="G381" t="inlineStr">
        <is>
          <t>未分類 (單據新增)</t>
        </is>
      </c>
      <c r="I381" t="inlineStr"/>
      <c r="J381" t="n">
        <v>1</v>
      </c>
      <c r="K381" t="n">
        <v>598</v>
      </c>
      <c r="L381" t="n">
        <v>0.03</v>
      </c>
      <c r="M381">
        <f>J381*K381*L381</f>
        <v/>
      </c>
    </row>
    <row r="382">
      <c r="A382" t="inlineStr">
        <is>
          <t>Tsing Yi Fortress</t>
        </is>
      </c>
      <c r="B382" t="inlineStr">
        <is>
          <t>Tsing Yi Fortress</t>
        </is>
      </c>
      <c r="C382" t="inlineStr">
        <is>
          <t>Tammy</t>
        </is>
      </c>
      <c r="D382" t="inlineStr">
        <is>
          <t>2026-06</t>
        </is>
      </c>
      <c r="E382" t="inlineStr">
        <is>
          <t>2026-06-05 00:00:00</t>
        </is>
      </c>
      <c r="F382" t="inlineStr">
        <is>
          <t>Model-Input-Ref</t>
        </is>
      </c>
      <c r="G382" t="inlineStr">
        <is>
          <t>未分類 (單據新增)</t>
        </is>
      </c>
      <c r="I382" t="inlineStr"/>
      <c r="J382" t="n">
        <v>1</v>
      </c>
      <c r="K382" t="n">
        <v>460</v>
      </c>
      <c r="L382" t="n">
        <v>0.03</v>
      </c>
      <c r="M382">
        <f>J382*K382*L382</f>
        <v/>
      </c>
    </row>
    <row r="383">
      <c r="A383" t="inlineStr">
        <is>
          <t>Tsing Yi Fortress</t>
        </is>
      </c>
      <c r="B383" t="inlineStr">
        <is>
          <t>Tsing Yi Fortress</t>
        </is>
      </c>
      <c r="C383" t="inlineStr">
        <is>
          <t>Tammy</t>
        </is>
      </c>
      <c r="D383" t="inlineStr">
        <is>
          <t>2026-06</t>
        </is>
      </c>
      <c r="E383" t="inlineStr">
        <is>
          <t>2026-06-06 00:00:00</t>
        </is>
      </c>
      <c r="F383" t="inlineStr">
        <is>
          <t>Model-Input-Ref</t>
        </is>
      </c>
      <c r="G383" t="inlineStr">
        <is>
          <t>未分類 (單據新增)</t>
        </is>
      </c>
      <c r="I383" t="inlineStr"/>
      <c r="J383" t="n">
        <v>1</v>
      </c>
      <c r="K383" t="n">
        <v>510</v>
      </c>
      <c r="L383" t="n">
        <v>0.03</v>
      </c>
      <c r="M383">
        <f>J383*K383*L383</f>
        <v/>
      </c>
    </row>
    <row r="384">
      <c r="A384" t="inlineStr">
        <is>
          <t>Tsing Yi Fortress</t>
        </is>
      </c>
      <c r="B384" t="inlineStr">
        <is>
          <t>Tsing Yi Fortress</t>
        </is>
      </c>
      <c r="C384" t="inlineStr">
        <is>
          <t>Tammy</t>
        </is>
      </c>
      <c r="D384" t="inlineStr">
        <is>
          <t>2026-06</t>
        </is>
      </c>
      <c r="E384" t="inlineStr">
        <is>
          <t>2026-06-06 00:00:00</t>
        </is>
      </c>
      <c r="F384" t="inlineStr">
        <is>
          <t>Model-Input-Ref</t>
        </is>
      </c>
      <c r="G384" t="inlineStr">
        <is>
          <t>未分類 (單據新增)</t>
        </is>
      </c>
      <c r="I384" t="inlineStr"/>
      <c r="J384" t="n">
        <v>1</v>
      </c>
      <c r="K384" t="n">
        <v>798</v>
      </c>
      <c r="L384" t="n">
        <v>0.03</v>
      </c>
      <c r="M384">
        <f>J384*K384*L384</f>
        <v/>
      </c>
    </row>
    <row r="385">
      <c r="A385" t="inlineStr">
        <is>
          <t>Tsing Yi Fortress</t>
        </is>
      </c>
      <c r="B385" t="inlineStr">
        <is>
          <t>Tsing Yi Fortress</t>
        </is>
      </c>
      <c r="C385" t="inlineStr">
        <is>
          <t>Tammy</t>
        </is>
      </c>
      <c r="D385" t="inlineStr">
        <is>
          <t>2026-06</t>
        </is>
      </c>
      <c r="E385" t="inlineStr">
        <is>
          <t>2026-06-06 00:00:00</t>
        </is>
      </c>
      <c r="F385" t="inlineStr">
        <is>
          <t>Model-Input-Ref</t>
        </is>
      </c>
      <c r="G385" t="inlineStr">
        <is>
          <t>未分類 (單據新增)</t>
        </is>
      </c>
      <c r="I385" t="inlineStr"/>
      <c r="J385" t="n">
        <v>1</v>
      </c>
      <c r="K385" t="n">
        <v>1899</v>
      </c>
      <c r="L385" t="n">
        <v>0.03</v>
      </c>
      <c r="M385">
        <f>J385*K385*L385</f>
        <v/>
      </c>
    </row>
    <row r="386">
      <c r="A386" t="inlineStr">
        <is>
          <t>Tsing Yi Fortress</t>
        </is>
      </c>
      <c r="B386" t="inlineStr">
        <is>
          <t>Tsing Yi Fortress</t>
        </is>
      </c>
      <c r="C386" t="inlineStr">
        <is>
          <t>Tammy</t>
        </is>
      </c>
      <c r="D386" t="inlineStr">
        <is>
          <t>2026-06</t>
        </is>
      </c>
      <c r="E386" t="inlineStr">
        <is>
          <t>2026-06-06 00:00:00</t>
        </is>
      </c>
      <c r="F386" t="inlineStr">
        <is>
          <t>Model-Input-Ref</t>
        </is>
      </c>
      <c r="G386" t="inlineStr">
        <is>
          <t>未分類 (單據新增)</t>
        </is>
      </c>
      <c r="I386" t="inlineStr"/>
      <c r="J386" t="n">
        <v>1</v>
      </c>
      <c r="K386" t="n">
        <v>690</v>
      </c>
      <c r="L386" t="n">
        <v>0.03</v>
      </c>
      <c r="M386">
        <f>J386*K386*L386</f>
        <v/>
      </c>
    </row>
    <row r="387">
      <c r="A387" t="inlineStr">
        <is>
          <t>Tsing Yi Fortress</t>
        </is>
      </c>
      <c r="B387" t="inlineStr">
        <is>
          <t>Tsing Yi Fortress</t>
        </is>
      </c>
      <c r="C387" t="inlineStr">
        <is>
          <t>Tammy</t>
        </is>
      </c>
      <c r="D387" t="inlineStr">
        <is>
          <t>2026-06</t>
        </is>
      </c>
      <c r="E387" t="inlineStr">
        <is>
          <t>2026-06-06 00:00:00</t>
        </is>
      </c>
      <c r="F387" t="inlineStr">
        <is>
          <t>Model-Input-Ref</t>
        </is>
      </c>
      <c r="G387" t="inlineStr">
        <is>
          <t>未分類 (單據新增)</t>
        </is>
      </c>
      <c r="I387" t="inlineStr"/>
      <c r="J387" t="n">
        <v>1</v>
      </c>
      <c r="K387" t="n">
        <v>2998</v>
      </c>
      <c r="L387" t="n">
        <v>0.03</v>
      </c>
      <c r="M387">
        <f>J387*K387*L387</f>
        <v/>
      </c>
    </row>
    <row r="388">
      <c r="A388" t="inlineStr">
        <is>
          <t>Tsing Yi Fortress</t>
        </is>
      </c>
      <c r="B388" t="inlineStr">
        <is>
          <t>Tsing Yi Fortress</t>
        </is>
      </c>
      <c r="C388" t="inlineStr">
        <is>
          <t>Tammy</t>
        </is>
      </c>
      <c r="D388" t="inlineStr">
        <is>
          <t>2026-06</t>
        </is>
      </c>
      <c r="E388" t="inlineStr">
        <is>
          <t>2026-06-06 00:00:00</t>
        </is>
      </c>
      <c r="F388" t="inlineStr">
        <is>
          <t>Model-Input-Ref</t>
        </is>
      </c>
      <c r="G388" t="inlineStr">
        <is>
          <t>未分類 (單據新增)</t>
        </is>
      </c>
      <c r="I388" t="inlineStr"/>
      <c r="J388" t="n">
        <v>1</v>
      </c>
      <c r="K388" t="n">
        <v>715</v>
      </c>
      <c r="L388" t="n">
        <v>0.03</v>
      </c>
      <c r="M388">
        <f>J388*K388*L388</f>
        <v/>
      </c>
    </row>
    <row r="389">
      <c r="A389" t="inlineStr">
        <is>
          <t>Tsing Yi Fortress</t>
        </is>
      </c>
      <c r="B389" t="inlineStr">
        <is>
          <t>Tsing Yi Fortress</t>
        </is>
      </c>
      <c r="C389" t="inlineStr">
        <is>
          <t>Tammy</t>
        </is>
      </c>
      <c r="D389" t="inlineStr">
        <is>
          <t>2026-06</t>
        </is>
      </c>
      <c r="E389" t="inlineStr">
        <is>
          <t>2026-06-06 00:00:00</t>
        </is>
      </c>
      <c r="F389" t="inlineStr">
        <is>
          <t>Model-Input-Ref</t>
        </is>
      </c>
      <c r="G389" t="inlineStr">
        <is>
          <t>未分類 (單據新增)</t>
        </is>
      </c>
      <c r="I389" t="inlineStr"/>
      <c r="J389" t="n">
        <v>1</v>
      </c>
      <c r="K389" t="n">
        <v>164</v>
      </c>
      <c r="L389" t="n">
        <v>0.03</v>
      </c>
      <c r="M389">
        <f>J389*K389*L389</f>
        <v/>
      </c>
    </row>
    <row r="390">
      <c r="A390" t="inlineStr">
        <is>
          <t>Tsing Yi Fortress</t>
        </is>
      </c>
      <c r="B390" t="inlineStr">
        <is>
          <t>Tsing Yi Fortress</t>
        </is>
      </c>
      <c r="C390" t="inlineStr">
        <is>
          <t>Tammy</t>
        </is>
      </c>
      <c r="D390" t="inlineStr">
        <is>
          <t>2026-06</t>
        </is>
      </c>
      <c r="E390" t="inlineStr">
        <is>
          <t>2026-06-07 00:00:00</t>
        </is>
      </c>
      <c r="F390" t="inlineStr">
        <is>
          <t>Model-Input-Ref</t>
        </is>
      </c>
      <c r="G390" t="inlineStr">
        <is>
          <t>未分類 (單據新增)</t>
        </is>
      </c>
      <c r="I390" t="inlineStr"/>
      <c r="J390" t="n">
        <v>1</v>
      </c>
      <c r="K390" t="n">
        <v>690</v>
      </c>
      <c r="L390" t="n">
        <v>0.03</v>
      </c>
      <c r="M390">
        <f>J390*K390*L390</f>
        <v/>
      </c>
    </row>
    <row r="391">
      <c r="A391" t="inlineStr">
        <is>
          <t>Tsing Yi Fortress</t>
        </is>
      </c>
      <c r="B391" t="inlineStr">
        <is>
          <t>Tsing Yi Fortress</t>
        </is>
      </c>
      <c r="C391" t="inlineStr">
        <is>
          <t>Tammy</t>
        </is>
      </c>
      <c r="D391" t="inlineStr">
        <is>
          <t>2026-06</t>
        </is>
      </c>
      <c r="E391" t="inlineStr">
        <is>
          <t>2026-06-07 00:00:00</t>
        </is>
      </c>
      <c r="F391" t="inlineStr">
        <is>
          <t>Model-Input-Ref</t>
        </is>
      </c>
      <c r="G391" t="inlineStr">
        <is>
          <t>未分類 (單據新增)</t>
        </is>
      </c>
      <c r="I391" t="inlineStr"/>
      <c r="J391" t="n">
        <v>1</v>
      </c>
      <c r="K391" t="n">
        <v>510</v>
      </c>
      <c r="L391" t="n">
        <v>0.03</v>
      </c>
      <c r="M391">
        <f>J391*K391*L391</f>
        <v/>
      </c>
    </row>
    <row r="392">
      <c r="A392" t="inlineStr">
        <is>
          <t>Tsing Yi Fortress</t>
        </is>
      </c>
      <c r="B392" t="inlineStr">
        <is>
          <t>Tsing Yi Fortress</t>
        </is>
      </c>
      <c r="C392" t="inlineStr">
        <is>
          <t>Tammy</t>
        </is>
      </c>
      <c r="D392" t="inlineStr">
        <is>
          <t>2026-06</t>
        </is>
      </c>
      <c r="E392" t="inlineStr">
        <is>
          <t>2026-06-07 00:00:00</t>
        </is>
      </c>
      <c r="F392" t="inlineStr">
        <is>
          <t>Model-Input-Ref</t>
        </is>
      </c>
      <c r="G392" t="inlineStr">
        <is>
          <t>未分類 (單據新增)</t>
        </is>
      </c>
      <c r="I392" t="inlineStr"/>
      <c r="J392" t="n">
        <v>1</v>
      </c>
      <c r="K392" t="n">
        <v>1899</v>
      </c>
      <c r="L392" t="n">
        <v>0.03</v>
      </c>
      <c r="M392">
        <f>J392*K392*L392</f>
        <v/>
      </c>
    </row>
    <row r="393">
      <c r="A393" t="inlineStr">
        <is>
          <t>Tsing Yi Fortress</t>
        </is>
      </c>
      <c r="B393" t="inlineStr">
        <is>
          <t>Tsing Yi Fortress</t>
        </is>
      </c>
      <c r="C393" t="inlineStr">
        <is>
          <t>Tammy</t>
        </is>
      </c>
      <c r="D393" t="inlineStr">
        <is>
          <t>2026-06</t>
        </is>
      </c>
      <c r="E393" t="inlineStr">
        <is>
          <t>2026-06-12 00:00:00</t>
        </is>
      </c>
      <c r="F393" t="inlineStr">
        <is>
          <t>Model-Input-Ref</t>
        </is>
      </c>
      <c r="G393" t="inlineStr">
        <is>
          <t>未分類 (單據新增)</t>
        </is>
      </c>
      <c r="I393" t="inlineStr"/>
      <c r="J393" t="n">
        <v>1</v>
      </c>
      <c r="K393" t="n">
        <v>1899</v>
      </c>
      <c r="L393" t="n">
        <v>0.03</v>
      </c>
      <c r="M393">
        <f>J393*K393*L393</f>
        <v/>
      </c>
    </row>
    <row r="394">
      <c r="A394" t="inlineStr">
        <is>
          <t>Tsing Yi Fortress</t>
        </is>
      </c>
      <c r="B394" t="inlineStr">
        <is>
          <t>Tsing Yi Fortress</t>
        </is>
      </c>
      <c r="C394" t="inlineStr">
        <is>
          <t>Tammy</t>
        </is>
      </c>
      <c r="D394" t="inlineStr">
        <is>
          <t>2026-06</t>
        </is>
      </c>
      <c r="E394" t="inlineStr">
        <is>
          <t>2026-06-13 00:00:00</t>
        </is>
      </c>
      <c r="F394" t="inlineStr">
        <is>
          <t>Model-Input-Ref</t>
        </is>
      </c>
      <c r="G394" t="inlineStr">
        <is>
          <t>未分類 (單據新增)</t>
        </is>
      </c>
      <c r="I394" t="inlineStr"/>
      <c r="J394" t="n">
        <v>1</v>
      </c>
      <c r="K394" t="n">
        <v>598</v>
      </c>
      <c r="L394" t="n">
        <v>0.03</v>
      </c>
      <c r="M394">
        <f>J394*K394*L394</f>
        <v/>
      </c>
    </row>
    <row r="395">
      <c r="A395" t="inlineStr">
        <is>
          <t>Tsing Yi Fortress</t>
        </is>
      </c>
      <c r="B395" t="inlineStr">
        <is>
          <t>Tsing Yi Fortress</t>
        </is>
      </c>
      <c r="C395" t="inlineStr">
        <is>
          <t>Tammy</t>
        </is>
      </c>
      <c r="D395" t="inlineStr">
        <is>
          <t>2026-06</t>
        </is>
      </c>
      <c r="E395" t="inlineStr">
        <is>
          <t>2026-06-13 00:00:00</t>
        </is>
      </c>
      <c r="F395" t="inlineStr">
        <is>
          <t>Model-Input-Ref</t>
        </is>
      </c>
      <c r="G395" t="inlineStr">
        <is>
          <t>未分類 (單據新增)</t>
        </is>
      </c>
      <c r="I395" t="inlineStr"/>
      <c r="J395" t="n">
        <v>1</v>
      </c>
      <c r="K395" t="n">
        <v>3688</v>
      </c>
      <c r="L395" t="n">
        <v>0.03</v>
      </c>
      <c r="M395">
        <f>J395*K395*L395</f>
        <v/>
      </c>
    </row>
    <row r="396">
      <c r="A396" t="inlineStr">
        <is>
          <t>Tsing Yi Fortress</t>
        </is>
      </c>
      <c r="B396" t="inlineStr">
        <is>
          <t>Tsing Yi Fortress</t>
        </is>
      </c>
      <c r="C396" t="inlineStr">
        <is>
          <t>Tammy</t>
        </is>
      </c>
      <c r="D396" t="inlineStr">
        <is>
          <t>2026-06</t>
        </is>
      </c>
      <c r="E396" t="inlineStr">
        <is>
          <t>2026-06-13 00:00:00</t>
        </is>
      </c>
      <c r="F396" t="inlineStr">
        <is>
          <t>Model-Input-Ref</t>
        </is>
      </c>
      <c r="G396" t="inlineStr">
        <is>
          <t>未分類 (單據新增)</t>
        </is>
      </c>
      <c r="I396" t="inlineStr"/>
      <c r="J396" t="n">
        <v>1</v>
      </c>
      <c r="K396" t="n">
        <v>628</v>
      </c>
      <c r="L396" t="n">
        <v>0.03</v>
      </c>
      <c r="M396">
        <f>J396*K396*L396</f>
        <v/>
      </c>
    </row>
    <row r="397">
      <c r="A397" t="inlineStr">
        <is>
          <t>Tsing Yi Fortress</t>
        </is>
      </c>
      <c r="B397" t="inlineStr">
        <is>
          <t>Tsing Yi Fortress</t>
        </is>
      </c>
      <c r="C397" t="inlineStr">
        <is>
          <t>Tammy</t>
        </is>
      </c>
      <c r="D397" t="inlineStr">
        <is>
          <t>2026-06</t>
        </is>
      </c>
      <c r="E397" t="inlineStr">
        <is>
          <t>2026-06-13 00:00:00</t>
        </is>
      </c>
      <c r="F397" t="inlineStr">
        <is>
          <t>Model-Input-Ref</t>
        </is>
      </c>
      <c r="G397" t="inlineStr">
        <is>
          <t>未分類 (單據新增)</t>
        </is>
      </c>
      <c r="I397" t="inlineStr"/>
      <c r="J397" t="n">
        <v>1</v>
      </c>
      <c r="K397" t="n">
        <v>598</v>
      </c>
      <c r="L397" t="n">
        <v>0.03</v>
      </c>
      <c r="M397">
        <f>J397*K397*L397</f>
        <v/>
      </c>
    </row>
    <row r="398">
      <c r="A398" t="inlineStr">
        <is>
          <t>Tsing Yi Fortress</t>
        </is>
      </c>
      <c r="B398" t="inlineStr">
        <is>
          <t>Tsing Yi Fortress</t>
        </is>
      </c>
      <c r="C398" t="inlineStr">
        <is>
          <t>Tammy</t>
        </is>
      </c>
      <c r="D398" t="inlineStr">
        <is>
          <t>2026-06</t>
        </is>
      </c>
      <c r="E398" t="inlineStr">
        <is>
          <t>2026-06-13 00:00:00</t>
        </is>
      </c>
      <c r="F398" t="inlineStr">
        <is>
          <t>Model-Input-Ref</t>
        </is>
      </c>
      <c r="G398" t="inlineStr">
        <is>
          <t>未分類 (單據新增)</t>
        </is>
      </c>
      <c r="I398" t="inlineStr"/>
      <c r="J398" t="n">
        <v>1</v>
      </c>
      <c r="K398" t="n">
        <v>598</v>
      </c>
      <c r="L398" t="n">
        <v>0.03</v>
      </c>
      <c r="M398">
        <f>J398*K398*L398</f>
        <v/>
      </c>
    </row>
    <row r="399">
      <c r="A399" t="inlineStr">
        <is>
          <t>Tsing Yi Fortress</t>
        </is>
      </c>
      <c r="B399" t="inlineStr">
        <is>
          <t>Tsing Yi Fortress</t>
        </is>
      </c>
      <c r="C399" t="inlineStr">
        <is>
          <t>Tammy</t>
        </is>
      </c>
      <c r="D399" t="inlineStr">
        <is>
          <t>2026-06</t>
        </is>
      </c>
      <c r="E399" t="inlineStr">
        <is>
          <t>2026-06-13 00:00:00</t>
        </is>
      </c>
      <c r="F399" t="inlineStr">
        <is>
          <t>Model-Input-Ref</t>
        </is>
      </c>
      <c r="G399" t="inlineStr">
        <is>
          <t>未分類 (單據新增)</t>
        </is>
      </c>
      <c r="I399" t="inlineStr"/>
      <c r="J399" t="n">
        <v>1</v>
      </c>
      <c r="K399" t="n">
        <v>848</v>
      </c>
      <c r="L399" t="n">
        <v>0.03</v>
      </c>
      <c r="M399">
        <f>J399*K399*L399</f>
        <v/>
      </c>
    </row>
    <row r="400">
      <c r="A400" t="inlineStr">
        <is>
          <t>Tsing Yi Fortress</t>
        </is>
      </c>
      <c r="B400" t="inlineStr">
        <is>
          <t>Tsing Yi Fortress</t>
        </is>
      </c>
      <c r="C400" t="inlineStr">
        <is>
          <t>Tammy</t>
        </is>
      </c>
      <c r="D400" t="inlineStr">
        <is>
          <t>2026-06</t>
        </is>
      </c>
      <c r="E400" t="inlineStr">
        <is>
          <t>2026-06-14 00:00:00</t>
        </is>
      </c>
      <c r="F400" t="inlineStr">
        <is>
          <t>Model-Input-Ref</t>
        </is>
      </c>
      <c r="G400" t="inlineStr">
        <is>
          <t>未分類 (單據新增)</t>
        </is>
      </c>
      <c r="I400" t="inlineStr"/>
      <c r="J400" t="n">
        <v>1</v>
      </c>
      <c r="K400" t="n">
        <v>598</v>
      </c>
      <c r="L400" t="n">
        <v>0.03</v>
      </c>
      <c r="M400">
        <f>J400*K400*L400</f>
        <v/>
      </c>
    </row>
    <row r="401">
      <c r="A401" t="inlineStr">
        <is>
          <t>Tsing Yi Fortress</t>
        </is>
      </c>
      <c r="B401" t="inlineStr">
        <is>
          <t>Tsing Yi Fortress</t>
        </is>
      </c>
      <c r="C401" t="inlineStr">
        <is>
          <t>Tammy</t>
        </is>
      </c>
      <c r="D401" t="inlineStr">
        <is>
          <t>2026-06</t>
        </is>
      </c>
      <c r="E401" t="inlineStr">
        <is>
          <t>2026-06-14 00:00:00</t>
        </is>
      </c>
      <c r="F401" t="inlineStr">
        <is>
          <t>Model-Input-Ref</t>
        </is>
      </c>
      <c r="G401" t="inlineStr">
        <is>
          <t>未分類 (單據新增)</t>
        </is>
      </c>
      <c r="I401" t="inlineStr"/>
      <c r="J401" t="n">
        <v>1</v>
      </c>
      <c r="K401" t="n">
        <v>598</v>
      </c>
      <c r="L401" t="n">
        <v>0.03</v>
      </c>
      <c r="M401">
        <f>J401*K401*L401</f>
        <v/>
      </c>
    </row>
    <row r="402">
      <c r="A402" t="inlineStr">
        <is>
          <t>Tsing Yi Fortress</t>
        </is>
      </c>
      <c r="B402" t="inlineStr">
        <is>
          <t>Tsing Yi Fortress</t>
        </is>
      </c>
      <c r="C402" t="inlineStr">
        <is>
          <t>Tammy</t>
        </is>
      </c>
      <c r="D402" t="inlineStr">
        <is>
          <t>2026-06</t>
        </is>
      </c>
      <c r="E402" t="inlineStr">
        <is>
          <t>2026-06-14 00:00:00</t>
        </is>
      </c>
      <c r="F402" t="inlineStr">
        <is>
          <t>Model-Input-Ref</t>
        </is>
      </c>
      <c r="G402" t="inlineStr">
        <is>
          <t>未分類 (單據新增)</t>
        </is>
      </c>
      <c r="I402" t="inlineStr"/>
      <c r="J402" t="n">
        <v>1</v>
      </c>
      <c r="K402" t="n">
        <v>598</v>
      </c>
      <c r="L402" t="n">
        <v>0.03</v>
      </c>
      <c r="M402">
        <f>J402*K402*L402</f>
        <v/>
      </c>
    </row>
    <row r="403">
      <c r="A403" t="inlineStr">
        <is>
          <t>Tsing Yi Fortress</t>
        </is>
      </c>
      <c r="B403" t="inlineStr">
        <is>
          <t>Tsing Yi Fortress</t>
        </is>
      </c>
      <c r="C403" t="inlineStr">
        <is>
          <t>Tammy</t>
        </is>
      </c>
      <c r="D403" t="inlineStr">
        <is>
          <t>2026-06</t>
        </is>
      </c>
      <c r="E403" t="inlineStr">
        <is>
          <t>2026-06-14 00:00:00</t>
        </is>
      </c>
      <c r="F403" t="inlineStr">
        <is>
          <t>Model-Input-Ref</t>
        </is>
      </c>
      <c r="G403" t="inlineStr">
        <is>
          <t>未分類 (單據新增)</t>
        </is>
      </c>
      <c r="I403" t="inlineStr"/>
      <c r="J403" t="n">
        <v>1</v>
      </c>
      <c r="K403" t="n">
        <v>848</v>
      </c>
      <c r="L403" t="n">
        <v>0.03</v>
      </c>
      <c r="M403">
        <f>J403*K403*L403</f>
        <v/>
      </c>
    </row>
    <row r="404">
      <c r="A404" t="inlineStr">
        <is>
          <t>Tsing Yi Fortress</t>
        </is>
      </c>
      <c r="B404" t="inlineStr">
        <is>
          <t>Tsing Yi Fortress</t>
        </is>
      </c>
      <c r="C404" t="inlineStr">
        <is>
          <t>Tammy</t>
        </is>
      </c>
      <c r="D404" t="inlineStr">
        <is>
          <t>2026-06</t>
        </is>
      </c>
      <c r="E404" t="inlineStr">
        <is>
          <t>2026-06-14 00:00:00</t>
        </is>
      </c>
      <c r="F404" t="inlineStr">
        <is>
          <t>Model-Input-Ref</t>
        </is>
      </c>
      <c r="G404" t="inlineStr">
        <is>
          <t>未分類 (單據新增)</t>
        </is>
      </c>
      <c r="I404" t="inlineStr"/>
      <c r="J404" t="n">
        <v>1</v>
      </c>
      <c r="K404" t="n">
        <v>528</v>
      </c>
      <c r="L404" t="n">
        <v>0.03</v>
      </c>
      <c r="M404">
        <f>J404*K404*L404</f>
        <v/>
      </c>
    </row>
    <row r="405">
      <c r="A405" t="inlineStr">
        <is>
          <t>Tsing Yi Fortress</t>
        </is>
      </c>
      <c r="B405" t="inlineStr">
        <is>
          <t>Tsing Yi Fortress</t>
        </is>
      </c>
      <c r="C405" t="inlineStr">
        <is>
          <t>Tammy</t>
        </is>
      </c>
      <c r="D405" t="inlineStr">
        <is>
          <t>2026-06</t>
        </is>
      </c>
      <c r="E405" t="inlineStr">
        <is>
          <t>2026-06-14 00:00:00</t>
        </is>
      </c>
      <c r="F405" t="inlineStr">
        <is>
          <t>Model-Input-Ref</t>
        </is>
      </c>
      <c r="G405" t="inlineStr">
        <is>
          <t>未分類 (單據新增)</t>
        </is>
      </c>
      <c r="I405" t="inlineStr"/>
      <c r="J405" t="n">
        <v>1</v>
      </c>
      <c r="K405" t="n">
        <v>2998</v>
      </c>
      <c r="L405" t="n">
        <v>0.03</v>
      </c>
      <c r="M405">
        <f>J405*K405*L405</f>
        <v/>
      </c>
    </row>
    <row r="406">
      <c r="A406" t="inlineStr">
        <is>
          <t>Tsing Yi Fortress</t>
        </is>
      </c>
      <c r="B406" t="inlineStr">
        <is>
          <t>Tsing Yi Fortress</t>
        </is>
      </c>
      <c r="C406" t="inlineStr">
        <is>
          <t>Tammy</t>
        </is>
      </c>
      <c r="D406" t="inlineStr">
        <is>
          <t>2026-06</t>
        </is>
      </c>
      <c r="E406" t="inlineStr">
        <is>
          <t>2026-06-14 00:00:00</t>
        </is>
      </c>
      <c r="F406" t="inlineStr">
        <is>
          <t>Model-Input-Ref</t>
        </is>
      </c>
      <c r="G406" t="inlineStr">
        <is>
          <t>未分類 (單據新增)</t>
        </is>
      </c>
      <c r="I406" t="inlineStr"/>
      <c r="J406" t="n">
        <v>1</v>
      </c>
      <c r="K406" t="n">
        <v>2998</v>
      </c>
      <c r="L406" t="n">
        <v>0.03</v>
      </c>
      <c r="M406">
        <f>J406*K406*L406</f>
        <v/>
      </c>
    </row>
    <row r="407">
      <c r="A407" t="inlineStr">
        <is>
          <t>Tuen Mun Broadway</t>
        </is>
      </c>
      <c r="B407" t="inlineStr">
        <is>
          <t>Tuen Mun Broadway</t>
        </is>
      </c>
      <c r="C407" t="inlineStr">
        <is>
          <t>May M</t>
        </is>
      </c>
      <c r="D407" t="inlineStr">
        <is>
          <t>2026-06</t>
        </is>
      </c>
      <c r="E407" t="inlineStr">
        <is>
          <t>2026-06-04 00:00:00</t>
        </is>
      </c>
      <c r="F407" t="inlineStr">
        <is>
          <t>Model-Input-Ref</t>
        </is>
      </c>
      <c r="G407" t="inlineStr">
        <is>
          <t>未分類 (單據新增)</t>
        </is>
      </c>
      <c r="I407" t="inlineStr"/>
      <c r="J407" t="n">
        <v>1</v>
      </c>
      <c r="K407" t="n">
        <v>848</v>
      </c>
      <c r="L407" t="n">
        <v>0.03</v>
      </c>
      <c r="M407">
        <f>J407*K407*L407</f>
        <v/>
      </c>
    </row>
    <row r="408">
      <c r="A408" t="inlineStr">
        <is>
          <t>Tuen Mun Broadway</t>
        </is>
      </c>
      <c r="B408" t="inlineStr">
        <is>
          <t>Tuen Mun Broadway</t>
        </is>
      </c>
      <c r="C408" t="inlineStr">
        <is>
          <t>May M</t>
        </is>
      </c>
      <c r="D408" t="inlineStr">
        <is>
          <t>2026-06</t>
        </is>
      </c>
      <c r="E408" t="inlineStr">
        <is>
          <t>2026-06-04 00:00:00</t>
        </is>
      </c>
      <c r="F408" t="inlineStr">
        <is>
          <t>Model-Input-Ref</t>
        </is>
      </c>
      <c r="G408" t="inlineStr">
        <is>
          <t>未分類 (單據新增)</t>
        </is>
      </c>
      <c r="I408" t="inlineStr"/>
      <c r="J408" t="n">
        <v>1</v>
      </c>
      <c r="K408" t="n">
        <v>298</v>
      </c>
      <c r="L408" t="n">
        <v>0.03</v>
      </c>
      <c r="M408">
        <f>J408*K408*L408</f>
        <v/>
      </c>
    </row>
    <row r="409">
      <c r="A409" t="inlineStr">
        <is>
          <t>Tuen Mun Broadway</t>
        </is>
      </c>
      <c r="B409" t="inlineStr">
        <is>
          <t>Tuen Mun Broadway</t>
        </is>
      </c>
      <c r="C409" t="inlineStr">
        <is>
          <t>May M</t>
        </is>
      </c>
      <c r="D409" t="inlineStr">
        <is>
          <t>2026-06</t>
        </is>
      </c>
      <c r="E409" t="inlineStr">
        <is>
          <t>2026-06-04 00:00:00</t>
        </is>
      </c>
      <c r="F409" t="inlineStr">
        <is>
          <t>Model-Input-Ref</t>
        </is>
      </c>
      <c r="G409" t="inlineStr">
        <is>
          <t>未分類 (單據新增)</t>
        </is>
      </c>
      <c r="I409" t="inlineStr"/>
      <c r="J409" t="n">
        <v>1</v>
      </c>
      <c r="K409" t="n">
        <v>620</v>
      </c>
      <c r="L409" t="n">
        <v>0.03</v>
      </c>
      <c r="M409">
        <f>J409*K409*L409</f>
        <v/>
      </c>
    </row>
    <row r="410">
      <c r="A410" t="inlineStr">
        <is>
          <t>Tuen Mun Broadway</t>
        </is>
      </c>
      <c r="B410" t="inlineStr">
        <is>
          <t>Tuen Mun Broadway</t>
        </is>
      </c>
      <c r="C410" t="inlineStr">
        <is>
          <t>May M</t>
        </is>
      </c>
      <c r="D410" t="inlineStr">
        <is>
          <t>2026-06</t>
        </is>
      </c>
      <c r="E410" t="inlineStr">
        <is>
          <t>2026-06-04 00:00:00</t>
        </is>
      </c>
      <c r="F410" t="inlineStr">
        <is>
          <t>Model-Input-Ref</t>
        </is>
      </c>
      <c r="G410" t="inlineStr">
        <is>
          <t>未分類 (單據新增)</t>
        </is>
      </c>
      <c r="I410" t="inlineStr"/>
      <c r="J410" t="n">
        <v>1</v>
      </c>
      <c r="K410" t="n">
        <v>160</v>
      </c>
      <c r="L410" t="n">
        <v>0.03</v>
      </c>
      <c r="M410">
        <f>J410*K410*L410</f>
        <v/>
      </c>
    </row>
    <row r="411">
      <c r="A411" t="inlineStr">
        <is>
          <t>Tuen Mun Broadway</t>
        </is>
      </c>
      <c r="B411" t="inlineStr">
        <is>
          <t>Tuen Mun Broadway</t>
        </is>
      </c>
      <c r="C411" t="inlineStr">
        <is>
          <t>May M</t>
        </is>
      </c>
      <c r="D411" t="inlineStr">
        <is>
          <t>2026-06</t>
        </is>
      </c>
      <c r="E411" t="inlineStr">
        <is>
          <t>2026-06-04 00:00:00</t>
        </is>
      </c>
      <c r="F411" t="inlineStr">
        <is>
          <t>Model-Input-Ref</t>
        </is>
      </c>
      <c r="G411" t="inlineStr">
        <is>
          <t>未分類 (單據新增)</t>
        </is>
      </c>
      <c r="I411" t="inlineStr"/>
      <c r="J411" t="n">
        <v>1</v>
      </c>
      <c r="K411" t="n">
        <v>2688</v>
      </c>
      <c r="L411" t="n">
        <v>0.03</v>
      </c>
      <c r="M411">
        <f>J411*K411*L411</f>
        <v/>
      </c>
    </row>
    <row r="412">
      <c r="A412" t="inlineStr">
        <is>
          <t>Tuen Mun Broadway</t>
        </is>
      </c>
      <c r="B412" t="inlineStr">
        <is>
          <t>Tuen Mun Broadway</t>
        </is>
      </c>
      <c r="C412" t="inlineStr">
        <is>
          <t>May M</t>
        </is>
      </c>
      <c r="D412" t="inlineStr">
        <is>
          <t>2026-06</t>
        </is>
      </c>
      <c r="E412" t="inlineStr">
        <is>
          <t>2026-06-04 00:00:00</t>
        </is>
      </c>
      <c r="F412" t="inlineStr">
        <is>
          <t>Model-Input-Ref</t>
        </is>
      </c>
      <c r="G412" t="inlineStr">
        <is>
          <t>未分類 (單據新增)</t>
        </is>
      </c>
      <c r="I412" t="inlineStr"/>
      <c r="J412" t="n">
        <v>1</v>
      </c>
      <c r="K412" t="n">
        <v>3688</v>
      </c>
      <c r="L412" t="n">
        <v>0.03</v>
      </c>
      <c r="M412">
        <f>J412*K412*L412</f>
        <v/>
      </c>
    </row>
    <row r="413">
      <c r="A413" t="inlineStr">
        <is>
          <t>Tuen Mun Broadway</t>
        </is>
      </c>
      <c r="B413" t="inlineStr">
        <is>
          <t>Tuen Mun Broadway</t>
        </is>
      </c>
      <c r="C413" t="inlineStr">
        <is>
          <t>May M</t>
        </is>
      </c>
      <c r="D413" t="inlineStr">
        <is>
          <t>2026-06</t>
        </is>
      </c>
      <c r="E413" t="inlineStr">
        <is>
          <t>2026-06-04 00:00:00</t>
        </is>
      </c>
      <c r="F413" t="inlineStr">
        <is>
          <t>Model-Input-Ref</t>
        </is>
      </c>
      <c r="G413" t="inlineStr">
        <is>
          <t>未分類 (單據新增)</t>
        </is>
      </c>
      <c r="I413" t="inlineStr"/>
      <c r="J413" t="n">
        <v>1</v>
      </c>
      <c r="K413" t="n">
        <v>2988</v>
      </c>
      <c r="L413" t="n">
        <v>0.03</v>
      </c>
      <c r="M413">
        <f>J413*K413*L413</f>
        <v/>
      </c>
    </row>
    <row r="414">
      <c r="A414" t="inlineStr">
        <is>
          <t>Tuen Mun Broadway</t>
        </is>
      </c>
      <c r="B414" t="inlineStr">
        <is>
          <t>Tuen Mun Broadway</t>
        </is>
      </c>
      <c r="C414" t="inlineStr">
        <is>
          <t>May M</t>
        </is>
      </c>
      <c r="D414" t="inlineStr">
        <is>
          <t>2026-06</t>
        </is>
      </c>
      <c r="E414" t="inlineStr">
        <is>
          <t>2026-06-04 00:00:00</t>
        </is>
      </c>
      <c r="F414" t="inlineStr">
        <is>
          <t>Model-Input-Ref</t>
        </is>
      </c>
      <c r="G414" t="inlineStr">
        <is>
          <t>未分類 (單據新增)</t>
        </is>
      </c>
      <c r="I414" t="inlineStr"/>
      <c r="J414" t="n">
        <v>1</v>
      </c>
      <c r="K414" t="n">
        <v>1330</v>
      </c>
      <c r="L414" t="n">
        <v>0.03</v>
      </c>
      <c r="M414">
        <f>J414*K414*L414</f>
        <v/>
      </c>
    </row>
    <row r="415">
      <c r="A415" t="inlineStr">
        <is>
          <t>Tuen Mun Broadway</t>
        </is>
      </c>
      <c r="B415" t="inlineStr">
        <is>
          <t>Tuen Mun Broadway</t>
        </is>
      </c>
      <c r="C415" t="inlineStr">
        <is>
          <t>May M</t>
        </is>
      </c>
      <c r="D415" t="inlineStr">
        <is>
          <t>2026-06</t>
        </is>
      </c>
      <c r="E415" t="inlineStr">
        <is>
          <t>2026-06-05 00:00:00</t>
        </is>
      </c>
      <c r="F415" t="inlineStr">
        <is>
          <t>Model-Input-Ref</t>
        </is>
      </c>
      <c r="G415" t="inlineStr">
        <is>
          <t>未分類 (單據新增)</t>
        </is>
      </c>
      <c r="I415" t="inlineStr"/>
      <c r="J415" t="n">
        <v>1</v>
      </c>
      <c r="K415" t="n">
        <v>160</v>
      </c>
      <c r="L415" t="n">
        <v>0.03</v>
      </c>
      <c r="M415">
        <f>J415*K415*L415</f>
        <v/>
      </c>
    </row>
    <row r="416">
      <c r="A416" t="inlineStr">
        <is>
          <t>Tuen Mun Broadway</t>
        </is>
      </c>
      <c r="B416" t="inlineStr">
        <is>
          <t>Tuen Mun Broadway</t>
        </is>
      </c>
      <c r="C416" t="inlineStr">
        <is>
          <t>May M</t>
        </is>
      </c>
      <c r="D416" t="inlineStr">
        <is>
          <t>2026-06</t>
        </is>
      </c>
      <c r="E416" t="inlineStr">
        <is>
          <t>2026-06-05 00:00:00</t>
        </is>
      </c>
      <c r="F416" t="inlineStr">
        <is>
          <t>Model-Input-Ref</t>
        </is>
      </c>
      <c r="G416" t="inlineStr">
        <is>
          <t>未分類 (單據新增)</t>
        </is>
      </c>
      <c r="I416" t="inlineStr"/>
      <c r="J416" t="n">
        <v>1</v>
      </c>
      <c r="K416" t="n">
        <v>160</v>
      </c>
      <c r="L416" t="n">
        <v>0.03</v>
      </c>
      <c r="M416">
        <f>J416*K416*L416</f>
        <v/>
      </c>
    </row>
    <row r="417">
      <c r="A417" t="inlineStr">
        <is>
          <t>Tuen Mun Broadway</t>
        </is>
      </c>
      <c r="B417" t="inlineStr">
        <is>
          <t>Tuen Mun Broadway</t>
        </is>
      </c>
      <c r="C417" t="inlineStr">
        <is>
          <t>May M</t>
        </is>
      </c>
      <c r="D417" t="inlineStr">
        <is>
          <t>2026-06</t>
        </is>
      </c>
      <c r="E417" t="inlineStr">
        <is>
          <t>2026-06-05 00:00:00</t>
        </is>
      </c>
      <c r="F417" t="inlineStr">
        <is>
          <t>Model-Input-Ref</t>
        </is>
      </c>
      <c r="G417" t="inlineStr">
        <is>
          <t>未分類 (單據新增)</t>
        </is>
      </c>
      <c r="I417" t="inlineStr"/>
      <c r="J417" t="n">
        <v>1</v>
      </c>
      <c r="K417" t="n">
        <v>620</v>
      </c>
      <c r="L417" t="n">
        <v>0.03</v>
      </c>
      <c r="M417">
        <f>J417*K417*L417</f>
        <v/>
      </c>
    </row>
    <row r="418">
      <c r="A418" t="inlineStr">
        <is>
          <t>Tuen Mun Broadway</t>
        </is>
      </c>
      <c r="B418" t="inlineStr">
        <is>
          <t>Tuen Mun Broadway</t>
        </is>
      </c>
      <c r="C418" t="inlineStr">
        <is>
          <t>May M</t>
        </is>
      </c>
      <c r="D418" t="inlineStr">
        <is>
          <t>2026-06</t>
        </is>
      </c>
      <c r="E418" t="inlineStr">
        <is>
          <t>2026-06-05 00:00:00</t>
        </is>
      </c>
      <c r="F418" t="inlineStr">
        <is>
          <t>Model-Input-Ref</t>
        </is>
      </c>
      <c r="G418" t="inlineStr">
        <is>
          <t>未分類 (單據新增)</t>
        </is>
      </c>
      <c r="I418" t="inlineStr"/>
      <c r="J418" t="n">
        <v>1</v>
      </c>
      <c r="K418" t="n">
        <v>598</v>
      </c>
      <c r="L418" t="n">
        <v>0.03</v>
      </c>
      <c r="M418">
        <f>J418*K418*L418</f>
        <v/>
      </c>
    </row>
    <row r="419">
      <c r="A419" t="inlineStr">
        <is>
          <t>Tuen Mun Broadway</t>
        </is>
      </c>
      <c r="B419" t="inlineStr">
        <is>
          <t>Tuen Mun Broadway</t>
        </is>
      </c>
      <c r="C419" t="inlineStr">
        <is>
          <t>May M</t>
        </is>
      </c>
      <c r="D419" t="inlineStr">
        <is>
          <t>2026-06</t>
        </is>
      </c>
      <c r="E419" t="inlineStr">
        <is>
          <t>2026-06-05 00:00:00</t>
        </is>
      </c>
      <c r="F419" t="inlineStr">
        <is>
          <t>Model-Input-Ref</t>
        </is>
      </c>
      <c r="G419" t="inlineStr">
        <is>
          <t>未分類 (單據新增)</t>
        </is>
      </c>
      <c r="I419" t="inlineStr"/>
      <c r="J419" t="n">
        <v>1</v>
      </c>
      <c r="K419" t="n">
        <v>2588</v>
      </c>
      <c r="L419" t="n">
        <v>0.03</v>
      </c>
      <c r="M419">
        <f>J419*K419*L419</f>
        <v/>
      </c>
    </row>
    <row r="420">
      <c r="A420" t="inlineStr">
        <is>
          <t>Tuen Mun Broadway</t>
        </is>
      </c>
      <c r="B420" t="inlineStr">
        <is>
          <t>Tuen Mun Broadway</t>
        </is>
      </c>
      <c r="C420" t="inlineStr">
        <is>
          <t>May M</t>
        </is>
      </c>
      <c r="D420" t="inlineStr">
        <is>
          <t>2026-06</t>
        </is>
      </c>
      <c r="E420" t="inlineStr">
        <is>
          <t>2026-06-06 00:00:00</t>
        </is>
      </c>
      <c r="F420" t="inlineStr">
        <is>
          <t>Model-Input-Ref</t>
        </is>
      </c>
      <c r="G420" t="inlineStr">
        <is>
          <t>未分類 (單據新增)</t>
        </is>
      </c>
      <c r="I420" t="inlineStr"/>
      <c r="J420" t="n">
        <v>1</v>
      </c>
      <c r="K420" t="n">
        <v>848</v>
      </c>
      <c r="L420" t="n">
        <v>0.03</v>
      </c>
      <c r="M420">
        <f>J420*K420*L420</f>
        <v/>
      </c>
    </row>
    <row r="421">
      <c r="A421" t="inlineStr">
        <is>
          <t>Tuen Mun Broadway</t>
        </is>
      </c>
      <c r="B421" t="inlineStr">
        <is>
          <t>Tuen Mun Broadway</t>
        </is>
      </c>
      <c r="C421" t="inlineStr">
        <is>
          <t>May M</t>
        </is>
      </c>
      <c r="D421" t="inlineStr">
        <is>
          <t>2026-06</t>
        </is>
      </c>
      <c r="E421" t="inlineStr">
        <is>
          <t>2026-06-06 00:00:00</t>
        </is>
      </c>
      <c r="F421" t="inlineStr">
        <is>
          <t>Model-Input-Ref</t>
        </is>
      </c>
      <c r="G421" t="inlineStr">
        <is>
          <t>未分類 (單據新增)</t>
        </is>
      </c>
      <c r="I421" t="inlineStr"/>
      <c r="J421" t="n">
        <v>1</v>
      </c>
      <c r="K421" t="n">
        <v>620</v>
      </c>
      <c r="L421" t="n">
        <v>0.03</v>
      </c>
      <c r="M421">
        <f>J421*K421*L421</f>
        <v/>
      </c>
    </row>
    <row r="422">
      <c r="A422" t="inlineStr">
        <is>
          <t>Tuen Mun Broadway</t>
        </is>
      </c>
      <c r="B422" t="inlineStr">
        <is>
          <t>Tuen Mun Broadway</t>
        </is>
      </c>
      <c r="C422" t="inlineStr">
        <is>
          <t>May M</t>
        </is>
      </c>
      <c r="D422" t="inlineStr">
        <is>
          <t>2026-06</t>
        </is>
      </c>
      <c r="E422" t="inlineStr">
        <is>
          <t>2026-06-06 00:00:00</t>
        </is>
      </c>
      <c r="F422" t="inlineStr">
        <is>
          <t>Model-Input-Ref</t>
        </is>
      </c>
      <c r="G422" t="inlineStr">
        <is>
          <t>未分類 (單據新增)</t>
        </is>
      </c>
      <c r="I422" t="inlineStr"/>
      <c r="J422" t="n">
        <v>1</v>
      </c>
      <c r="K422" t="n">
        <v>620</v>
      </c>
      <c r="L422" t="n">
        <v>0.03</v>
      </c>
      <c r="M422">
        <f>J422*K422*L422</f>
        <v/>
      </c>
    </row>
    <row r="423">
      <c r="A423" t="inlineStr">
        <is>
          <t>Tuen Mun Broadway</t>
        </is>
      </c>
      <c r="B423" t="inlineStr">
        <is>
          <t>Tuen Mun Broadway</t>
        </is>
      </c>
      <c r="C423" t="inlineStr">
        <is>
          <t>May M</t>
        </is>
      </c>
      <c r="D423" t="inlineStr">
        <is>
          <t>2026-06</t>
        </is>
      </c>
      <c r="E423" t="inlineStr">
        <is>
          <t>2026-06-06 00:00:00</t>
        </is>
      </c>
      <c r="F423" t="inlineStr">
        <is>
          <t>Model-Input-Ref</t>
        </is>
      </c>
      <c r="G423" t="inlineStr">
        <is>
          <t>未分類 (單據新增)</t>
        </is>
      </c>
      <c r="I423" t="inlineStr"/>
      <c r="J423" t="n">
        <v>1</v>
      </c>
      <c r="K423" t="n">
        <v>620</v>
      </c>
      <c r="L423" t="n">
        <v>0.03</v>
      </c>
      <c r="M423">
        <f>J423*K423*L423</f>
        <v/>
      </c>
    </row>
    <row r="424">
      <c r="A424" t="inlineStr">
        <is>
          <t>Tuen Mun Broadway</t>
        </is>
      </c>
      <c r="B424" t="inlineStr">
        <is>
          <t>Tuen Mun Broadway</t>
        </is>
      </c>
      <c r="C424" t="inlineStr">
        <is>
          <t>May M</t>
        </is>
      </c>
      <c r="D424" t="inlineStr">
        <is>
          <t>2026-06</t>
        </is>
      </c>
      <c r="E424" t="inlineStr">
        <is>
          <t>2026-06-06 00:00:00</t>
        </is>
      </c>
      <c r="F424" t="inlineStr">
        <is>
          <t>Model-Input-Ref</t>
        </is>
      </c>
      <c r="G424" t="inlineStr">
        <is>
          <t>未分類 (單據新增)</t>
        </is>
      </c>
      <c r="I424" t="inlineStr"/>
      <c r="J424" t="n">
        <v>1</v>
      </c>
      <c r="K424" t="n">
        <v>3688</v>
      </c>
      <c r="L424" t="n">
        <v>0.03</v>
      </c>
      <c r="M424">
        <f>J424*K424*L424</f>
        <v/>
      </c>
    </row>
    <row r="425">
      <c r="A425" t="inlineStr">
        <is>
          <t>Tuen Mun Broadway</t>
        </is>
      </c>
      <c r="B425" t="inlineStr">
        <is>
          <t>Tuen Mun Broadway</t>
        </is>
      </c>
      <c r="C425" t="inlineStr">
        <is>
          <t>May M</t>
        </is>
      </c>
      <c r="D425" t="inlineStr">
        <is>
          <t>2026-06</t>
        </is>
      </c>
      <c r="E425" t="inlineStr">
        <is>
          <t>2026-06-06 00:00:00</t>
        </is>
      </c>
      <c r="F425" t="inlineStr">
        <is>
          <t>Model-Input-Ref</t>
        </is>
      </c>
      <c r="G425" t="inlineStr">
        <is>
          <t>未分類 (單據新增)</t>
        </is>
      </c>
      <c r="I425" t="inlineStr"/>
      <c r="J425" t="n">
        <v>1</v>
      </c>
      <c r="K425" t="n">
        <v>3980</v>
      </c>
      <c r="L425" t="n">
        <v>0.03</v>
      </c>
      <c r="M425">
        <f>J425*K425*L425</f>
        <v/>
      </c>
    </row>
    <row r="426">
      <c r="A426" t="inlineStr">
        <is>
          <t>Tuen Mun Broadway</t>
        </is>
      </c>
      <c r="B426" t="inlineStr">
        <is>
          <t>Tuen Mun Broadway</t>
        </is>
      </c>
      <c r="C426" t="inlineStr">
        <is>
          <t>May M</t>
        </is>
      </c>
      <c r="D426" t="inlineStr">
        <is>
          <t>2026-06</t>
        </is>
      </c>
      <c r="E426" t="inlineStr">
        <is>
          <t>2026-06-06 00:00:00</t>
        </is>
      </c>
      <c r="F426" t="inlineStr">
        <is>
          <t>Model-Input-Ref</t>
        </is>
      </c>
      <c r="G426" t="inlineStr">
        <is>
          <t>未分類 (單據新增)</t>
        </is>
      </c>
      <c r="I426" t="inlineStr"/>
      <c r="J426" t="n">
        <v>1</v>
      </c>
      <c r="K426" t="n">
        <v>160</v>
      </c>
      <c r="L426" t="n">
        <v>0.03</v>
      </c>
      <c r="M426">
        <f>J426*K426*L426</f>
        <v/>
      </c>
    </row>
    <row r="427">
      <c r="A427" t="inlineStr">
        <is>
          <t>Tuen Mun Broadway</t>
        </is>
      </c>
      <c r="B427" t="inlineStr">
        <is>
          <t>Tuen Mun Broadway</t>
        </is>
      </c>
      <c r="C427" t="inlineStr">
        <is>
          <t>May M</t>
        </is>
      </c>
      <c r="D427" t="inlineStr">
        <is>
          <t>2026-06</t>
        </is>
      </c>
      <c r="E427" t="inlineStr">
        <is>
          <t>2026-06-06 00:00:00</t>
        </is>
      </c>
      <c r="F427" t="inlineStr">
        <is>
          <t>Model-Input-Ref</t>
        </is>
      </c>
      <c r="G427" t="inlineStr">
        <is>
          <t>未分類 (單據新增)</t>
        </is>
      </c>
      <c r="I427" t="inlineStr"/>
      <c r="J427" t="n">
        <v>1</v>
      </c>
      <c r="K427" t="n">
        <v>160</v>
      </c>
      <c r="L427" t="n">
        <v>0.03</v>
      </c>
      <c r="M427">
        <f>J427*K427*L427</f>
        <v/>
      </c>
    </row>
    <row r="428">
      <c r="A428" t="inlineStr">
        <is>
          <t>Tuen Mun Broadway</t>
        </is>
      </c>
      <c r="B428" t="inlineStr">
        <is>
          <t>Tuen Mun Broadway</t>
        </is>
      </c>
      <c r="C428" t="inlineStr">
        <is>
          <t>May M</t>
        </is>
      </c>
      <c r="D428" t="inlineStr">
        <is>
          <t>2026-06</t>
        </is>
      </c>
      <c r="E428" t="inlineStr">
        <is>
          <t>2026-06-06 00:00:00</t>
        </is>
      </c>
      <c r="F428" t="inlineStr">
        <is>
          <t>Model-Input-Ref</t>
        </is>
      </c>
      <c r="G428" t="inlineStr">
        <is>
          <t>未分類 (單據新增)</t>
        </is>
      </c>
      <c r="I428" t="inlineStr"/>
      <c r="J428" t="n">
        <v>1</v>
      </c>
      <c r="K428" t="n">
        <v>298</v>
      </c>
      <c r="L428" t="n">
        <v>0.03</v>
      </c>
      <c r="M428">
        <f>J428*K428*L428</f>
        <v/>
      </c>
    </row>
    <row r="429">
      <c r="A429" t="inlineStr">
        <is>
          <t>Tuen Mun Broadway</t>
        </is>
      </c>
      <c r="B429" t="inlineStr">
        <is>
          <t>Tuen Mun Broadway</t>
        </is>
      </c>
      <c r="C429" t="inlineStr">
        <is>
          <t>May M</t>
        </is>
      </c>
      <c r="D429" t="inlineStr">
        <is>
          <t>2026-06</t>
        </is>
      </c>
      <c r="E429" t="inlineStr">
        <is>
          <t>2026-06-06 00:00:00</t>
        </is>
      </c>
      <c r="F429" t="inlineStr">
        <is>
          <t>Model-Input-Ref</t>
        </is>
      </c>
      <c r="G429" t="inlineStr">
        <is>
          <t>未分類 (單據新增)</t>
        </is>
      </c>
      <c r="I429" t="inlineStr"/>
      <c r="J429" t="n">
        <v>1</v>
      </c>
      <c r="K429" t="n">
        <v>298</v>
      </c>
      <c r="L429" t="n">
        <v>0.03</v>
      </c>
      <c r="M429">
        <f>J429*K429*L429</f>
        <v/>
      </c>
    </row>
    <row r="430">
      <c r="A430" t="inlineStr">
        <is>
          <t>Tuen Mun Broadway</t>
        </is>
      </c>
      <c r="B430" t="inlineStr">
        <is>
          <t>Tuen Mun Broadway</t>
        </is>
      </c>
      <c r="C430" t="inlineStr">
        <is>
          <t>May M</t>
        </is>
      </c>
      <c r="D430" t="inlineStr">
        <is>
          <t>2026-06</t>
        </is>
      </c>
      <c r="E430" t="inlineStr">
        <is>
          <t>2026-06-06 00:00:00</t>
        </is>
      </c>
      <c r="F430" t="inlineStr">
        <is>
          <t>Model-Input-Ref</t>
        </is>
      </c>
      <c r="G430" t="inlineStr">
        <is>
          <t>未分類 (單據新增)</t>
        </is>
      </c>
      <c r="I430" t="inlineStr"/>
      <c r="J430" t="n">
        <v>1</v>
      </c>
      <c r="K430" t="n">
        <v>298</v>
      </c>
      <c r="L430" t="n">
        <v>0.03</v>
      </c>
      <c r="M430">
        <f>J430*K430*L430</f>
        <v/>
      </c>
    </row>
    <row r="431">
      <c r="A431" t="inlineStr">
        <is>
          <t>Tuen Mun Broadway</t>
        </is>
      </c>
      <c r="B431" t="inlineStr">
        <is>
          <t>Tuen Mun Broadway</t>
        </is>
      </c>
      <c r="C431" t="inlineStr">
        <is>
          <t>May M</t>
        </is>
      </c>
      <c r="D431" t="inlineStr">
        <is>
          <t>2026-06</t>
        </is>
      </c>
      <c r="E431" t="inlineStr">
        <is>
          <t>2026-06-06 00:00:00</t>
        </is>
      </c>
      <c r="F431" t="inlineStr">
        <is>
          <t>Model-Input-Ref</t>
        </is>
      </c>
      <c r="G431" t="inlineStr">
        <is>
          <t>未分類 (單據新增)</t>
        </is>
      </c>
      <c r="I431" t="inlineStr"/>
      <c r="J431" t="n">
        <v>1</v>
      </c>
      <c r="K431" t="n">
        <v>368</v>
      </c>
      <c r="L431" t="n">
        <v>0.03</v>
      </c>
      <c r="M431">
        <f>J431*K431*L431</f>
        <v/>
      </c>
    </row>
    <row r="432">
      <c r="A432" t="inlineStr">
        <is>
          <t>Tuen Mun Broadway</t>
        </is>
      </c>
      <c r="B432" t="inlineStr">
        <is>
          <t>Tuen Mun Broadway</t>
        </is>
      </c>
      <c r="C432" t="inlineStr">
        <is>
          <t>May M</t>
        </is>
      </c>
      <c r="D432" t="inlineStr">
        <is>
          <t>2026-06</t>
        </is>
      </c>
      <c r="E432" t="inlineStr">
        <is>
          <t>2026-06-06 00:00:00</t>
        </is>
      </c>
      <c r="F432" t="inlineStr">
        <is>
          <t>Model-Input-Ref</t>
        </is>
      </c>
      <c r="G432" t="inlineStr">
        <is>
          <t>未分類 (單據新增)</t>
        </is>
      </c>
      <c r="I432" t="inlineStr"/>
      <c r="J432" t="n">
        <v>1</v>
      </c>
      <c r="K432" t="n">
        <v>598</v>
      </c>
      <c r="L432" t="n">
        <v>0.03</v>
      </c>
      <c r="M432">
        <f>J432*K432*L432</f>
        <v/>
      </c>
    </row>
    <row r="433">
      <c r="A433" t="inlineStr">
        <is>
          <t>Tuen Mun Broadway</t>
        </is>
      </c>
      <c r="B433" t="inlineStr">
        <is>
          <t>Tuen Mun Broadway</t>
        </is>
      </c>
      <c r="C433" t="inlineStr">
        <is>
          <t>May M</t>
        </is>
      </c>
      <c r="D433" t="inlineStr">
        <is>
          <t>2026-06</t>
        </is>
      </c>
      <c r="E433" t="inlineStr">
        <is>
          <t>2026-06-06 00:00:00</t>
        </is>
      </c>
      <c r="F433" t="inlineStr">
        <is>
          <t>Model-Input-Ref</t>
        </is>
      </c>
      <c r="G433" t="inlineStr">
        <is>
          <t>未分類 (單據新增)</t>
        </is>
      </c>
      <c r="I433" t="inlineStr"/>
      <c r="J433" t="n">
        <v>1</v>
      </c>
      <c r="K433" t="n">
        <v>598</v>
      </c>
      <c r="L433" t="n">
        <v>0.03</v>
      </c>
      <c r="M433">
        <f>J433*K433*L433</f>
        <v/>
      </c>
    </row>
    <row r="434">
      <c r="A434" t="inlineStr">
        <is>
          <t>Tuen Mun Broadway</t>
        </is>
      </c>
      <c r="B434" t="inlineStr">
        <is>
          <t>Tuen Mun Broadway</t>
        </is>
      </c>
      <c r="C434" t="inlineStr">
        <is>
          <t>May M</t>
        </is>
      </c>
      <c r="D434" t="inlineStr">
        <is>
          <t>2026-06</t>
        </is>
      </c>
      <c r="E434" t="inlineStr">
        <is>
          <t>2026-06-06 00:00:00</t>
        </is>
      </c>
      <c r="F434" t="inlineStr">
        <is>
          <t>Model-Input-Ref</t>
        </is>
      </c>
      <c r="G434" t="inlineStr">
        <is>
          <t>未分類 (單據新增)</t>
        </is>
      </c>
      <c r="I434" t="inlineStr"/>
      <c r="J434" t="n">
        <v>1</v>
      </c>
      <c r="K434" t="n">
        <v>598</v>
      </c>
      <c r="L434" t="n">
        <v>0.03</v>
      </c>
      <c r="M434">
        <f>J434*K434*L434</f>
        <v/>
      </c>
    </row>
    <row r="435">
      <c r="A435" t="inlineStr">
        <is>
          <t>Tuen Mun Broadway</t>
        </is>
      </c>
      <c r="B435" t="inlineStr">
        <is>
          <t>Tuen Mun Broadway</t>
        </is>
      </c>
      <c r="C435" t="inlineStr">
        <is>
          <t>May M</t>
        </is>
      </c>
      <c r="D435" t="inlineStr">
        <is>
          <t>2026-06</t>
        </is>
      </c>
      <c r="E435" t="inlineStr">
        <is>
          <t>2026-06-07 00:00:00</t>
        </is>
      </c>
      <c r="F435" t="inlineStr">
        <is>
          <t>Model-Input-Ref</t>
        </is>
      </c>
      <c r="G435" t="inlineStr">
        <is>
          <t>未分類 (單據新增)</t>
        </is>
      </c>
      <c r="I435" t="inlineStr"/>
      <c r="J435" t="n">
        <v>1</v>
      </c>
      <c r="K435" t="n">
        <v>2688</v>
      </c>
      <c r="L435" t="n">
        <v>0.03</v>
      </c>
      <c r="M435">
        <f>J435*K435*L435</f>
        <v/>
      </c>
    </row>
    <row r="436">
      <c r="A436" t="inlineStr">
        <is>
          <t>Tuen Mun Broadway</t>
        </is>
      </c>
      <c r="B436" t="inlineStr">
        <is>
          <t>Tuen Mun Broadway</t>
        </is>
      </c>
      <c r="C436" t="inlineStr">
        <is>
          <t>May M</t>
        </is>
      </c>
      <c r="D436" t="inlineStr">
        <is>
          <t>2026-06</t>
        </is>
      </c>
      <c r="E436" t="inlineStr">
        <is>
          <t>2026-06-07 00:00:00</t>
        </is>
      </c>
      <c r="F436" t="inlineStr">
        <is>
          <t>Model-Input-Ref</t>
        </is>
      </c>
      <c r="G436" t="inlineStr">
        <is>
          <t>未分類 (單據新增)</t>
        </is>
      </c>
      <c r="I436" t="inlineStr"/>
      <c r="J436" t="n">
        <v>1</v>
      </c>
      <c r="K436" t="n">
        <v>1388</v>
      </c>
      <c r="L436" t="n">
        <v>0.03</v>
      </c>
      <c r="M436">
        <f>J436*K436*L436</f>
        <v/>
      </c>
    </row>
    <row r="437">
      <c r="A437" t="inlineStr">
        <is>
          <t>Tuen Mun Broadway</t>
        </is>
      </c>
      <c r="B437" t="inlineStr">
        <is>
          <t>Tuen Mun Broadway</t>
        </is>
      </c>
      <c r="C437" t="inlineStr">
        <is>
          <t>May M</t>
        </is>
      </c>
      <c r="D437" t="inlineStr">
        <is>
          <t>2026-06</t>
        </is>
      </c>
      <c r="E437" t="inlineStr">
        <is>
          <t>2026-06-07 00:00:00</t>
        </is>
      </c>
      <c r="F437" t="inlineStr">
        <is>
          <t>Model-Input-Ref</t>
        </is>
      </c>
      <c r="G437" t="inlineStr">
        <is>
          <t>未分類 (單據新增)</t>
        </is>
      </c>
      <c r="I437" t="inlineStr"/>
      <c r="J437" t="n">
        <v>1</v>
      </c>
      <c r="K437" t="n">
        <v>3688</v>
      </c>
      <c r="L437" t="n">
        <v>0.03</v>
      </c>
      <c r="M437">
        <f>J437*K437*L437</f>
        <v/>
      </c>
    </row>
    <row r="438">
      <c r="A438" t="inlineStr">
        <is>
          <t>Tuen Mun Broadway</t>
        </is>
      </c>
      <c r="B438" t="inlineStr">
        <is>
          <t>Tuen Mun Broadway</t>
        </is>
      </c>
      <c r="C438" t="inlineStr">
        <is>
          <t>May M</t>
        </is>
      </c>
      <c r="D438" t="inlineStr">
        <is>
          <t>2026-06</t>
        </is>
      </c>
      <c r="E438" t="inlineStr">
        <is>
          <t>2026-06-07 00:00:00</t>
        </is>
      </c>
      <c r="F438" t="inlineStr">
        <is>
          <t>Model-Input-Ref</t>
        </is>
      </c>
      <c r="G438" t="inlineStr">
        <is>
          <t>未分類 (單據新增)</t>
        </is>
      </c>
      <c r="I438" t="inlineStr"/>
      <c r="J438" t="n">
        <v>1</v>
      </c>
      <c r="K438" t="n">
        <v>5580</v>
      </c>
      <c r="L438" t="n">
        <v>0.03</v>
      </c>
      <c r="M438">
        <f>J438*K438*L438</f>
        <v/>
      </c>
    </row>
    <row r="439">
      <c r="A439" t="inlineStr">
        <is>
          <t>Tuen Mun Broadway</t>
        </is>
      </c>
      <c r="B439" t="inlineStr">
        <is>
          <t>Tuen Mun Broadway</t>
        </is>
      </c>
      <c r="C439" t="inlineStr">
        <is>
          <t>May M</t>
        </is>
      </c>
      <c r="D439" t="inlineStr">
        <is>
          <t>2026-06</t>
        </is>
      </c>
      <c r="E439" t="inlineStr">
        <is>
          <t>2026-06-07 00:00:00</t>
        </is>
      </c>
      <c r="F439" t="inlineStr">
        <is>
          <t>Model-Input-Ref</t>
        </is>
      </c>
      <c r="G439" t="inlineStr">
        <is>
          <t>未分類 (單據新增)</t>
        </is>
      </c>
      <c r="I439" t="inlineStr"/>
      <c r="J439" t="n">
        <v>1</v>
      </c>
      <c r="K439" t="n">
        <v>3980</v>
      </c>
      <c r="L439" t="n">
        <v>0.03</v>
      </c>
      <c r="M439">
        <f>J439*K439*L439</f>
        <v/>
      </c>
    </row>
    <row r="440">
      <c r="A440" t="inlineStr">
        <is>
          <t>Tuen Mun Broadway</t>
        </is>
      </c>
      <c r="B440" t="inlineStr">
        <is>
          <t>Tuen Mun Broadway</t>
        </is>
      </c>
      <c r="C440" t="inlineStr">
        <is>
          <t>May M</t>
        </is>
      </c>
      <c r="D440" t="inlineStr">
        <is>
          <t>2026-06</t>
        </is>
      </c>
      <c r="E440" t="inlineStr">
        <is>
          <t>2026-06-07 00:00:00</t>
        </is>
      </c>
      <c r="F440" t="inlineStr">
        <is>
          <t>Model-Input-Ref</t>
        </is>
      </c>
      <c r="G440" t="inlineStr">
        <is>
          <t>未分類 (單據新增)</t>
        </is>
      </c>
      <c r="I440" t="inlineStr"/>
      <c r="J440" t="n">
        <v>1</v>
      </c>
      <c r="K440" t="n">
        <v>598</v>
      </c>
      <c r="L440" t="n">
        <v>0.03</v>
      </c>
      <c r="M440">
        <f>J440*K440*L440</f>
        <v/>
      </c>
    </row>
    <row r="441">
      <c r="A441" t="inlineStr">
        <is>
          <t>Tuen Mun Broadway</t>
        </is>
      </c>
      <c r="B441" t="inlineStr">
        <is>
          <t>Tuen Mun Broadway</t>
        </is>
      </c>
      <c r="C441" t="inlineStr">
        <is>
          <t>May M</t>
        </is>
      </c>
      <c r="D441" t="inlineStr">
        <is>
          <t>2026-06</t>
        </is>
      </c>
      <c r="E441" t="inlineStr">
        <is>
          <t>2026-06-07 00:00:00</t>
        </is>
      </c>
      <c r="F441" t="inlineStr">
        <is>
          <t>Model-Input-Ref</t>
        </is>
      </c>
      <c r="G441" t="inlineStr">
        <is>
          <t>未分類 (單據新增)</t>
        </is>
      </c>
      <c r="I441" t="inlineStr"/>
      <c r="J441" t="n">
        <v>1</v>
      </c>
      <c r="K441" t="n">
        <v>3980</v>
      </c>
      <c r="L441" t="n">
        <v>0.03</v>
      </c>
      <c r="M441">
        <f>J441*K441*L441</f>
        <v/>
      </c>
    </row>
    <row r="442">
      <c r="A442" t="inlineStr">
        <is>
          <t>Tuen Mun Broadway</t>
        </is>
      </c>
      <c r="B442" t="inlineStr">
        <is>
          <t>Tuen Mun Broadway</t>
        </is>
      </c>
      <c r="C442" t="inlineStr">
        <is>
          <t>May M</t>
        </is>
      </c>
      <c r="D442" t="inlineStr">
        <is>
          <t>2026-06</t>
        </is>
      </c>
      <c r="E442" t="inlineStr">
        <is>
          <t>2026-06-07 00:00:00</t>
        </is>
      </c>
      <c r="F442" t="inlineStr">
        <is>
          <t>Model-Input-Ref</t>
        </is>
      </c>
      <c r="G442" t="inlineStr">
        <is>
          <t>未分類 (單據新增)</t>
        </is>
      </c>
      <c r="I442" t="inlineStr"/>
      <c r="J442" t="n">
        <v>1</v>
      </c>
      <c r="K442" t="n">
        <v>2250</v>
      </c>
      <c r="L442" t="n">
        <v>0.03</v>
      </c>
      <c r="M442">
        <f>J442*K442*L442</f>
        <v/>
      </c>
    </row>
    <row r="443">
      <c r="A443" t="inlineStr">
        <is>
          <t>Tuen Mun Broadway</t>
        </is>
      </c>
      <c r="B443" t="inlineStr">
        <is>
          <t>Tuen Mun Broadway</t>
        </is>
      </c>
      <c r="C443" t="inlineStr">
        <is>
          <t>May M</t>
        </is>
      </c>
      <c r="D443" t="inlineStr">
        <is>
          <t>2026-06</t>
        </is>
      </c>
      <c r="E443" t="inlineStr">
        <is>
          <t>2026-06-07 00:00:00</t>
        </is>
      </c>
      <c r="F443" t="inlineStr">
        <is>
          <t>Model-Input-Ref</t>
        </is>
      </c>
      <c r="G443" t="inlineStr">
        <is>
          <t>未分類 (單據新增)</t>
        </is>
      </c>
      <c r="I443" t="inlineStr"/>
      <c r="J443" t="n">
        <v>1</v>
      </c>
      <c r="K443" t="n">
        <v>1330</v>
      </c>
      <c r="L443" t="n">
        <v>0.03</v>
      </c>
      <c r="M443">
        <f>J443*K443*L443</f>
        <v/>
      </c>
    </row>
    <row r="444">
      <c r="A444" t="inlineStr">
        <is>
          <t>Tuen Mun Broadway</t>
        </is>
      </c>
      <c r="B444" t="inlineStr">
        <is>
          <t>Tuen Mun Broadway</t>
        </is>
      </c>
      <c r="C444" t="inlineStr">
        <is>
          <t>May M</t>
        </is>
      </c>
      <c r="D444" t="inlineStr">
        <is>
          <t>2026-06</t>
        </is>
      </c>
      <c r="E444" t="inlineStr">
        <is>
          <t>2026-06-07 00:00:00</t>
        </is>
      </c>
      <c r="F444" t="inlineStr">
        <is>
          <t>Model-Input-Ref</t>
        </is>
      </c>
      <c r="G444" t="inlineStr">
        <is>
          <t>未分類 (單據新增)</t>
        </is>
      </c>
      <c r="I444" t="inlineStr"/>
      <c r="J444" t="n">
        <v>1</v>
      </c>
      <c r="K444" t="n">
        <v>2988</v>
      </c>
      <c r="L444" t="n">
        <v>0.03</v>
      </c>
      <c r="M444">
        <f>J444*K444*L444</f>
        <v/>
      </c>
    </row>
    <row r="445">
      <c r="A445" t="inlineStr">
        <is>
          <t>Tuen Mun Broadway</t>
        </is>
      </c>
      <c r="B445" t="inlineStr">
        <is>
          <t>Tuen Mun Broadway</t>
        </is>
      </c>
      <c r="C445" t="inlineStr">
        <is>
          <t>May M</t>
        </is>
      </c>
      <c r="D445" t="inlineStr">
        <is>
          <t>2026-06</t>
        </is>
      </c>
      <c r="E445" t="inlineStr">
        <is>
          <t>2026-06-07 00:00:00</t>
        </is>
      </c>
      <c r="F445" t="inlineStr">
        <is>
          <t>Model-Input-Ref</t>
        </is>
      </c>
      <c r="G445" t="inlineStr">
        <is>
          <t>未分類 (單據新增)</t>
        </is>
      </c>
      <c r="I445" t="inlineStr"/>
      <c r="J445" t="n">
        <v>1</v>
      </c>
      <c r="K445" t="n">
        <v>3980</v>
      </c>
      <c r="L445" t="n">
        <v>0.03</v>
      </c>
      <c r="M445">
        <f>J445*K445*L445</f>
        <v/>
      </c>
    </row>
    <row r="446">
      <c r="A446" t="inlineStr">
        <is>
          <t>Tuen Mun Broadway</t>
        </is>
      </c>
      <c r="B446" t="inlineStr">
        <is>
          <t>Tuen Mun Broadway</t>
        </is>
      </c>
      <c r="C446" t="inlineStr">
        <is>
          <t>May M</t>
        </is>
      </c>
      <c r="D446" t="inlineStr">
        <is>
          <t>2026-06</t>
        </is>
      </c>
      <c r="E446" t="inlineStr">
        <is>
          <t>2026-06-11 00:00:00</t>
        </is>
      </c>
      <c r="F446" t="inlineStr">
        <is>
          <t>Model-Input-Ref</t>
        </is>
      </c>
      <c r="G446" t="inlineStr">
        <is>
          <t>未分類 (單據新增)</t>
        </is>
      </c>
      <c r="I446" t="inlineStr"/>
      <c r="J446" t="n">
        <v>1</v>
      </c>
      <c r="K446" t="n">
        <v>2250</v>
      </c>
      <c r="L446" t="n">
        <v>0.03</v>
      </c>
      <c r="M446">
        <f>J446*K446*L446</f>
        <v/>
      </c>
    </row>
    <row r="447">
      <c r="A447" t="inlineStr">
        <is>
          <t>Tuen Mun Broadway</t>
        </is>
      </c>
      <c r="B447" t="inlineStr">
        <is>
          <t>Tuen Mun Broadway</t>
        </is>
      </c>
      <c r="C447" t="inlineStr">
        <is>
          <t>May M</t>
        </is>
      </c>
      <c r="D447" t="inlineStr">
        <is>
          <t>2026-06</t>
        </is>
      </c>
      <c r="E447" t="inlineStr">
        <is>
          <t>2026-06-11 00:00:00</t>
        </is>
      </c>
      <c r="F447" t="inlineStr">
        <is>
          <t>Model-Input-Ref</t>
        </is>
      </c>
      <c r="G447" t="inlineStr">
        <is>
          <t>未分類 (單據新增)</t>
        </is>
      </c>
      <c r="I447" t="inlineStr"/>
      <c r="J447" t="n">
        <v>1</v>
      </c>
      <c r="K447" t="n">
        <v>2250</v>
      </c>
      <c r="L447" t="n">
        <v>0.03</v>
      </c>
      <c r="M447">
        <f>J447*K447*L447</f>
        <v/>
      </c>
    </row>
    <row r="448">
      <c r="A448" t="inlineStr">
        <is>
          <t>Tuen Mun Broadway</t>
        </is>
      </c>
      <c r="B448" t="inlineStr">
        <is>
          <t>Tuen Mun Broadway</t>
        </is>
      </c>
      <c r="C448" t="inlineStr">
        <is>
          <t>May M</t>
        </is>
      </c>
      <c r="D448" t="inlineStr">
        <is>
          <t>2026-06</t>
        </is>
      </c>
      <c r="E448" t="inlineStr">
        <is>
          <t>2026-06-11 00:00:00</t>
        </is>
      </c>
      <c r="F448" t="inlineStr">
        <is>
          <t>Model-Input-Ref</t>
        </is>
      </c>
      <c r="G448" t="inlineStr">
        <is>
          <t>未分類 (單據新增)</t>
        </is>
      </c>
      <c r="I448" t="inlineStr"/>
      <c r="J448" t="n">
        <v>1</v>
      </c>
      <c r="K448" t="n">
        <v>2250</v>
      </c>
      <c r="L448" t="n">
        <v>0.03</v>
      </c>
      <c r="M448">
        <f>J448*K448*L448</f>
        <v/>
      </c>
    </row>
    <row r="449">
      <c r="A449" t="inlineStr">
        <is>
          <t>Tuen Mun Broadway</t>
        </is>
      </c>
      <c r="B449" t="inlineStr">
        <is>
          <t>Tuen Mun Broadway</t>
        </is>
      </c>
      <c r="C449" t="inlineStr">
        <is>
          <t>May M</t>
        </is>
      </c>
      <c r="D449" t="inlineStr">
        <is>
          <t>2026-06</t>
        </is>
      </c>
      <c r="E449" t="inlineStr">
        <is>
          <t>2026-06-11 00:00:00</t>
        </is>
      </c>
      <c r="F449" t="inlineStr">
        <is>
          <t>Model-Input-Ref</t>
        </is>
      </c>
      <c r="G449" t="inlineStr">
        <is>
          <t>未分類 (單據新增)</t>
        </is>
      </c>
      <c r="I449" t="inlineStr"/>
      <c r="J449" t="n">
        <v>1</v>
      </c>
      <c r="K449" t="n">
        <v>2988</v>
      </c>
      <c r="L449" t="n">
        <v>0.03</v>
      </c>
      <c r="M449">
        <f>J449*K449*L449</f>
        <v/>
      </c>
    </row>
    <row r="450">
      <c r="A450" t="inlineStr">
        <is>
          <t>Tuen Mun Broadway</t>
        </is>
      </c>
      <c r="B450" t="inlineStr">
        <is>
          <t>Tuen Mun Broadway</t>
        </is>
      </c>
      <c r="C450" t="inlineStr">
        <is>
          <t>May M</t>
        </is>
      </c>
      <c r="D450" t="inlineStr">
        <is>
          <t>2026-06</t>
        </is>
      </c>
      <c r="E450" t="inlineStr">
        <is>
          <t>2026-06-11 00:00:00</t>
        </is>
      </c>
      <c r="F450" t="inlineStr">
        <is>
          <t>Model-Input-Ref</t>
        </is>
      </c>
      <c r="G450" t="inlineStr">
        <is>
          <t>未分類 (單據新增)</t>
        </is>
      </c>
      <c r="I450" t="inlineStr"/>
      <c r="J450" t="n">
        <v>1</v>
      </c>
      <c r="K450" t="n">
        <v>298</v>
      </c>
      <c r="L450" t="n">
        <v>0.03</v>
      </c>
      <c r="M450">
        <f>J450*K450*L450</f>
        <v/>
      </c>
    </row>
    <row r="451">
      <c r="A451" t="inlineStr">
        <is>
          <t>Tuen Mun Broadway</t>
        </is>
      </c>
      <c r="B451" t="inlineStr">
        <is>
          <t>Tuen Mun Broadway</t>
        </is>
      </c>
      <c r="C451" t="inlineStr">
        <is>
          <t>May M</t>
        </is>
      </c>
      <c r="D451" t="inlineStr">
        <is>
          <t>2026-06</t>
        </is>
      </c>
      <c r="E451" t="inlineStr">
        <is>
          <t>2026-06-11 00:00:00</t>
        </is>
      </c>
      <c r="F451" t="inlineStr">
        <is>
          <t>Model-Input-Ref</t>
        </is>
      </c>
      <c r="G451" t="inlineStr">
        <is>
          <t>未分類 (單據新增)</t>
        </is>
      </c>
      <c r="I451" t="inlineStr"/>
      <c r="J451" t="n">
        <v>1</v>
      </c>
      <c r="K451" t="n">
        <v>298</v>
      </c>
      <c r="L451" t="n">
        <v>0.03</v>
      </c>
      <c r="M451">
        <f>J451*K451*L451</f>
        <v/>
      </c>
    </row>
    <row r="452">
      <c r="A452" t="inlineStr">
        <is>
          <t>Tuen Mun Broadway</t>
        </is>
      </c>
      <c r="B452" t="inlineStr">
        <is>
          <t>Tuen Mun Broadway</t>
        </is>
      </c>
      <c r="C452" t="inlineStr">
        <is>
          <t>May M</t>
        </is>
      </c>
      <c r="D452" t="inlineStr">
        <is>
          <t>2026-06</t>
        </is>
      </c>
      <c r="E452" t="inlineStr">
        <is>
          <t>2026-06-11 00:00:00</t>
        </is>
      </c>
      <c r="F452" t="inlineStr">
        <is>
          <t>Model-Input-Ref</t>
        </is>
      </c>
      <c r="G452" t="inlineStr">
        <is>
          <t>未分類 (單據新增)</t>
        </is>
      </c>
      <c r="I452" t="inlineStr"/>
      <c r="J452" t="n">
        <v>1</v>
      </c>
      <c r="K452" t="n">
        <v>598</v>
      </c>
      <c r="L452" t="n">
        <v>0.03</v>
      </c>
      <c r="M452">
        <f>J452*K452*L452</f>
        <v/>
      </c>
    </row>
    <row r="453">
      <c r="A453" t="inlineStr">
        <is>
          <t>Tuen Mun Broadway</t>
        </is>
      </c>
      <c r="B453" t="inlineStr">
        <is>
          <t>Tuen Mun Broadway</t>
        </is>
      </c>
      <c r="C453" t="inlineStr">
        <is>
          <t>May M</t>
        </is>
      </c>
      <c r="D453" t="inlineStr">
        <is>
          <t>2026-06</t>
        </is>
      </c>
      <c r="E453" t="inlineStr">
        <is>
          <t>2026-06-11 00:00:00</t>
        </is>
      </c>
      <c r="F453" t="inlineStr">
        <is>
          <t>Model-Input-Ref</t>
        </is>
      </c>
      <c r="G453" t="inlineStr">
        <is>
          <t>未分類 (單據新增)</t>
        </is>
      </c>
      <c r="I453" t="inlineStr"/>
      <c r="J453" t="n">
        <v>1</v>
      </c>
      <c r="K453" t="n">
        <v>848</v>
      </c>
      <c r="L453" t="n">
        <v>0.03</v>
      </c>
      <c r="M453">
        <f>J453*K453*L453</f>
        <v/>
      </c>
    </row>
    <row r="454">
      <c r="A454" t="inlineStr">
        <is>
          <t>Tuen Mun Broadway</t>
        </is>
      </c>
      <c r="B454" t="inlineStr">
        <is>
          <t>Tuen Mun Broadway</t>
        </is>
      </c>
      <c r="C454" t="inlineStr">
        <is>
          <t>May M</t>
        </is>
      </c>
      <c r="D454" t="inlineStr">
        <is>
          <t>2026-06</t>
        </is>
      </c>
      <c r="E454" t="inlineStr">
        <is>
          <t>2026-06-12 00:00:00</t>
        </is>
      </c>
      <c r="F454" t="inlineStr">
        <is>
          <t>Model-Input-Ref</t>
        </is>
      </c>
      <c r="G454" t="inlineStr">
        <is>
          <t>未分類 (單據新增)</t>
        </is>
      </c>
      <c r="I454" t="inlineStr"/>
      <c r="J454" t="n">
        <v>1</v>
      </c>
      <c r="K454" t="n">
        <v>2250</v>
      </c>
      <c r="L454" t="n">
        <v>0.03</v>
      </c>
      <c r="M454">
        <f>J454*K454*L454</f>
        <v/>
      </c>
    </row>
    <row r="455">
      <c r="A455" t="inlineStr">
        <is>
          <t>Tuen Mun Broadway</t>
        </is>
      </c>
      <c r="B455" t="inlineStr">
        <is>
          <t>Tuen Mun Broadway</t>
        </is>
      </c>
      <c r="C455" t="inlineStr">
        <is>
          <t>May M</t>
        </is>
      </c>
      <c r="D455" t="inlineStr">
        <is>
          <t>2026-06</t>
        </is>
      </c>
      <c r="E455" t="inlineStr">
        <is>
          <t>2026-06-12 00:00:00</t>
        </is>
      </c>
      <c r="F455" t="inlineStr">
        <is>
          <t>Model-Input-Ref</t>
        </is>
      </c>
      <c r="G455" t="inlineStr">
        <is>
          <t>未分類 (單據新增)</t>
        </is>
      </c>
      <c r="I455" t="inlineStr"/>
      <c r="J455" t="n">
        <v>1</v>
      </c>
      <c r="K455" t="n">
        <v>2988</v>
      </c>
      <c r="L455" t="n">
        <v>0.03</v>
      </c>
      <c r="M455">
        <f>J455*K455*L455</f>
        <v/>
      </c>
    </row>
    <row r="456">
      <c r="A456" t="inlineStr">
        <is>
          <t>Tuen Mun Broadway</t>
        </is>
      </c>
      <c r="B456" t="inlineStr">
        <is>
          <t>Tuen Mun Broadway</t>
        </is>
      </c>
      <c r="C456" t="inlineStr">
        <is>
          <t>May M</t>
        </is>
      </c>
      <c r="D456" t="inlineStr">
        <is>
          <t>2026-06</t>
        </is>
      </c>
      <c r="E456" t="inlineStr">
        <is>
          <t>2026-06-12 00:00:00</t>
        </is>
      </c>
      <c r="F456" t="inlineStr">
        <is>
          <t>Model-Input-Ref</t>
        </is>
      </c>
      <c r="G456" t="inlineStr">
        <is>
          <t>未分類 (單據新增)</t>
        </is>
      </c>
      <c r="I456" t="inlineStr"/>
      <c r="J456" t="n">
        <v>1</v>
      </c>
      <c r="K456" t="n">
        <v>2250</v>
      </c>
      <c r="L456" t="n">
        <v>0.03</v>
      </c>
      <c r="M456">
        <f>J456*K456*L456</f>
        <v/>
      </c>
    </row>
    <row r="457">
      <c r="A457" t="inlineStr">
        <is>
          <t>Tuen Mun Broadway</t>
        </is>
      </c>
      <c r="B457" t="inlineStr">
        <is>
          <t>Tuen Mun Broadway</t>
        </is>
      </c>
      <c r="C457" t="inlineStr">
        <is>
          <t>May M</t>
        </is>
      </c>
      <c r="D457" t="inlineStr">
        <is>
          <t>2026-06</t>
        </is>
      </c>
      <c r="E457" t="inlineStr">
        <is>
          <t>2026-06-12 00:00:00</t>
        </is>
      </c>
      <c r="F457" t="inlineStr">
        <is>
          <t>Model-Input-Ref</t>
        </is>
      </c>
      <c r="G457" t="inlineStr">
        <is>
          <t>未分類 (單據新增)</t>
        </is>
      </c>
      <c r="I457" t="inlineStr"/>
      <c r="J457" t="n">
        <v>1</v>
      </c>
      <c r="K457" t="n">
        <v>598</v>
      </c>
      <c r="L457" t="n">
        <v>0.03</v>
      </c>
      <c r="M457">
        <f>J457*K457*L457</f>
        <v/>
      </c>
    </row>
    <row r="458">
      <c r="A458" t="inlineStr">
        <is>
          <t>Tuen Mun Broadway</t>
        </is>
      </c>
      <c r="B458" t="inlineStr">
        <is>
          <t>Tuen Mun Broadway</t>
        </is>
      </c>
      <c r="C458" t="inlineStr">
        <is>
          <t>May M</t>
        </is>
      </c>
      <c r="D458" t="inlineStr">
        <is>
          <t>2026-06</t>
        </is>
      </c>
      <c r="E458" t="inlineStr">
        <is>
          <t>2026-06-12 00:00:00</t>
        </is>
      </c>
      <c r="F458" t="inlineStr">
        <is>
          <t>Model-Input-Ref</t>
        </is>
      </c>
      <c r="G458" t="inlineStr">
        <is>
          <t>未分類 (單據新增)</t>
        </is>
      </c>
      <c r="I458" t="inlineStr"/>
      <c r="J458" t="n">
        <v>1</v>
      </c>
      <c r="K458" t="n">
        <v>4280</v>
      </c>
      <c r="L458" t="n">
        <v>0.03</v>
      </c>
      <c r="M458">
        <f>J458*K458*L458</f>
        <v/>
      </c>
    </row>
    <row r="459">
      <c r="A459" t="inlineStr">
        <is>
          <t>Tuen Mun Broadway</t>
        </is>
      </c>
      <c r="B459" t="inlineStr">
        <is>
          <t>Tuen Mun Broadway</t>
        </is>
      </c>
      <c r="C459" t="inlineStr">
        <is>
          <t>May M</t>
        </is>
      </c>
      <c r="D459" t="inlineStr">
        <is>
          <t>2026-06</t>
        </is>
      </c>
      <c r="E459" t="inlineStr">
        <is>
          <t>2026-06-13 00:00:00</t>
        </is>
      </c>
      <c r="F459" t="inlineStr">
        <is>
          <t>Model-Input-Ref</t>
        </is>
      </c>
      <c r="G459" t="inlineStr">
        <is>
          <t>未分類 (單據新增)</t>
        </is>
      </c>
      <c r="I459" t="inlineStr"/>
      <c r="J459" t="n">
        <v>1</v>
      </c>
      <c r="K459" t="n">
        <v>620</v>
      </c>
      <c r="L459" t="n">
        <v>0.03</v>
      </c>
      <c r="M459">
        <f>J459*K459*L459</f>
        <v/>
      </c>
    </row>
    <row r="460">
      <c r="A460" t="inlineStr">
        <is>
          <t>Tuen Mun Broadway</t>
        </is>
      </c>
      <c r="B460" t="inlineStr">
        <is>
          <t>Tuen Mun Broadway</t>
        </is>
      </c>
      <c r="C460" t="inlineStr">
        <is>
          <t>May M</t>
        </is>
      </c>
      <c r="D460" t="inlineStr">
        <is>
          <t>2026-06</t>
        </is>
      </c>
      <c r="E460" t="inlineStr">
        <is>
          <t>2026-06-13 00:00:00</t>
        </is>
      </c>
      <c r="F460" t="inlineStr">
        <is>
          <t>Model-Input-Ref</t>
        </is>
      </c>
      <c r="G460" t="inlineStr">
        <is>
          <t>未分類 (單據新增)</t>
        </is>
      </c>
      <c r="I460" t="inlineStr"/>
      <c r="J460" t="n">
        <v>1</v>
      </c>
      <c r="K460" t="n">
        <v>328</v>
      </c>
      <c r="L460" t="n">
        <v>0.03</v>
      </c>
      <c r="M460">
        <f>J460*K460*L460</f>
        <v/>
      </c>
    </row>
    <row r="461">
      <c r="A461" t="inlineStr">
        <is>
          <t>Tuen Mun Broadway</t>
        </is>
      </c>
      <c r="B461" t="inlineStr">
        <is>
          <t>Tuen Mun Broadway</t>
        </is>
      </c>
      <c r="C461" t="inlineStr">
        <is>
          <t>May M</t>
        </is>
      </c>
      <c r="D461" t="inlineStr">
        <is>
          <t>2026-06</t>
        </is>
      </c>
      <c r="E461" t="inlineStr">
        <is>
          <t>2026-06-13 00:00:00</t>
        </is>
      </c>
      <c r="F461" t="inlineStr">
        <is>
          <t>Model-Input-Ref</t>
        </is>
      </c>
      <c r="G461" t="inlineStr">
        <is>
          <t>未分類 (單據新增)</t>
        </is>
      </c>
      <c r="I461" t="inlineStr"/>
      <c r="J461" t="n">
        <v>1</v>
      </c>
      <c r="K461" t="n">
        <v>2988</v>
      </c>
      <c r="L461" t="n">
        <v>0.03</v>
      </c>
      <c r="M461">
        <f>J461*K461*L461</f>
        <v/>
      </c>
    </row>
    <row r="462">
      <c r="A462" t="inlineStr">
        <is>
          <t>Tuen Mun Broadway</t>
        </is>
      </c>
      <c r="B462" t="inlineStr">
        <is>
          <t>Tuen Mun Broadway</t>
        </is>
      </c>
      <c r="C462" t="inlineStr">
        <is>
          <t>May M</t>
        </is>
      </c>
      <c r="D462" t="inlineStr">
        <is>
          <t>2026-06</t>
        </is>
      </c>
      <c r="E462" t="inlineStr">
        <is>
          <t>2026-06-13 00:00:00</t>
        </is>
      </c>
      <c r="F462" t="inlineStr">
        <is>
          <t>Model-Input-Ref</t>
        </is>
      </c>
      <c r="G462" t="inlineStr">
        <is>
          <t>未分類 (單據新增)</t>
        </is>
      </c>
      <c r="I462" t="inlineStr"/>
      <c r="J462" t="n">
        <v>1</v>
      </c>
      <c r="K462" t="n">
        <v>598</v>
      </c>
      <c r="L462" t="n">
        <v>0.03</v>
      </c>
      <c r="M462">
        <f>J462*K462*L462</f>
        <v/>
      </c>
    </row>
    <row r="463">
      <c r="A463" t="inlineStr">
        <is>
          <t>Tuen Mun Broadway</t>
        </is>
      </c>
      <c r="B463" t="inlineStr">
        <is>
          <t>Tuen Mun Broadway</t>
        </is>
      </c>
      <c r="C463" t="inlineStr">
        <is>
          <t>May M</t>
        </is>
      </c>
      <c r="D463" t="inlineStr">
        <is>
          <t>2026-06</t>
        </is>
      </c>
      <c r="E463" t="inlineStr">
        <is>
          <t>2026-06-14 00:00:00</t>
        </is>
      </c>
      <c r="F463" t="inlineStr">
        <is>
          <t>Model-Input-Ref</t>
        </is>
      </c>
      <c r="G463" t="inlineStr">
        <is>
          <t>未分類 (單據新增)</t>
        </is>
      </c>
      <c r="I463" t="inlineStr"/>
      <c r="J463" t="n">
        <v>1</v>
      </c>
      <c r="K463" t="n">
        <v>2250</v>
      </c>
      <c r="L463" t="n">
        <v>0.03</v>
      </c>
      <c r="M463">
        <f>J463*K463*L463</f>
        <v/>
      </c>
    </row>
    <row r="464">
      <c r="A464" t="inlineStr">
        <is>
          <t>Tuen Mun Broadway</t>
        </is>
      </c>
      <c r="B464" t="inlineStr">
        <is>
          <t>Tuen Mun Broadway</t>
        </is>
      </c>
      <c r="C464" t="inlineStr">
        <is>
          <t>May M</t>
        </is>
      </c>
      <c r="D464" t="inlineStr">
        <is>
          <t>2026-06</t>
        </is>
      </c>
      <c r="E464" t="inlineStr">
        <is>
          <t>2026-06-14 00:00:00</t>
        </is>
      </c>
      <c r="F464" t="inlineStr">
        <is>
          <t>Model-Input-Ref</t>
        </is>
      </c>
      <c r="G464" t="inlineStr">
        <is>
          <t>未分類 (單據新增)</t>
        </is>
      </c>
      <c r="I464" t="inlineStr"/>
      <c r="J464" t="n">
        <v>1</v>
      </c>
      <c r="K464" t="n">
        <v>2250</v>
      </c>
      <c r="L464" t="n">
        <v>0.03</v>
      </c>
      <c r="M464">
        <f>J464*K464*L464</f>
        <v/>
      </c>
    </row>
    <row r="465">
      <c r="A465" t="inlineStr">
        <is>
          <t>Tuen Mun Broadway</t>
        </is>
      </c>
      <c r="B465" t="inlineStr">
        <is>
          <t>Tuen Mun Broadway</t>
        </is>
      </c>
      <c r="C465" t="inlineStr">
        <is>
          <t>May M</t>
        </is>
      </c>
      <c r="D465" t="inlineStr">
        <is>
          <t>2026-06</t>
        </is>
      </c>
      <c r="E465" t="inlineStr">
        <is>
          <t>2026-06-14 00:00:00</t>
        </is>
      </c>
      <c r="F465" t="inlineStr">
        <is>
          <t>Model-Input-Ref</t>
        </is>
      </c>
      <c r="G465" t="inlineStr">
        <is>
          <t>未分類 (單據新增)</t>
        </is>
      </c>
      <c r="I465" t="inlineStr"/>
      <c r="J465" t="n">
        <v>1</v>
      </c>
      <c r="K465" t="n">
        <v>2250</v>
      </c>
      <c r="L465" t="n">
        <v>0.03</v>
      </c>
      <c r="M465">
        <f>J465*K465*L465</f>
        <v/>
      </c>
    </row>
    <row r="466">
      <c r="A466" t="inlineStr">
        <is>
          <t>Tuen Mun Broadway</t>
        </is>
      </c>
      <c r="B466" t="inlineStr">
        <is>
          <t>Tuen Mun Broadway</t>
        </is>
      </c>
      <c r="C466" t="inlineStr">
        <is>
          <t>May M</t>
        </is>
      </c>
      <c r="D466" t="inlineStr">
        <is>
          <t>2026-06</t>
        </is>
      </c>
      <c r="E466" t="inlineStr">
        <is>
          <t>2026-06-14 00:00:00</t>
        </is>
      </c>
      <c r="F466" t="inlineStr">
        <is>
          <t>Model-Input-Ref</t>
        </is>
      </c>
      <c r="G466" t="inlineStr">
        <is>
          <t>未分類 (單據新增)</t>
        </is>
      </c>
      <c r="I466" t="inlineStr"/>
      <c r="J466" t="n">
        <v>1</v>
      </c>
      <c r="K466" t="n">
        <v>620</v>
      </c>
      <c r="L466" t="n">
        <v>0.03</v>
      </c>
      <c r="M466">
        <f>J466*K466*L466</f>
        <v/>
      </c>
    </row>
    <row r="467">
      <c r="A467" t="inlineStr">
        <is>
          <t>Tuen Mun Broadway</t>
        </is>
      </c>
      <c r="B467" t="inlineStr">
        <is>
          <t>Tuen Mun Broadway</t>
        </is>
      </c>
      <c r="C467" t="inlineStr">
        <is>
          <t>May M</t>
        </is>
      </c>
      <c r="D467" t="inlineStr">
        <is>
          <t>2026-06</t>
        </is>
      </c>
      <c r="E467" t="inlineStr">
        <is>
          <t>2026-06-14 00:00:00</t>
        </is>
      </c>
      <c r="F467" t="inlineStr">
        <is>
          <t>Model-Input-Ref</t>
        </is>
      </c>
      <c r="G467" t="inlineStr">
        <is>
          <t>未分類 (單據新增)</t>
        </is>
      </c>
      <c r="I467" t="inlineStr"/>
      <c r="J467" t="n">
        <v>1</v>
      </c>
      <c r="K467" t="n">
        <v>620</v>
      </c>
      <c r="L467" t="n">
        <v>0.03</v>
      </c>
      <c r="M467">
        <f>J467*K467*L467</f>
        <v/>
      </c>
    </row>
    <row r="468">
      <c r="A468" t="inlineStr">
        <is>
          <t>Tuen Mun Broadway</t>
        </is>
      </c>
      <c r="B468" t="inlineStr">
        <is>
          <t>Tuen Mun Broadway</t>
        </is>
      </c>
      <c r="C468" t="inlineStr">
        <is>
          <t>May M</t>
        </is>
      </c>
      <c r="D468" t="inlineStr">
        <is>
          <t>2026-06</t>
        </is>
      </c>
      <c r="E468" t="inlineStr">
        <is>
          <t>2026-06-14 00:00:00</t>
        </is>
      </c>
      <c r="F468" t="inlineStr">
        <is>
          <t>Model-Input-Ref</t>
        </is>
      </c>
      <c r="G468" t="inlineStr">
        <is>
          <t>未分類 (單據新增)</t>
        </is>
      </c>
      <c r="I468" t="inlineStr"/>
      <c r="J468" t="n">
        <v>1</v>
      </c>
      <c r="K468" t="n">
        <v>620</v>
      </c>
      <c r="L468" t="n">
        <v>0.03</v>
      </c>
      <c r="M468">
        <f>J468*K468*L468</f>
        <v/>
      </c>
    </row>
    <row r="469">
      <c r="A469" t="inlineStr">
        <is>
          <t>Tuen Mun Broadway</t>
        </is>
      </c>
      <c r="B469" t="inlineStr">
        <is>
          <t>Tuen Mun Broadway</t>
        </is>
      </c>
      <c r="C469" t="inlineStr">
        <is>
          <t>May M</t>
        </is>
      </c>
      <c r="D469" t="inlineStr">
        <is>
          <t>2026-06</t>
        </is>
      </c>
      <c r="E469" t="inlineStr">
        <is>
          <t>2026-06-14 00:00:00</t>
        </is>
      </c>
      <c r="F469" t="inlineStr">
        <is>
          <t>Model-Input-Ref</t>
        </is>
      </c>
      <c r="G469" t="inlineStr">
        <is>
          <t>未分類 (單據新增)</t>
        </is>
      </c>
      <c r="I469" t="inlineStr"/>
      <c r="J469" t="n">
        <v>1</v>
      </c>
      <c r="K469" t="n">
        <v>160</v>
      </c>
      <c r="L469" t="n">
        <v>0.03</v>
      </c>
      <c r="M469">
        <f>J469*K469*L469</f>
        <v/>
      </c>
    </row>
    <row r="470">
      <c r="A470" t="inlineStr">
        <is>
          <t>Tuen Mun Broadway</t>
        </is>
      </c>
      <c r="B470" t="inlineStr">
        <is>
          <t>Tuen Mun Broadway</t>
        </is>
      </c>
      <c r="C470" t="inlineStr">
        <is>
          <t>May M</t>
        </is>
      </c>
      <c r="D470" t="inlineStr">
        <is>
          <t>2026-06</t>
        </is>
      </c>
      <c r="E470" t="inlineStr">
        <is>
          <t>2026-06-14 00:00:00</t>
        </is>
      </c>
      <c r="F470" t="inlineStr">
        <is>
          <t>Model-Input-Ref</t>
        </is>
      </c>
      <c r="G470" t="inlineStr">
        <is>
          <t>未分類 (單據新增)</t>
        </is>
      </c>
      <c r="I470" t="inlineStr"/>
      <c r="J470" t="n">
        <v>1</v>
      </c>
      <c r="K470" t="n">
        <v>160</v>
      </c>
      <c r="L470" t="n">
        <v>0.03</v>
      </c>
      <c r="M470">
        <f>J470*K470*L470</f>
        <v/>
      </c>
    </row>
    <row r="471">
      <c r="A471" t="inlineStr">
        <is>
          <t>Tuen Mun Broadway</t>
        </is>
      </c>
      <c r="B471" t="inlineStr">
        <is>
          <t>Tuen Mun Broadway</t>
        </is>
      </c>
      <c r="C471" t="inlineStr">
        <is>
          <t>May M</t>
        </is>
      </c>
      <c r="D471" t="inlineStr">
        <is>
          <t>2026-06</t>
        </is>
      </c>
      <c r="E471" t="inlineStr">
        <is>
          <t>2026-06-14 00:00:00</t>
        </is>
      </c>
      <c r="F471" t="inlineStr">
        <is>
          <t>Model-Input-Ref</t>
        </is>
      </c>
      <c r="G471" t="inlineStr">
        <is>
          <t>未分類 (單據新增)</t>
        </is>
      </c>
      <c r="I471" t="inlineStr"/>
      <c r="J471" t="n">
        <v>1</v>
      </c>
      <c r="K471" t="n">
        <v>1330</v>
      </c>
      <c r="L471" t="n">
        <v>0.03</v>
      </c>
      <c r="M471">
        <f>J471*K471*L471</f>
        <v/>
      </c>
    </row>
    <row r="472">
      <c r="A472" t="inlineStr">
        <is>
          <t>Tuen Mun Broadway</t>
        </is>
      </c>
      <c r="B472" t="inlineStr">
        <is>
          <t>Tuen Mun Broadway</t>
        </is>
      </c>
      <c r="C472" t="inlineStr">
        <is>
          <t>May M</t>
        </is>
      </c>
      <c r="D472" t="inlineStr">
        <is>
          <t>2026-06</t>
        </is>
      </c>
      <c r="E472" t="inlineStr">
        <is>
          <t>2026-06-14 00:00:00</t>
        </is>
      </c>
      <c r="F472" t="inlineStr">
        <is>
          <t>Model-Input-Ref</t>
        </is>
      </c>
      <c r="G472" t="inlineStr">
        <is>
          <t>未分類 (單據新增)</t>
        </is>
      </c>
      <c r="I472" t="inlineStr"/>
      <c r="J472" t="n">
        <v>1</v>
      </c>
      <c r="K472" t="n">
        <v>1330</v>
      </c>
      <c r="L472" t="n">
        <v>0.03</v>
      </c>
      <c r="M472">
        <f>J472*K472*L472</f>
        <v/>
      </c>
    </row>
    <row r="473">
      <c r="A473" t="inlineStr">
        <is>
          <t>Tuen Mun Broadway</t>
        </is>
      </c>
      <c r="B473" t="inlineStr">
        <is>
          <t>Tuen Mun Broadway</t>
        </is>
      </c>
      <c r="C473" t="inlineStr">
        <is>
          <t>May M</t>
        </is>
      </c>
      <c r="D473" t="inlineStr">
        <is>
          <t>2026-06</t>
        </is>
      </c>
      <c r="E473" t="inlineStr">
        <is>
          <t>2026-06-14 00:00:00</t>
        </is>
      </c>
      <c r="F473" t="inlineStr">
        <is>
          <t>Model-Input-Ref</t>
        </is>
      </c>
      <c r="G473" t="inlineStr">
        <is>
          <t>未分類 (單據新增)</t>
        </is>
      </c>
      <c r="I473" t="inlineStr"/>
      <c r="J473" t="n">
        <v>1</v>
      </c>
      <c r="K473" t="n">
        <v>298</v>
      </c>
      <c r="L473" t="n">
        <v>0.03</v>
      </c>
      <c r="M473">
        <f>J473*K473*L473</f>
        <v/>
      </c>
    </row>
    <row r="474">
      <c r="A474" t="inlineStr">
        <is>
          <t>Tuen Mun Broadway</t>
        </is>
      </c>
      <c r="B474" t="inlineStr">
        <is>
          <t>Tuen Mun Broadway</t>
        </is>
      </c>
      <c r="C474" t="inlineStr">
        <is>
          <t>May M</t>
        </is>
      </c>
      <c r="D474" t="inlineStr">
        <is>
          <t>2026-06</t>
        </is>
      </c>
      <c r="E474" t="inlineStr">
        <is>
          <t>2026-06-18 00:00:00</t>
        </is>
      </c>
      <c r="F474" t="inlineStr">
        <is>
          <t>Model-Input-Ref</t>
        </is>
      </c>
      <c r="G474" t="inlineStr">
        <is>
          <t>未分類 (單據新增)</t>
        </is>
      </c>
      <c r="I474" t="inlineStr"/>
      <c r="J474" t="n">
        <v>1</v>
      </c>
      <c r="K474" t="n">
        <v>298</v>
      </c>
      <c r="L474" t="n">
        <v>0.03</v>
      </c>
      <c r="M474">
        <f>J474*K474*L474</f>
        <v/>
      </c>
    </row>
    <row r="475">
      <c r="A475" t="inlineStr">
        <is>
          <t>Tuen Mun Broadway</t>
        </is>
      </c>
      <c r="B475" t="inlineStr">
        <is>
          <t>Tuen Mun Broadway</t>
        </is>
      </c>
      <c r="C475" t="inlineStr">
        <is>
          <t>May M</t>
        </is>
      </c>
      <c r="D475" t="inlineStr">
        <is>
          <t>2026-06</t>
        </is>
      </c>
      <c r="E475" t="inlineStr">
        <is>
          <t>2026-06-18 00:00:00</t>
        </is>
      </c>
      <c r="F475" t="inlineStr">
        <is>
          <t>Model-Input-Ref</t>
        </is>
      </c>
      <c r="G475" t="inlineStr">
        <is>
          <t>未分類 (單據新增)</t>
        </is>
      </c>
      <c r="I475" t="inlineStr"/>
      <c r="J475" t="n">
        <v>1</v>
      </c>
      <c r="K475" t="n">
        <v>2250</v>
      </c>
      <c r="L475" t="n">
        <v>0.03</v>
      </c>
      <c r="M475">
        <f>J475*K475*L475</f>
        <v/>
      </c>
    </row>
    <row r="476">
      <c r="A476" t="inlineStr">
        <is>
          <t>Tuen Mun Broadway</t>
        </is>
      </c>
      <c r="B476" t="inlineStr">
        <is>
          <t>Tuen Mun Broadway</t>
        </is>
      </c>
      <c r="C476" t="inlineStr">
        <is>
          <t>May M</t>
        </is>
      </c>
      <c r="D476" t="inlineStr">
        <is>
          <t>2026-06</t>
        </is>
      </c>
      <c r="E476" t="inlineStr">
        <is>
          <t>2026-06-18 00:00:00</t>
        </is>
      </c>
      <c r="F476" t="inlineStr">
        <is>
          <t>Model-Input-Ref</t>
        </is>
      </c>
      <c r="G476" t="inlineStr">
        <is>
          <t>未分類 (單據新增)</t>
        </is>
      </c>
      <c r="I476" t="inlineStr"/>
      <c r="J476" t="n">
        <v>1</v>
      </c>
      <c r="K476" t="n">
        <v>398</v>
      </c>
      <c r="L476" t="n">
        <v>0.03</v>
      </c>
      <c r="M476">
        <f>J476*K476*L476</f>
        <v/>
      </c>
    </row>
    <row r="477">
      <c r="A477" t="inlineStr">
        <is>
          <t>Tuen Mun Broadway</t>
        </is>
      </c>
      <c r="B477" t="inlineStr">
        <is>
          <t>Tuen Mun Broadway</t>
        </is>
      </c>
      <c r="C477" t="inlineStr">
        <is>
          <t>May M</t>
        </is>
      </c>
      <c r="D477" t="inlineStr">
        <is>
          <t>2026-06</t>
        </is>
      </c>
      <c r="E477" t="inlineStr">
        <is>
          <t>2026-06-18 00:00:00</t>
        </is>
      </c>
      <c r="F477" t="inlineStr">
        <is>
          <t>Model-Input-Ref</t>
        </is>
      </c>
      <c r="G477" t="inlineStr">
        <is>
          <t>未分類 (單據新增)</t>
        </is>
      </c>
      <c r="I477" t="inlineStr"/>
      <c r="J477" t="n">
        <v>1</v>
      </c>
      <c r="K477" t="n">
        <v>2250</v>
      </c>
      <c r="L477" t="n">
        <v>0.03</v>
      </c>
      <c r="M477">
        <f>J477*K477*L477</f>
        <v/>
      </c>
    </row>
    <row r="478">
      <c r="A478" t="inlineStr">
        <is>
          <t>Tuen Mun Broadway</t>
        </is>
      </c>
      <c r="B478" t="inlineStr">
        <is>
          <t>Tuen Mun Broadway</t>
        </is>
      </c>
      <c r="C478" t="inlineStr">
        <is>
          <t>May M</t>
        </is>
      </c>
      <c r="D478" t="inlineStr">
        <is>
          <t>2026-06</t>
        </is>
      </c>
      <c r="E478" t="inlineStr">
        <is>
          <t>2026-06-18 00:00:00</t>
        </is>
      </c>
      <c r="F478" t="inlineStr">
        <is>
          <t>Model-Input-Ref</t>
        </is>
      </c>
      <c r="G478" t="inlineStr">
        <is>
          <t>未分類 (單據新增)</t>
        </is>
      </c>
      <c r="I478" t="inlineStr"/>
      <c r="J478" t="n">
        <v>1</v>
      </c>
      <c r="K478" t="n">
        <v>620</v>
      </c>
      <c r="L478" t="n">
        <v>0.03</v>
      </c>
      <c r="M478">
        <f>J478*K478*L478</f>
        <v/>
      </c>
    </row>
    <row r="479">
      <c r="A479" t="inlineStr">
        <is>
          <t>Tuen Mun Broadway</t>
        </is>
      </c>
      <c r="B479" t="inlineStr">
        <is>
          <t>Tuen Mun Broadway</t>
        </is>
      </c>
      <c r="C479" t="inlineStr">
        <is>
          <t>May M</t>
        </is>
      </c>
      <c r="D479" t="inlineStr">
        <is>
          <t>2026-06</t>
        </is>
      </c>
      <c r="E479" t="inlineStr">
        <is>
          <t>2026-06-18 00:00:00</t>
        </is>
      </c>
      <c r="F479" t="inlineStr">
        <is>
          <t>Model-Input-Ref</t>
        </is>
      </c>
      <c r="G479" t="inlineStr">
        <is>
          <t>未分類 (單據新增)</t>
        </is>
      </c>
      <c r="I479" t="inlineStr"/>
      <c r="J479" t="n">
        <v>1</v>
      </c>
      <c r="K479" t="n">
        <v>160</v>
      </c>
      <c r="L479" t="n">
        <v>0.03</v>
      </c>
      <c r="M479">
        <f>J479*K479*L479</f>
        <v/>
      </c>
    </row>
    <row r="480">
      <c r="A480" t="inlineStr">
        <is>
          <t>Tuen Mun Broadway</t>
        </is>
      </c>
      <c r="B480" t="inlineStr">
        <is>
          <t>Tuen Mun Broadway</t>
        </is>
      </c>
      <c r="C480" t="inlineStr">
        <is>
          <t>May M</t>
        </is>
      </c>
      <c r="D480" t="inlineStr">
        <is>
          <t>2026-06</t>
        </is>
      </c>
      <c r="E480" t="inlineStr">
        <is>
          <t>2026-06-19 00:00:00</t>
        </is>
      </c>
      <c r="F480" t="inlineStr">
        <is>
          <t>Model-Input-Ref</t>
        </is>
      </c>
      <c r="G480" t="inlineStr">
        <is>
          <t>未分類 (單據新增)</t>
        </is>
      </c>
      <c r="I480" t="inlineStr"/>
      <c r="J480" t="n">
        <v>1</v>
      </c>
      <c r="K480" t="n">
        <v>160</v>
      </c>
      <c r="L480" t="n">
        <v>0.03</v>
      </c>
      <c r="M480">
        <f>J480*K480*L480</f>
        <v/>
      </c>
    </row>
    <row r="481">
      <c r="A481" t="inlineStr">
        <is>
          <t>Tuen Mun Broadway</t>
        </is>
      </c>
      <c r="B481" t="inlineStr">
        <is>
          <t>Tuen Mun Broadway</t>
        </is>
      </c>
      <c r="C481" t="inlineStr">
        <is>
          <t>May M</t>
        </is>
      </c>
      <c r="D481" t="inlineStr">
        <is>
          <t>2026-06</t>
        </is>
      </c>
      <c r="E481" t="inlineStr">
        <is>
          <t>2026-06-19 00:00:00</t>
        </is>
      </c>
      <c r="F481" t="inlineStr">
        <is>
          <t>Model-Input-Ref</t>
        </is>
      </c>
      <c r="G481" t="inlineStr">
        <is>
          <t>未分類 (單據新增)</t>
        </is>
      </c>
      <c r="I481" t="inlineStr"/>
      <c r="J481" t="n">
        <v>1</v>
      </c>
      <c r="K481" t="n">
        <v>160</v>
      </c>
      <c r="L481" t="n">
        <v>0.03</v>
      </c>
      <c r="M481">
        <f>J481*K481*L481</f>
        <v/>
      </c>
    </row>
    <row r="482">
      <c r="A482" t="inlineStr">
        <is>
          <t>Tuen Mun Broadway</t>
        </is>
      </c>
      <c r="B482" t="inlineStr">
        <is>
          <t>Tuen Mun Broadway</t>
        </is>
      </c>
      <c r="C482" t="inlineStr">
        <is>
          <t>May M</t>
        </is>
      </c>
      <c r="D482" t="inlineStr">
        <is>
          <t>2026-06</t>
        </is>
      </c>
      <c r="E482" t="inlineStr">
        <is>
          <t>2026-06-19 00:00:00</t>
        </is>
      </c>
      <c r="F482" t="inlineStr">
        <is>
          <t>Model-Input-Ref</t>
        </is>
      </c>
      <c r="G482" t="inlineStr">
        <is>
          <t>未分類 (單據新增)</t>
        </is>
      </c>
      <c r="I482" t="inlineStr"/>
      <c r="J482" t="n">
        <v>1</v>
      </c>
      <c r="K482" t="n">
        <v>620</v>
      </c>
      <c r="L482" t="n">
        <v>0.03</v>
      </c>
      <c r="M482">
        <f>J482*K482*L482</f>
        <v/>
      </c>
    </row>
    <row r="483">
      <c r="A483" t="inlineStr">
        <is>
          <t>Tuen Mun Broadway</t>
        </is>
      </c>
      <c r="B483" t="inlineStr">
        <is>
          <t>Tuen Mun Broadway</t>
        </is>
      </c>
      <c r="C483" t="inlineStr">
        <is>
          <t>May M</t>
        </is>
      </c>
      <c r="D483" t="inlineStr">
        <is>
          <t>2026-06</t>
        </is>
      </c>
      <c r="E483" t="inlineStr">
        <is>
          <t>2026-06-19 00:00:00</t>
        </is>
      </c>
      <c r="F483" t="inlineStr">
        <is>
          <t>Model-Input-Ref</t>
        </is>
      </c>
      <c r="G483" t="inlineStr">
        <is>
          <t>未分類 (單據新增)</t>
        </is>
      </c>
      <c r="I483" t="inlineStr"/>
      <c r="J483" t="n">
        <v>1</v>
      </c>
      <c r="K483" t="n">
        <v>620</v>
      </c>
      <c r="L483" t="n">
        <v>0.03</v>
      </c>
      <c r="M483">
        <f>J483*K483*L483</f>
        <v/>
      </c>
    </row>
    <row r="484">
      <c r="A484" t="inlineStr">
        <is>
          <t>Tuen Mun Broadway</t>
        </is>
      </c>
      <c r="B484" t="inlineStr">
        <is>
          <t>Tuen Mun Broadway</t>
        </is>
      </c>
      <c r="C484" t="inlineStr">
        <is>
          <t>May M</t>
        </is>
      </c>
      <c r="D484" t="inlineStr">
        <is>
          <t>2026-06</t>
        </is>
      </c>
      <c r="E484" t="inlineStr">
        <is>
          <t>2026-06-19 00:00:00</t>
        </is>
      </c>
      <c r="F484" t="inlineStr">
        <is>
          <t>Model-Input-Ref</t>
        </is>
      </c>
      <c r="G484" t="inlineStr">
        <is>
          <t>未分類 (單據新增)</t>
        </is>
      </c>
      <c r="I484" t="inlineStr"/>
      <c r="J484" t="n">
        <v>1</v>
      </c>
      <c r="K484" t="n">
        <v>298</v>
      </c>
      <c r="L484" t="n">
        <v>0.03</v>
      </c>
      <c r="M484">
        <f>J484*K484*L484</f>
        <v/>
      </c>
    </row>
    <row r="485">
      <c r="A485" t="inlineStr">
        <is>
          <t>Tuen Mun Broadway</t>
        </is>
      </c>
      <c r="B485" t="inlineStr">
        <is>
          <t>Tuen Mun Broadway</t>
        </is>
      </c>
      <c r="C485" t="inlineStr">
        <is>
          <t>May M</t>
        </is>
      </c>
      <c r="D485" t="inlineStr">
        <is>
          <t>2026-06</t>
        </is>
      </c>
      <c r="E485" t="inlineStr">
        <is>
          <t>2026-06-19 00:00:00</t>
        </is>
      </c>
      <c r="F485" t="inlineStr">
        <is>
          <t>Model-Input-Ref</t>
        </is>
      </c>
      <c r="G485" t="inlineStr">
        <is>
          <t>未分類 (單據新增)</t>
        </is>
      </c>
      <c r="I485" t="inlineStr"/>
      <c r="J485" t="n">
        <v>1</v>
      </c>
      <c r="K485" t="n">
        <v>298</v>
      </c>
      <c r="L485" t="n">
        <v>0.03</v>
      </c>
      <c r="M485">
        <f>J485*K485*L485</f>
        <v/>
      </c>
    </row>
    <row r="486">
      <c r="A486" t="inlineStr">
        <is>
          <t>Tuen Mun Broadway</t>
        </is>
      </c>
      <c r="B486" t="inlineStr">
        <is>
          <t>Tuen Mun Broadway</t>
        </is>
      </c>
      <c r="C486" t="inlineStr">
        <is>
          <t>May M</t>
        </is>
      </c>
      <c r="D486" t="inlineStr">
        <is>
          <t>2026-06</t>
        </is>
      </c>
      <c r="E486" t="inlineStr">
        <is>
          <t>2026-06-19 00:00:00</t>
        </is>
      </c>
      <c r="F486" t="inlineStr">
        <is>
          <t>Model-Input-Ref</t>
        </is>
      </c>
      <c r="G486" t="inlineStr">
        <is>
          <t>未分類 (單據新增)</t>
        </is>
      </c>
      <c r="I486" t="inlineStr"/>
      <c r="J486" t="n">
        <v>1</v>
      </c>
      <c r="K486" t="n">
        <v>1330</v>
      </c>
      <c r="L486" t="n">
        <v>0.03</v>
      </c>
      <c r="M486">
        <f>J486*K486*L486</f>
        <v/>
      </c>
    </row>
    <row r="487">
      <c r="A487" t="inlineStr">
        <is>
          <t>Tuen Mun Broadway</t>
        </is>
      </c>
      <c r="B487" t="inlineStr">
        <is>
          <t>Tuen Mun Broadway</t>
        </is>
      </c>
      <c r="C487" t="inlineStr">
        <is>
          <t>May M</t>
        </is>
      </c>
      <c r="D487" t="inlineStr">
        <is>
          <t>2026-06</t>
        </is>
      </c>
      <c r="E487" t="inlineStr">
        <is>
          <t>2026-06-19 00:00:00</t>
        </is>
      </c>
      <c r="F487" t="inlineStr">
        <is>
          <t>Model-Input-Ref</t>
        </is>
      </c>
      <c r="G487" t="inlineStr">
        <is>
          <t>未分類 (單據新增)</t>
        </is>
      </c>
      <c r="I487" t="inlineStr"/>
      <c r="J487" t="n">
        <v>1</v>
      </c>
      <c r="K487" t="n">
        <v>848</v>
      </c>
      <c r="L487" t="n">
        <v>0.03</v>
      </c>
      <c r="M487">
        <f>J487*K487*L487</f>
        <v/>
      </c>
    </row>
    <row r="488">
      <c r="A488" t="inlineStr">
        <is>
          <t>Tuen Mun Broadway</t>
        </is>
      </c>
      <c r="B488" t="inlineStr">
        <is>
          <t>Tuen Mun Broadway</t>
        </is>
      </c>
      <c r="C488" t="inlineStr">
        <is>
          <t>May M</t>
        </is>
      </c>
      <c r="D488" t="inlineStr">
        <is>
          <t>2026-06</t>
        </is>
      </c>
      <c r="E488" t="inlineStr">
        <is>
          <t>2026-06-19 00:00:00</t>
        </is>
      </c>
      <c r="F488" t="inlineStr">
        <is>
          <t>Model-Input-Ref</t>
        </is>
      </c>
      <c r="G488" t="inlineStr">
        <is>
          <t>未分類 (單據新增)</t>
        </is>
      </c>
      <c r="I488" t="inlineStr"/>
      <c r="J488" t="n">
        <v>1</v>
      </c>
      <c r="K488" t="n">
        <v>848</v>
      </c>
      <c r="L488" t="n">
        <v>0.03</v>
      </c>
      <c r="M488">
        <f>J488*K488*L488</f>
        <v/>
      </c>
    </row>
    <row r="489">
      <c r="A489" t="inlineStr">
        <is>
          <t>Tuen Mun Broadway</t>
        </is>
      </c>
      <c r="B489" t="inlineStr">
        <is>
          <t>Tuen Mun Broadway</t>
        </is>
      </c>
      <c r="C489" t="inlineStr">
        <is>
          <t>May M</t>
        </is>
      </c>
      <c r="D489" t="inlineStr">
        <is>
          <t>2026-06</t>
        </is>
      </c>
      <c r="E489" t="inlineStr">
        <is>
          <t>2026-06-19 00:00:00</t>
        </is>
      </c>
      <c r="F489" t="inlineStr">
        <is>
          <t>Model-Input-Ref</t>
        </is>
      </c>
      <c r="G489" t="inlineStr">
        <is>
          <t>未分類 (單據新增)</t>
        </is>
      </c>
      <c r="I489" t="inlineStr"/>
      <c r="J489" t="n">
        <v>1</v>
      </c>
      <c r="K489" t="n">
        <v>3088</v>
      </c>
      <c r="L489" t="n">
        <v>0.03</v>
      </c>
      <c r="M489">
        <f>J489*K489*L489</f>
        <v/>
      </c>
    </row>
    <row r="490">
      <c r="A490" t="inlineStr">
        <is>
          <t>Tuen Mun Broadway</t>
        </is>
      </c>
      <c r="B490" t="inlineStr">
        <is>
          <t>Tuen Mun Broadway</t>
        </is>
      </c>
      <c r="C490" t="inlineStr">
        <is>
          <t>May M</t>
        </is>
      </c>
      <c r="D490" t="inlineStr">
        <is>
          <t>2026-06</t>
        </is>
      </c>
      <c r="E490" t="inlineStr">
        <is>
          <t>2026-06-19 00:00:00</t>
        </is>
      </c>
      <c r="F490" t="inlineStr">
        <is>
          <t>Model-Input-Ref</t>
        </is>
      </c>
      <c r="G490" t="inlineStr">
        <is>
          <t>未分類 (單據新增)</t>
        </is>
      </c>
      <c r="I490" t="inlineStr"/>
      <c r="J490" t="n">
        <v>1</v>
      </c>
      <c r="K490" t="n">
        <v>3088</v>
      </c>
      <c r="L490" t="n">
        <v>0.03</v>
      </c>
      <c r="M490">
        <f>J490*K490*L490</f>
        <v/>
      </c>
    </row>
    <row r="491">
      <c r="A491" t="inlineStr">
        <is>
          <t>Tuen Mun Broadway</t>
        </is>
      </c>
      <c r="B491" t="inlineStr">
        <is>
          <t>Tuen Mun Broadway</t>
        </is>
      </c>
      <c r="C491" t="inlineStr">
        <is>
          <t>May M</t>
        </is>
      </c>
      <c r="D491" t="inlineStr">
        <is>
          <t>2026-06</t>
        </is>
      </c>
      <c r="E491" t="inlineStr">
        <is>
          <t>2026-06-19 00:00:00</t>
        </is>
      </c>
      <c r="F491" t="inlineStr">
        <is>
          <t>Model-Input-Ref</t>
        </is>
      </c>
      <c r="G491" t="inlineStr">
        <is>
          <t>未分類 (單據新增)</t>
        </is>
      </c>
      <c r="I491" t="inlineStr"/>
      <c r="J491" t="n">
        <v>1</v>
      </c>
      <c r="K491" t="n">
        <v>2250</v>
      </c>
      <c r="L491" t="n">
        <v>0.03</v>
      </c>
      <c r="M491">
        <f>J491*K491*L491</f>
        <v/>
      </c>
    </row>
    <row r="492">
      <c r="A492" t="inlineStr">
        <is>
          <t>Tuen Mun Broadway</t>
        </is>
      </c>
      <c r="B492" t="inlineStr">
        <is>
          <t>Tuen Mun Broadway</t>
        </is>
      </c>
      <c r="C492" t="inlineStr">
        <is>
          <t>May M</t>
        </is>
      </c>
      <c r="D492" t="inlineStr">
        <is>
          <t>2026-06</t>
        </is>
      </c>
      <c r="E492" t="inlineStr">
        <is>
          <t>2026-06-20 00:00:00</t>
        </is>
      </c>
      <c r="F492" t="inlineStr">
        <is>
          <t>Model-Input-Ref</t>
        </is>
      </c>
      <c r="G492" t="inlineStr">
        <is>
          <t>未分類 (單據新增)</t>
        </is>
      </c>
      <c r="I492" t="inlineStr"/>
      <c r="J492" t="n">
        <v>1</v>
      </c>
      <c r="K492" t="n">
        <v>2250</v>
      </c>
      <c r="L492" t="n">
        <v>0.03</v>
      </c>
      <c r="M492">
        <f>J492*K492*L492</f>
        <v/>
      </c>
    </row>
    <row r="493">
      <c r="A493" t="inlineStr">
        <is>
          <t>Tuen Mun Broadway</t>
        </is>
      </c>
      <c r="B493" t="inlineStr">
        <is>
          <t>Tuen Mun Broadway</t>
        </is>
      </c>
      <c r="C493" t="inlineStr">
        <is>
          <t>May M</t>
        </is>
      </c>
      <c r="D493" t="inlineStr">
        <is>
          <t>2026-06</t>
        </is>
      </c>
      <c r="E493" t="inlineStr">
        <is>
          <t>2026-06-20 00:00:00</t>
        </is>
      </c>
      <c r="F493" t="inlineStr">
        <is>
          <t>Model-Input-Ref</t>
        </is>
      </c>
      <c r="G493" t="inlineStr">
        <is>
          <t>未分類 (單據新增)</t>
        </is>
      </c>
      <c r="I493" t="inlineStr"/>
      <c r="J493" t="n">
        <v>1</v>
      </c>
      <c r="K493" t="n">
        <v>598</v>
      </c>
      <c r="L493" t="n">
        <v>0.03</v>
      </c>
      <c r="M493">
        <f>J493*K493*L493</f>
        <v/>
      </c>
    </row>
    <row r="494">
      <c r="A494" t="inlineStr">
        <is>
          <t>Tuen Mun Broadway</t>
        </is>
      </c>
      <c r="B494" t="inlineStr">
        <is>
          <t>Tuen Mun Broadway</t>
        </is>
      </c>
      <c r="C494" t="inlineStr">
        <is>
          <t>May M</t>
        </is>
      </c>
      <c r="D494" t="inlineStr">
        <is>
          <t>2026-06</t>
        </is>
      </c>
      <c r="E494" t="inlineStr">
        <is>
          <t>2026-06-20 00:00:00</t>
        </is>
      </c>
      <c r="F494" t="inlineStr">
        <is>
          <t>Model-Input-Ref</t>
        </is>
      </c>
      <c r="G494" t="inlineStr">
        <is>
          <t>未分類 (單據新增)</t>
        </is>
      </c>
      <c r="I494" t="inlineStr"/>
      <c r="J494" t="n">
        <v>1</v>
      </c>
      <c r="K494" t="n">
        <v>160</v>
      </c>
      <c r="L494" t="n">
        <v>0.03</v>
      </c>
      <c r="M494">
        <f>J494*K494*L494</f>
        <v/>
      </c>
    </row>
    <row r="495">
      <c r="A495" t="inlineStr">
        <is>
          <t>Tuen Mun Broadway</t>
        </is>
      </c>
      <c r="B495" t="inlineStr">
        <is>
          <t>Tuen Mun Broadway</t>
        </is>
      </c>
      <c r="C495" t="inlineStr">
        <is>
          <t>May M</t>
        </is>
      </c>
      <c r="D495" t="inlineStr">
        <is>
          <t>2026-06</t>
        </is>
      </c>
      <c r="E495" t="inlineStr">
        <is>
          <t>2026-06-20 00:00:00</t>
        </is>
      </c>
      <c r="F495" t="inlineStr">
        <is>
          <t>Model-Input-Ref</t>
        </is>
      </c>
      <c r="G495" t="inlineStr">
        <is>
          <t>未分類 (單據新增)</t>
        </is>
      </c>
      <c r="I495" t="inlineStr"/>
      <c r="J495" t="n">
        <v>1</v>
      </c>
      <c r="K495" t="n">
        <v>598</v>
      </c>
      <c r="L495" t="n">
        <v>0.03</v>
      </c>
      <c r="M495">
        <f>J495*K495*L495</f>
        <v/>
      </c>
    </row>
    <row r="496">
      <c r="A496" t="inlineStr">
        <is>
          <t>Tuen Mun Broadway</t>
        </is>
      </c>
      <c r="B496" t="inlineStr">
        <is>
          <t>Tuen Mun Broadway</t>
        </is>
      </c>
      <c r="C496" t="inlineStr">
        <is>
          <t>May M</t>
        </is>
      </c>
      <c r="D496" t="inlineStr">
        <is>
          <t>2026-06</t>
        </is>
      </c>
      <c r="E496" t="inlineStr">
        <is>
          <t>2026-06-20 00:00:00</t>
        </is>
      </c>
      <c r="F496" t="inlineStr">
        <is>
          <t>Model-Input-Ref</t>
        </is>
      </c>
      <c r="G496" t="inlineStr">
        <is>
          <t>未分類 (單據新增)</t>
        </is>
      </c>
      <c r="I496" t="inlineStr"/>
      <c r="J496" t="n">
        <v>1</v>
      </c>
      <c r="K496" t="n">
        <v>2250</v>
      </c>
      <c r="L496" t="n">
        <v>0.03</v>
      </c>
      <c r="M496">
        <f>J496*K496*L496</f>
        <v/>
      </c>
    </row>
    <row r="497">
      <c r="A497" t="inlineStr">
        <is>
          <t>Tuen Mun Broadway</t>
        </is>
      </c>
      <c r="B497" t="inlineStr">
        <is>
          <t>Tuen Mun Broadway</t>
        </is>
      </c>
      <c r="C497" t="inlineStr">
        <is>
          <t>May M</t>
        </is>
      </c>
      <c r="D497" t="inlineStr">
        <is>
          <t>2026-06</t>
        </is>
      </c>
      <c r="E497" t="inlineStr">
        <is>
          <t>2026-06-20 00:00:00</t>
        </is>
      </c>
      <c r="F497" t="inlineStr">
        <is>
          <t>Model-Input-Ref</t>
        </is>
      </c>
      <c r="G497" t="inlineStr">
        <is>
          <t>未分類 (單據新增)</t>
        </is>
      </c>
      <c r="I497" t="inlineStr"/>
      <c r="J497" t="n">
        <v>1</v>
      </c>
      <c r="K497" t="n">
        <v>848</v>
      </c>
      <c r="L497" t="n">
        <v>0.03</v>
      </c>
      <c r="M497">
        <f>J497*K497*L497</f>
        <v/>
      </c>
    </row>
    <row r="498">
      <c r="A498" t="inlineStr">
        <is>
          <t>Tuen Mun Broadway</t>
        </is>
      </c>
      <c r="B498" t="inlineStr">
        <is>
          <t>Tuen Mun Broadway</t>
        </is>
      </c>
      <c r="C498" t="inlineStr">
        <is>
          <t>May M</t>
        </is>
      </c>
      <c r="D498" t="inlineStr">
        <is>
          <t>2026-06</t>
        </is>
      </c>
      <c r="E498" t="inlineStr">
        <is>
          <t>2026-06-20 00:00:00</t>
        </is>
      </c>
      <c r="F498" t="inlineStr">
        <is>
          <t>Model-Input-Ref</t>
        </is>
      </c>
      <c r="G498" t="inlineStr">
        <is>
          <t>未分類 (單據新增)</t>
        </is>
      </c>
      <c r="I498" t="inlineStr"/>
      <c r="J498" t="n">
        <v>1</v>
      </c>
      <c r="K498" t="n">
        <v>1330</v>
      </c>
      <c r="L498" t="n">
        <v>0.03</v>
      </c>
      <c r="M498">
        <f>J498*K498*L498</f>
        <v/>
      </c>
    </row>
    <row r="499">
      <c r="A499" t="inlineStr">
        <is>
          <t>Tuen Mun Broadway</t>
        </is>
      </c>
      <c r="B499" t="inlineStr">
        <is>
          <t>Tuen Mun Broadway</t>
        </is>
      </c>
      <c r="C499" t="inlineStr">
        <is>
          <t>May M</t>
        </is>
      </c>
      <c r="D499" t="inlineStr">
        <is>
          <t>2026-06</t>
        </is>
      </c>
      <c r="E499" t="inlineStr">
        <is>
          <t>2026-06-20 00:00:00</t>
        </is>
      </c>
      <c r="F499" t="inlineStr">
        <is>
          <t>Model-Input-Ref</t>
        </is>
      </c>
      <c r="G499" t="inlineStr">
        <is>
          <t>未分類 (單據新增)</t>
        </is>
      </c>
      <c r="I499" t="inlineStr"/>
      <c r="J499" t="n">
        <v>1</v>
      </c>
      <c r="K499" t="n">
        <v>298</v>
      </c>
      <c r="L499" t="n">
        <v>0.03</v>
      </c>
      <c r="M499">
        <f>J499*K499*L499</f>
        <v/>
      </c>
    </row>
    <row r="500">
      <c r="A500" t="inlineStr">
        <is>
          <t>Tuen Mun Broadway</t>
        </is>
      </c>
      <c r="B500" t="inlineStr">
        <is>
          <t>Tuen Mun Broadway</t>
        </is>
      </c>
      <c r="C500" t="inlineStr">
        <is>
          <t>May M</t>
        </is>
      </c>
      <c r="D500" t="inlineStr">
        <is>
          <t>2026-06</t>
        </is>
      </c>
      <c r="E500" t="inlineStr">
        <is>
          <t>2026-06-20 00:00:00</t>
        </is>
      </c>
      <c r="F500" t="inlineStr">
        <is>
          <t>Model-Input-Ref</t>
        </is>
      </c>
      <c r="G500" t="inlineStr">
        <is>
          <t>未分類 (單據新增)</t>
        </is>
      </c>
      <c r="I500" t="inlineStr"/>
      <c r="J500" t="n">
        <v>1</v>
      </c>
      <c r="K500" t="n">
        <v>298</v>
      </c>
      <c r="L500" t="n">
        <v>0.03</v>
      </c>
      <c r="M500">
        <f>J500*K500*L500</f>
        <v/>
      </c>
    </row>
    <row r="501">
      <c r="A501" t="inlineStr">
        <is>
          <t>Tuen Mun Broadway</t>
        </is>
      </c>
      <c r="B501" t="inlineStr">
        <is>
          <t>Tuen Mun Broadway</t>
        </is>
      </c>
      <c r="C501" t="inlineStr">
        <is>
          <t>May M</t>
        </is>
      </c>
      <c r="D501" t="inlineStr">
        <is>
          <t>2026-06</t>
        </is>
      </c>
      <c r="E501" t="inlineStr">
        <is>
          <t>2026-06-21 00:00:00</t>
        </is>
      </c>
      <c r="F501" t="inlineStr">
        <is>
          <t>Model-Input-Ref</t>
        </is>
      </c>
      <c r="G501" t="inlineStr">
        <is>
          <t>未分類 (單據新增)</t>
        </is>
      </c>
      <c r="I501" t="inlineStr"/>
      <c r="J501" t="n">
        <v>1</v>
      </c>
      <c r="K501" t="n">
        <v>2250</v>
      </c>
      <c r="L501" t="n">
        <v>0.03</v>
      </c>
      <c r="M501">
        <f>J501*K501*L501</f>
        <v/>
      </c>
    </row>
    <row r="502">
      <c r="A502" t="inlineStr">
        <is>
          <t>Tuen Mun Broadway</t>
        </is>
      </c>
      <c r="B502" t="inlineStr">
        <is>
          <t>Tuen Mun Broadway</t>
        </is>
      </c>
      <c r="C502" t="inlineStr">
        <is>
          <t>May M</t>
        </is>
      </c>
      <c r="D502" t="inlineStr">
        <is>
          <t>2026-06</t>
        </is>
      </c>
      <c r="E502" t="inlineStr">
        <is>
          <t>2026-06-21 00:00:00</t>
        </is>
      </c>
      <c r="F502" t="inlineStr">
        <is>
          <t>Model-Input-Ref</t>
        </is>
      </c>
      <c r="G502" t="inlineStr">
        <is>
          <t>未分類 (單據新增)</t>
        </is>
      </c>
      <c r="I502" t="inlineStr"/>
      <c r="J502" t="n">
        <v>1</v>
      </c>
      <c r="K502" t="n">
        <v>2988</v>
      </c>
      <c r="L502" t="n">
        <v>0.03</v>
      </c>
      <c r="M502">
        <f>J502*K502*L502</f>
        <v/>
      </c>
    </row>
    <row r="503">
      <c r="A503" t="inlineStr">
        <is>
          <t>Tuen Mun Broadway</t>
        </is>
      </c>
      <c r="B503" t="inlineStr">
        <is>
          <t>Tuen Mun Broadway</t>
        </is>
      </c>
      <c r="C503" t="inlineStr">
        <is>
          <t>May M</t>
        </is>
      </c>
      <c r="D503" t="inlineStr">
        <is>
          <t>2026-06</t>
        </is>
      </c>
      <c r="E503" t="inlineStr">
        <is>
          <t>2026-06-21 00:00:00</t>
        </is>
      </c>
      <c r="F503" t="inlineStr">
        <is>
          <t>Model-Input-Ref</t>
        </is>
      </c>
      <c r="G503" t="inlineStr">
        <is>
          <t>未分類 (單據新增)</t>
        </is>
      </c>
      <c r="I503" t="inlineStr"/>
      <c r="J503" t="n">
        <v>1</v>
      </c>
      <c r="K503" t="n">
        <v>7130</v>
      </c>
      <c r="L503" t="n">
        <v>0.03</v>
      </c>
      <c r="M503">
        <f>J503*K503*L503</f>
        <v/>
      </c>
    </row>
    <row r="504">
      <c r="A504" t="inlineStr">
        <is>
          <t>Tuen Mun Broadway</t>
        </is>
      </c>
      <c r="B504" t="inlineStr">
        <is>
          <t>Tuen Mun Broadway</t>
        </is>
      </c>
      <c r="C504" t="inlineStr">
        <is>
          <t>May M</t>
        </is>
      </c>
      <c r="D504" t="inlineStr">
        <is>
          <t>2026-06</t>
        </is>
      </c>
      <c r="E504" t="inlineStr">
        <is>
          <t>2026-06-21 00:00:00</t>
        </is>
      </c>
      <c r="F504" t="inlineStr">
        <is>
          <t>Model-Input-Ref</t>
        </is>
      </c>
      <c r="G504" t="inlineStr">
        <is>
          <t>未分類 (單據新增)</t>
        </is>
      </c>
      <c r="I504" t="inlineStr"/>
      <c r="J504" t="n">
        <v>1</v>
      </c>
      <c r="K504" t="n">
        <v>5580</v>
      </c>
      <c r="L504" t="n">
        <v>0.03</v>
      </c>
      <c r="M504">
        <f>J504*K504*L504</f>
        <v/>
      </c>
    </row>
    <row r="505">
      <c r="A505" t="inlineStr">
        <is>
          <t>Tuen Mun Broadway</t>
        </is>
      </c>
      <c r="B505" t="inlineStr">
        <is>
          <t>Tuen Mun Broadway</t>
        </is>
      </c>
      <c r="C505" t="inlineStr">
        <is>
          <t>May M</t>
        </is>
      </c>
      <c r="D505" t="inlineStr">
        <is>
          <t>2026-06</t>
        </is>
      </c>
      <c r="E505" t="inlineStr">
        <is>
          <t>2026-06-21 00:00:00</t>
        </is>
      </c>
      <c r="F505" t="inlineStr">
        <is>
          <t>Model-Input-Ref</t>
        </is>
      </c>
      <c r="G505" t="inlineStr">
        <is>
          <t>未分類 (單據新增)</t>
        </is>
      </c>
      <c r="I505" t="inlineStr"/>
      <c r="J505" t="n">
        <v>1</v>
      </c>
      <c r="K505" t="n">
        <v>848</v>
      </c>
      <c r="L505" t="n">
        <v>0.03</v>
      </c>
      <c r="M505">
        <f>J505*K505*L505</f>
        <v/>
      </c>
    </row>
    <row r="506">
      <c r="A506" t="inlineStr">
        <is>
          <t>Tuen Mun Broadway</t>
        </is>
      </c>
      <c r="B506" t="inlineStr">
        <is>
          <t>Tuen Mun Broadway</t>
        </is>
      </c>
      <c r="C506" t="inlineStr">
        <is>
          <t>May M</t>
        </is>
      </c>
      <c r="D506" t="inlineStr">
        <is>
          <t>2026-06</t>
        </is>
      </c>
      <c r="E506" t="inlineStr">
        <is>
          <t>2026-06-21 00:00:00</t>
        </is>
      </c>
      <c r="F506" t="inlineStr">
        <is>
          <t>Model-Input-Ref</t>
        </is>
      </c>
      <c r="G506" t="inlineStr">
        <is>
          <t>未分類 (單據新增)</t>
        </is>
      </c>
      <c r="I506" t="inlineStr"/>
      <c r="J506" t="n">
        <v>1</v>
      </c>
      <c r="K506" t="n">
        <v>8180</v>
      </c>
      <c r="L506" t="n">
        <v>0.03</v>
      </c>
      <c r="M506">
        <f>J506*K506*L506</f>
        <v/>
      </c>
    </row>
    <row r="507">
      <c r="A507" t="inlineStr">
        <is>
          <t>Tuen Mun Broadway</t>
        </is>
      </c>
      <c r="B507" t="inlineStr">
        <is>
          <t>Tuen Mun Broadway</t>
        </is>
      </c>
      <c r="C507" t="inlineStr">
        <is>
          <t>May M</t>
        </is>
      </c>
      <c r="D507" t="inlineStr">
        <is>
          <t>2026-06</t>
        </is>
      </c>
      <c r="E507" t="inlineStr">
        <is>
          <t>2026-06-25 00:00:00</t>
        </is>
      </c>
      <c r="F507" t="inlineStr">
        <is>
          <t>Model-Input-Ref</t>
        </is>
      </c>
      <c r="G507" t="inlineStr">
        <is>
          <t>未分類 (單據新增)</t>
        </is>
      </c>
      <c r="I507" t="inlineStr"/>
      <c r="J507" t="n">
        <v>1</v>
      </c>
      <c r="K507" t="n">
        <v>848</v>
      </c>
      <c r="L507" t="n">
        <v>0.03</v>
      </c>
      <c r="M507">
        <f>J507*K507*L507</f>
        <v/>
      </c>
    </row>
    <row r="508">
      <c r="A508" t="inlineStr">
        <is>
          <t>Tuen Mun Broadway</t>
        </is>
      </c>
      <c r="B508" t="inlineStr">
        <is>
          <t>Tuen Mun Broadway</t>
        </is>
      </c>
      <c r="C508" t="inlineStr">
        <is>
          <t>May M</t>
        </is>
      </c>
      <c r="D508" t="inlineStr">
        <is>
          <t>2026-06</t>
        </is>
      </c>
      <c r="E508" t="inlineStr">
        <is>
          <t>2026-06-25 00:00:00</t>
        </is>
      </c>
      <c r="F508" t="inlineStr">
        <is>
          <t>Model-Input-Ref</t>
        </is>
      </c>
      <c r="G508" t="inlineStr">
        <is>
          <t>未分類 (單據新增)</t>
        </is>
      </c>
      <c r="I508" t="inlineStr"/>
      <c r="J508" t="n">
        <v>1</v>
      </c>
      <c r="K508" t="n">
        <v>8180</v>
      </c>
      <c r="L508" t="n">
        <v>0.03</v>
      </c>
      <c r="M508">
        <f>J508*K508*L508</f>
        <v/>
      </c>
    </row>
    <row r="509">
      <c r="A509" t="inlineStr">
        <is>
          <t>Tuen Mun Broadway</t>
        </is>
      </c>
      <c r="B509" t="inlineStr">
        <is>
          <t>Tuen Mun Broadway</t>
        </is>
      </c>
      <c r="C509" t="inlineStr">
        <is>
          <t>May M</t>
        </is>
      </c>
      <c r="D509" t="inlineStr">
        <is>
          <t>2026-06</t>
        </is>
      </c>
      <c r="E509" t="inlineStr">
        <is>
          <t>2026-06-25 00:00:00</t>
        </is>
      </c>
      <c r="F509" t="inlineStr">
        <is>
          <t>Model-Input-Ref</t>
        </is>
      </c>
      <c r="G509" t="inlineStr">
        <is>
          <t>未分類 (單據新增)</t>
        </is>
      </c>
      <c r="I509" t="inlineStr"/>
      <c r="J509" t="n">
        <v>1</v>
      </c>
      <c r="K509" t="n">
        <v>598</v>
      </c>
      <c r="L509" t="n">
        <v>0.03</v>
      </c>
      <c r="M509">
        <f>J509*K509*L509</f>
        <v/>
      </c>
    </row>
    <row r="510">
      <c r="A510" t="inlineStr">
        <is>
          <t>Tuen Mun Broadway</t>
        </is>
      </c>
      <c r="B510" t="inlineStr">
        <is>
          <t>Tuen Mun Broadway</t>
        </is>
      </c>
      <c r="C510" t="inlineStr">
        <is>
          <t>May M</t>
        </is>
      </c>
      <c r="D510" t="inlineStr">
        <is>
          <t>2026-06</t>
        </is>
      </c>
      <c r="E510" t="inlineStr">
        <is>
          <t>2026-06-25 00:00:00</t>
        </is>
      </c>
      <c r="F510" t="inlineStr">
        <is>
          <t>Model-Input-Ref</t>
        </is>
      </c>
      <c r="G510" t="inlineStr">
        <is>
          <t>未分類 (單據新增)</t>
        </is>
      </c>
      <c r="I510" t="inlineStr"/>
      <c r="J510" t="n">
        <v>1</v>
      </c>
      <c r="K510" t="n">
        <v>2988</v>
      </c>
      <c r="L510" t="n">
        <v>0.03</v>
      </c>
      <c r="M510">
        <f>J510*K510*L510</f>
        <v/>
      </c>
    </row>
    <row r="511">
      <c r="A511" t="inlineStr">
        <is>
          <t>Tuen Mun Broadway</t>
        </is>
      </c>
      <c r="B511" t="inlineStr">
        <is>
          <t>Tuen Mun Broadway</t>
        </is>
      </c>
      <c r="C511" t="inlineStr">
        <is>
          <t>May M</t>
        </is>
      </c>
      <c r="D511" t="inlineStr">
        <is>
          <t>2026-06</t>
        </is>
      </c>
      <c r="E511" t="inlineStr">
        <is>
          <t>2026-06-25 00:00:00</t>
        </is>
      </c>
      <c r="F511" t="inlineStr">
        <is>
          <t>Model-Input-Ref</t>
        </is>
      </c>
      <c r="G511" t="inlineStr">
        <is>
          <t>未分類 (單據新增)</t>
        </is>
      </c>
      <c r="I511" t="inlineStr"/>
      <c r="J511" t="n">
        <v>1</v>
      </c>
      <c r="K511" t="n">
        <v>3980</v>
      </c>
      <c r="L511" t="n">
        <v>0.03</v>
      </c>
      <c r="M511">
        <f>J511*K511*L511</f>
        <v/>
      </c>
    </row>
    <row r="512">
      <c r="A512" t="inlineStr">
        <is>
          <t>Tuen Mun Broadway</t>
        </is>
      </c>
      <c r="B512" t="inlineStr">
        <is>
          <t>Tuen Mun Broadway</t>
        </is>
      </c>
      <c r="C512" t="inlineStr">
        <is>
          <t>May M</t>
        </is>
      </c>
      <c r="D512" t="inlineStr">
        <is>
          <t>2026-06</t>
        </is>
      </c>
      <c r="E512" t="inlineStr">
        <is>
          <t>2026-06-26 00:00:00</t>
        </is>
      </c>
      <c r="F512" t="inlineStr">
        <is>
          <t>Model-Input-Ref</t>
        </is>
      </c>
      <c r="G512" t="inlineStr">
        <is>
          <t>未分類 (單據新增)</t>
        </is>
      </c>
      <c r="I512" t="inlineStr"/>
      <c r="J512" t="n">
        <v>1</v>
      </c>
      <c r="K512" t="n">
        <v>1330</v>
      </c>
      <c r="L512" t="n">
        <v>0.03</v>
      </c>
      <c r="M512">
        <f>J512*K512*L512</f>
        <v/>
      </c>
    </row>
    <row r="513">
      <c r="A513" t="inlineStr">
        <is>
          <t>Tuen Mun Broadway</t>
        </is>
      </c>
      <c r="B513" t="inlineStr">
        <is>
          <t>Tuen Mun Broadway</t>
        </is>
      </c>
      <c r="C513" t="inlineStr">
        <is>
          <t>May M</t>
        </is>
      </c>
      <c r="D513" t="inlineStr">
        <is>
          <t>2026-06</t>
        </is>
      </c>
      <c r="E513" t="inlineStr">
        <is>
          <t>2026-06-26 00:00:00</t>
        </is>
      </c>
      <c r="F513" t="inlineStr">
        <is>
          <t>Model-Input-Ref</t>
        </is>
      </c>
      <c r="G513" t="inlineStr">
        <is>
          <t>未分類 (單據新增)</t>
        </is>
      </c>
      <c r="I513" t="inlineStr"/>
      <c r="J513" t="n">
        <v>1</v>
      </c>
      <c r="K513" t="n">
        <v>598</v>
      </c>
      <c r="L513" t="n">
        <v>0.03</v>
      </c>
      <c r="M513">
        <f>J513*K513*L513</f>
        <v/>
      </c>
    </row>
    <row r="514">
      <c r="A514" t="inlineStr">
        <is>
          <t>Tuen Mun Broadway</t>
        </is>
      </c>
      <c r="B514" t="inlineStr">
        <is>
          <t>Tuen Mun Broadway</t>
        </is>
      </c>
      <c r="C514" t="inlineStr">
        <is>
          <t>May M</t>
        </is>
      </c>
      <c r="D514" t="inlineStr">
        <is>
          <t>2026-06</t>
        </is>
      </c>
      <c r="E514" t="inlineStr">
        <is>
          <t>2026-06-26 00:00:00</t>
        </is>
      </c>
      <c r="F514" t="inlineStr">
        <is>
          <t>Model-Input-Ref</t>
        </is>
      </c>
      <c r="G514" t="inlineStr">
        <is>
          <t>未分類 (單據新增)</t>
        </is>
      </c>
      <c r="I514" t="inlineStr"/>
      <c r="J514" t="n">
        <v>1</v>
      </c>
      <c r="K514" t="n">
        <v>5488</v>
      </c>
      <c r="L514" t="n">
        <v>0.03</v>
      </c>
      <c r="M514">
        <f>J514*K514*L514</f>
        <v/>
      </c>
    </row>
    <row r="515">
      <c r="A515" t="inlineStr">
        <is>
          <t>Tuen Mun Broadway</t>
        </is>
      </c>
      <c r="B515" t="inlineStr">
        <is>
          <t>Tuen Mun Broadway</t>
        </is>
      </c>
      <c r="C515" t="inlineStr">
        <is>
          <t>May M</t>
        </is>
      </c>
      <c r="D515" t="inlineStr">
        <is>
          <t>2026-06</t>
        </is>
      </c>
      <c r="E515" t="inlineStr">
        <is>
          <t>2026-06-26 00:00:00</t>
        </is>
      </c>
      <c r="F515" t="inlineStr">
        <is>
          <t>Model-Input-Ref</t>
        </is>
      </c>
      <c r="G515" t="inlineStr">
        <is>
          <t>未分類 (單據新增)</t>
        </is>
      </c>
      <c r="I515" t="inlineStr"/>
      <c r="J515" t="n">
        <v>1</v>
      </c>
      <c r="K515" t="n">
        <v>620</v>
      </c>
      <c r="L515" t="n">
        <v>0.03</v>
      </c>
      <c r="M515">
        <f>J515*K515*L515</f>
        <v/>
      </c>
    </row>
    <row r="516">
      <c r="A516" t="inlineStr">
        <is>
          <t>Tuen Mun Broadway</t>
        </is>
      </c>
      <c r="B516" t="inlineStr">
        <is>
          <t>Tuen Mun Broadway</t>
        </is>
      </c>
      <c r="C516" t="inlineStr">
        <is>
          <t>May M</t>
        </is>
      </c>
      <c r="D516" t="inlineStr">
        <is>
          <t>2026-06</t>
        </is>
      </c>
      <c r="E516" t="inlineStr">
        <is>
          <t>2026-06-27 00:00:00</t>
        </is>
      </c>
      <c r="F516" t="inlineStr">
        <is>
          <t>Model-Input-Ref</t>
        </is>
      </c>
      <c r="G516" t="inlineStr">
        <is>
          <t>未分類 (單據新增)</t>
        </is>
      </c>
      <c r="I516" t="inlineStr"/>
      <c r="J516" t="n">
        <v>1</v>
      </c>
      <c r="K516" t="n">
        <v>2988</v>
      </c>
      <c r="L516" t="n">
        <v>0.03</v>
      </c>
      <c r="M516">
        <f>J516*K516*L516</f>
        <v/>
      </c>
    </row>
    <row r="517">
      <c r="A517" t="inlineStr">
        <is>
          <t>Tuen Mun Broadway</t>
        </is>
      </c>
      <c r="B517" t="inlineStr">
        <is>
          <t>Tuen Mun Broadway</t>
        </is>
      </c>
      <c r="C517" t="inlineStr">
        <is>
          <t>May M</t>
        </is>
      </c>
      <c r="D517" t="inlineStr">
        <is>
          <t>2026-06</t>
        </is>
      </c>
      <c r="E517" t="inlineStr">
        <is>
          <t>2026-06-27 00:00:00</t>
        </is>
      </c>
      <c r="F517" t="inlineStr">
        <is>
          <t>Model-Input-Ref</t>
        </is>
      </c>
      <c r="G517" t="inlineStr">
        <is>
          <t>未分類 (單據新增)</t>
        </is>
      </c>
      <c r="I517" t="inlineStr"/>
      <c r="J517" t="n">
        <v>1</v>
      </c>
      <c r="K517" t="n">
        <v>2250</v>
      </c>
      <c r="L517" t="n">
        <v>0.03</v>
      </c>
      <c r="M517">
        <f>J517*K517*L517</f>
        <v/>
      </c>
    </row>
    <row r="518">
      <c r="A518" t="inlineStr">
        <is>
          <t>Tuen Mun Broadway</t>
        </is>
      </c>
      <c r="B518" t="inlineStr">
        <is>
          <t>Tuen Mun Broadway</t>
        </is>
      </c>
      <c r="C518" t="inlineStr">
        <is>
          <t>May M</t>
        </is>
      </c>
      <c r="D518" t="inlineStr">
        <is>
          <t>2026-06</t>
        </is>
      </c>
      <c r="E518" t="inlineStr">
        <is>
          <t>2026-06-27 00:00:00</t>
        </is>
      </c>
      <c r="F518" t="inlineStr">
        <is>
          <t>Model-Input-Ref</t>
        </is>
      </c>
      <c r="G518" t="inlineStr">
        <is>
          <t>未分類 (單據新增)</t>
        </is>
      </c>
      <c r="I518" t="inlineStr"/>
      <c r="J518" t="n">
        <v>1</v>
      </c>
      <c r="K518" t="n">
        <v>298</v>
      </c>
      <c r="L518" t="n">
        <v>0.03</v>
      </c>
      <c r="M518">
        <f>J518*K518*L518</f>
        <v/>
      </c>
    </row>
    <row r="519">
      <c r="A519" t="inlineStr">
        <is>
          <t>Tuen Mun Broadway</t>
        </is>
      </c>
      <c r="B519" t="inlineStr">
        <is>
          <t>Tuen Mun Broadway</t>
        </is>
      </c>
      <c r="C519" t="inlineStr">
        <is>
          <t>May M</t>
        </is>
      </c>
      <c r="D519" t="inlineStr">
        <is>
          <t>2026-06</t>
        </is>
      </c>
      <c r="E519" t="inlineStr">
        <is>
          <t>2026-06-27 00:00:00</t>
        </is>
      </c>
      <c r="F519" t="inlineStr">
        <is>
          <t>Model-Input-Ref</t>
        </is>
      </c>
      <c r="G519" t="inlineStr">
        <is>
          <t>未分類 (單據新增)</t>
        </is>
      </c>
      <c r="I519" t="inlineStr"/>
      <c r="J519" t="n">
        <v>1</v>
      </c>
      <c r="K519" t="n">
        <v>298</v>
      </c>
      <c r="L519" t="n">
        <v>0.03</v>
      </c>
      <c r="M519">
        <f>J519*K519*L519</f>
        <v/>
      </c>
    </row>
    <row r="520">
      <c r="A520" t="inlineStr">
        <is>
          <t>Tuen Mun Broadway</t>
        </is>
      </c>
      <c r="B520" t="inlineStr">
        <is>
          <t>Tuen Mun Broadway</t>
        </is>
      </c>
      <c r="C520" t="inlineStr">
        <is>
          <t>May M</t>
        </is>
      </c>
      <c r="D520" t="inlineStr">
        <is>
          <t>2026-06</t>
        </is>
      </c>
      <c r="E520" t="inlineStr">
        <is>
          <t>2026-06-27 00:00:00</t>
        </is>
      </c>
      <c r="F520" t="inlineStr">
        <is>
          <t>Model-Input-Ref</t>
        </is>
      </c>
      <c r="G520" t="inlineStr">
        <is>
          <t>未分類 (單據新增)</t>
        </is>
      </c>
      <c r="I520" t="inlineStr"/>
      <c r="J520" t="n">
        <v>1</v>
      </c>
      <c r="K520" t="n">
        <v>848</v>
      </c>
      <c r="L520" t="n">
        <v>0.03</v>
      </c>
      <c r="M520">
        <f>J520*K520*L520</f>
        <v/>
      </c>
    </row>
    <row r="521">
      <c r="A521" t="inlineStr">
        <is>
          <t>Tuen Mun Broadway</t>
        </is>
      </c>
      <c r="B521" t="inlineStr">
        <is>
          <t>Tuen Mun Broadway</t>
        </is>
      </c>
      <c r="C521" t="inlineStr">
        <is>
          <t>May M</t>
        </is>
      </c>
      <c r="D521" t="inlineStr">
        <is>
          <t>2026-06</t>
        </is>
      </c>
      <c r="E521" t="inlineStr">
        <is>
          <t>2026-06-27 00:00:00</t>
        </is>
      </c>
      <c r="F521" t="inlineStr">
        <is>
          <t>Model-Input-Ref</t>
        </is>
      </c>
      <c r="G521" t="inlineStr">
        <is>
          <t>未分類 (單據新增)</t>
        </is>
      </c>
      <c r="I521" t="inlineStr"/>
      <c r="J521" t="n">
        <v>1</v>
      </c>
      <c r="K521" t="n">
        <v>1330</v>
      </c>
      <c r="L521" t="n">
        <v>0.03</v>
      </c>
      <c r="M521">
        <f>J521*K521*L521</f>
        <v/>
      </c>
    </row>
    <row r="522">
      <c r="A522" t="inlineStr">
        <is>
          <t>Tuen Mun Broadway</t>
        </is>
      </c>
      <c r="B522" t="inlineStr">
        <is>
          <t>Tuen Mun Broadway</t>
        </is>
      </c>
      <c r="C522" t="inlineStr">
        <is>
          <t>May M</t>
        </is>
      </c>
      <c r="D522" t="inlineStr">
        <is>
          <t>2026-06</t>
        </is>
      </c>
      <c r="E522" t="inlineStr">
        <is>
          <t>2026-06-28 00:00:00</t>
        </is>
      </c>
      <c r="F522" t="inlineStr">
        <is>
          <t>Model-Input-Ref</t>
        </is>
      </c>
      <c r="G522" t="inlineStr">
        <is>
          <t>未分類 (單據新增)</t>
        </is>
      </c>
      <c r="I522" t="inlineStr"/>
      <c r="J522" t="n">
        <v>1</v>
      </c>
      <c r="K522" t="n">
        <v>2988</v>
      </c>
      <c r="L522" t="n">
        <v>0.03</v>
      </c>
      <c r="M522">
        <f>J522*K522*L522</f>
        <v/>
      </c>
    </row>
    <row r="523">
      <c r="A523" t="inlineStr">
        <is>
          <t>Tuen Mun Broadway</t>
        </is>
      </c>
      <c r="B523" t="inlineStr">
        <is>
          <t>Tuen Mun Broadway</t>
        </is>
      </c>
      <c r="C523" t="inlineStr">
        <is>
          <t>May M</t>
        </is>
      </c>
      <c r="D523" t="inlineStr">
        <is>
          <t>2026-06</t>
        </is>
      </c>
      <c r="E523" t="inlineStr">
        <is>
          <t>2026-06-28 00:00:00</t>
        </is>
      </c>
      <c r="F523" t="inlineStr">
        <is>
          <t>Model-Input-Ref</t>
        </is>
      </c>
      <c r="G523" t="inlineStr">
        <is>
          <t>未分類 (單據新增)</t>
        </is>
      </c>
      <c r="I523" t="inlineStr"/>
      <c r="J523" t="n">
        <v>1</v>
      </c>
      <c r="K523" t="n">
        <v>598</v>
      </c>
      <c r="L523" t="n">
        <v>0.03</v>
      </c>
      <c r="M523">
        <f>J523*K523*L523</f>
        <v/>
      </c>
    </row>
    <row r="524">
      <c r="A524" t="inlineStr">
        <is>
          <t>Tuen Mun Broadway</t>
        </is>
      </c>
      <c r="B524" t="inlineStr">
        <is>
          <t>Tuen Mun Broadway</t>
        </is>
      </c>
      <c r="C524" t="inlineStr">
        <is>
          <t>May M</t>
        </is>
      </c>
      <c r="D524" t="inlineStr">
        <is>
          <t>2026-06</t>
        </is>
      </c>
      <c r="E524" t="inlineStr">
        <is>
          <t>2026-06-28 00:00:00</t>
        </is>
      </c>
      <c r="F524" t="inlineStr">
        <is>
          <t>Model-Input-Ref</t>
        </is>
      </c>
      <c r="G524" t="inlineStr">
        <is>
          <t>未分類 (單據新增)</t>
        </is>
      </c>
      <c r="I524" t="inlineStr"/>
      <c r="J524" t="n">
        <v>1</v>
      </c>
      <c r="K524" t="n">
        <v>620</v>
      </c>
      <c r="L524" t="n">
        <v>0.03</v>
      </c>
      <c r="M524">
        <f>J524*K524*L524</f>
        <v/>
      </c>
    </row>
    <row r="525">
      <c r="A525" t="inlineStr">
        <is>
          <t>Tuen Mun Broadway</t>
        </is>
      </c>
      <c r="B525" t="inlineStr">
        <is>
          <t>Tuen Mun Broadway</t>
        </is>
      </c>
      <c r="C525" t="inlineStr">
        <is>
          <t>May M</t>
        </is>
      </c>
      <c r="D525" t="inlineStr">
        <is>
          <t>2026-06</t>
        </is>
      </c>
      <c r="E525" t="inlineStr">
        <is>
          <t>2026-06-28 00:00:00</t>
        </is>
      </c>
      <c r="F525" t="inlineStr">
        <is>
          <t>Model-Input-Ref</t>
        </is>
      </c>
      <c r="G525" t="inlineStr">
        <is>
          <t>未分類 (單據新增)</t>
        </is>
      </c>
      <c r="I525" t="inlineStr"/>
      <c r="J525" t="n">
        <v>1</v>
      </c>
      <c r="K525" t="n">
        <v>620</v>
      </c>
      <c r="L525" t="n">
        <v>0.03</v>
      </c>
      <c r="M525">
        <f>J525*K525*L525</f>
        <v/>
      </c>
    </row>
    <row r="526">
      <c r="A526" t="inlineStr">
        <is>
          <t>Tuen Mun Broadway</t>
        </is>
      </c>
      <c r="B526" t="inlineStr">
        <is>
          <t>Tuen Mun Broadway</t>
        </is>
      </c>
      <c r="C526" t="inlineStr">
        <is>
          <t>May M</t>
        </is>
      </c>
      <c r="D526" t="inlineStr">
        <is>
          <t>2026-06</t>
        </is>
      </c>
      <c r="E526" t="inlineStr">
        <is>
          <t>2026-06-28 00:00:00</t>
        </is>
      </c>
      <c r="F526" t="inlineStr">
        <is>
          <t>Model-Input-Ref</t>
        </is>
      </c>
      <c r="G526" t="inlineStr">
        <is>
          <t>未分類 (單據新增)</t>
        </is>
      </c>
      <c r="I526" t="inlineStr"/>
      <c r="J526" t="n">
        <v>1</v>
      </c>
      <c r="K526" t="n">
        <v>160</v>
      </c>
      <c r="L526" t="n">
        <v>0.03</v>
      </c>
      <c r="M526">
        <f>J526*K526*L526</f>
        <v/>
      </c>
    </row>
    <row r="527">
      <c r="A527" t="inlineStr">
        <is>
          <t>Tuen Mun Broadway</t>
        </is>
      </c>
      <c r="B527" t="inlineStr">
        <is>
          <t>Tuen Mun Broadway</t>
        </is>
      </c>
      <c r="C527" t="inlineStr">
        <is>
          <t>May M</t>
        </is>
      </c>
      <c r="D527" t="inlineStr">
        <is>
          <t>2026-06</t>
        </is>
      </c>
      <c r="E527" t="inlineStr">
        <is>
          <t>2026-06-28 00:00:00</t>
        </is>
      </c>
      <c r="F527" t="inlineStr">
        <is>
          <t>Model-Input-Ref</t>
        </is>
      </c>
      <c r="G527" t="inlineStr">
        <is>
          <t>未分類 (單據新增)</t>
        </is>
      </c>
      <c r="I527" t="inlineStr"/>
      <c r="J527" t="n">
        <v>1</v>
      </c>
      <c r="K527" t="n">
        <v>8180</v>
      </c>
      <c r="L527" t="n">
        <v>0.03</v>
      </c>
      <c r="M527">
        <f>J527*K527*L527</f>
        <v/>
      </c>
    </row>
    <row r="528">
      <c r="A528" t="inlineStr">
        <is>
          <t>Tuen Mun Broadway</t>
        </is>
      </c>
      <c r="B528" t="inlineStr">
        <is>
          <t>Tuen Mun Broadway</t>
        </is>
      </c>
      <c r="C528" t="inlineStr">
        <is>
          <t>May M</t>
        </is>
      </c>
      <c r="D528" t="inlineStr">
        <is>
          <t>2026-06</t>
        </is>
      </c>
      <c r="E528" t="inlineStr">
        <is>
          <t>2026-06-28 00:00:00</t>
        </is>
      </c>
      <c r="F528" t="inlineStr">
        <is>
          <t>Model-Input-Ref</t>
        </is>
      </c>
      <c r="G528" t="inlineStr">
        <is>
          <t>未分類 (單據新增)</t>
        </is>
      </c>
      <c r="I528" t="inlineStr"/>
      <c r="J528" t="n">
        <v>1</v>
      </c>
      <c r="K528" t="n">
        <v>8180</v>
      </c>
      <c r="L528" t="n">
        <v>0.03</v>
      </c>
      <c r="M528">
        <f>J528*K528*L528</f>
        <v/>
      </c>
    </row>
    <row r="529">
      <c r="A529" t="inlineStr">
        <is>
          <t>Tuen Mun Broadway</t>
        </is>
      </c>
      <c r="B529" t="inlineStr">
        <is>
          <t>Tuen Mun Broadway</t>
        </is>
      </c>
      <c r="C529" t="inlineStr">
        <is>
          <t>May M</t>
        </is>
      </c>
      <c r="D529" t="inlineStr">
        <is>
          <t>2026-06</t>
        </is>
      </c>
      <c r="E529" t="inlineStr">
        <is>
          <t>2026-06-28 00:00:00</t>
        </is>
      </c>
      <c r="F529" t="inlineStr">
        <is>
          <t>Model-Input-Ref</t>
        </is>
      </c>
      <c r="G529" t="inlineStr">
        <is>
          <t>未分類 (單據新增)</t>
        </is>
      </c>
      <c r="I529" t="inlineStr"/>
      <c r="J529" t="n">
        <v>1</v>
      </c>
      <c r="K529" t="n">
        <v>848</v>
      </c>
      <c r="L529" t="n">
        <v>0.03</v>
      </c>
      <c r="M529">
        <f>J529*K529*L529</f>
        <v/>
      </c>
    </row>
    <row r="530">
      <c r="A530" t="inlineStr">
        <is>
          <t>Tuen Mun Broadway</t>
        </is>
      </c>
      <c r="B530" t="inlineStr">
        <is>
          <t>Tuen Mun Broadway</t>
        </is>
      </c>
      <c r="C530" t="inlineStr">
        <is>
          <t>May M</t>
        </is>
      </c>
      <c r="D530" t="inlineStr">
        <is>
          <t>2026-06</t>
        </is>
      </c>
      <c r="E530" t="inlineStr">
        <is>
          <t>2026-06-28 00:00:00</t>
        </is>
      </c>
      <c r="F530" t="inlineStr">
        <is>
          <t>Model-Input-Ref</t>
        </is>
      </c>
      <c r="G530" t="inlineStr">
        <is>
          <t>未分類 (單據新增)</t>
        </is>
      </c>
      <c r="I530" t="inlineStr"/>
      <c r="J530" t="n">
        <v>1</v>
      </c>
      <c r="K530" t="n">
        <v>1388</v>
      </c>
      <c r="L530" t="n">
        <v>0.03</v>
      </c>
      <c r="M530">
        <f>J530*K530*L530</f>
        <v/>
      </c>
    </row>
    <row r="531">
      <c r="A531" t="inlineStr">
        <is>
          <t>Tuen Mun Broadway</t>
        </is>
      </c>
      <c r="B531" t="inlineStr">
        <is>
          <t>Tuen Mun Broadway</t>
        </is>
      </c>
      <c r="C531" t="inlineStr">
        <is>
          <t>May M</t>
        </is>
      </c>
      <c r="D531" t="inlineStr">
        <is>
          <t>2026-06</t>
        </is>
      </c>
      <c r="E531" t="inlineStr">
        <is>
          <t>2026-06-28 00:00:00</t>
        </is>
      </c>
      <c r="F531" t="inlineStr">
        <is>
          <t>Model-Input-Ref</t>
        </is>
      </c>
      <c r="G531" t="inlineStr">
        <is>
          <t>未分類 (單據新增)</t>
        </is>
      </c>
      <c r="I531" t="inlineStr"/>
      <c r="J531" t="n">
        <v>1</v>
      </c>
      <c r="K531" t="n">
        <v>3988</v>
      </c>
      <c r="L531" t="n">
        <v>0.03</v>
      </c>
      <c r="M531">
        <f>J531*K531*L531</f>
        <v/>
      </c>
    </row>
    <row r="532">
      <c r="A532" t="inlineStr">
        <is>
          <t>SW Wing On</t>
        </is>
      </c>
      <c r="B532" t="inlineStr">
        <is>
          <t>SW Wing On</t>
        </is>
      </c>
      <c r="C532" t="inlineStr">
        <is>
          <t>Hazel</t>
        </is>
      </c>
      <c r="D532" t="inlineStr">
        <is>
          <t>2026-06</t>
        </is>
      </c>
      <c r="E532" t="inlineStr">
        <is>
          <t>2026-06-04 00:00:00</t>
        </is>
      </c>
      <c r="F532" t="inlineStr">
        <is>
          <t>Model-Input-Ref</t>
        </is>
      </c>
      <c r="G532" t="inlineStr">
        <is>
          <t>未分類 (單據新增)</t>
        </is>
      </c>
      <c r="I532" t="inlineStr"/>
      <c r="J532" t="n">
        <v>1</v>
      </c>
      <c r="K532" t="n">
        <v>675</v>
      </c>
      <c r="L532" t="n">
        <v>0.03</v>
      </c>
      <c r="M532">
        <f>J532*K532*L532</f>
        <v/>
      </c>
    </row>
    <row r="533">
      <c r="A533" t="inlineStr">
        <is>
          <t>SW Wing On</t>
        </is>
      </c>
      <c r="B533" t="inlineStr">
        <is>
          <t>SW Wing On</t>
        </is>
      </c>
      <c r="C533" t="inlineStr">
        <is>
          <t>Hazel</t>
        </is>
      </c>
      <c r="D533" t="inlineStr">
        <is>
          <t>2026-06</t>
        </is>
      </c>
      <c r="E533" t="inlineStr">
        <is>
          <t>2026-06-04 00:00:00</t>
        </is>
      </c>
      <c r="F533" t="inlineStr">
        <is>
          <t>Model-Input-Ref</t>
        </is>
      </c>
      <c r="G533" t="inlineStr">
        <is>
          <t>未分類 (單據新增)</t>
        </is>
      </c>
      <c r="I533" t="inlineStr"/>
      <c r="J533" t="n">
        <v>1</v>
      </c>
      <c r="K533" t="n">
        <v>798</v>
      </c>
      <c r="L533" t="n">
        <v>0.03</v>
      </c>
      <c r="M533">
        <f>J533*K533*L533</f>
        <v/>
      </c>
    </row>
    <row r="534">
      <c r="A534" t="inlineStr">
        <is>
          <t>SW Wing On</t>
        </is>
      </c>
      <c r="B534" t="inlineStr">
        <is>
          <t>SW Wing On</t>
        </is>
      </c>
      <c r="C534" t="inlineStr">
        <is>
          <t>Hazel</t>
        </is>
      </c>
      <c r="D534" t="inlineStr">
        <is>
          <t>2026-06</t>
        </is>
      </c>
      <c r="E534" t="inlineStr">
        <is>
          <t>2026-06-04 00:00:00</t>
        </is>
      </c>
      <c r="F534" t="inlineStr">
        <is>
          <t>Model-Input-Ref</t>
        </is>
      </c>
      <c r="G534" t="inlineStr">
        <is>
          <t>未分類 (單據新增)</t>
        </is>
      </c>
      <c r="I534" t="inlineStr"/>
      <c r="J534" t="n">
        <v>1</v>
      </c>
      <c r="K534" t="n">
        <v>1516</v>
      </c>
      <c r="L534" t="n">
        <v>0.03</v>
      </c>
      <c r="M534">
        <f>J534*K534*L534</f>
        <v/>
      </c>
    </row>
    <row r="535">
      <c r="A535" t="inlineStr">
        <is>
          <t>SW Wing On</t>
        </is>
      </c>
      <c r="B535" t="inlineStr">
        <is>
          <t>SW Wing On</t>
        </is>
      </c>
      <c r="C535" t="inlineStr">
        <is>
          <t>Hazel</t>
        </is>
      </c>
      <c r="D535" t="inlineStr">
        <is>
          <t>2026-06</t>
        </is>
      </c>
      <c r="E535" t="inlineStr">
        <is>
          <t>2026-06-04 00:00:00</t>
        </is>
      </c>
      <c r="F535" t="inlineStr">
        <is>
          <t>Model-Input-Ref</t>
        </is>
      </c>
      <c r="G535" t="inlineStr">
        <is>
          <t>未分類 (單據新增)</t>
        </is>
      </c>
      <c r="I535" t="inlineStr"/>
      <c r="J535" t="n">
        <v>1</v>
      </c>
      <c r="K535" t="n">
        <v>1596</v>
      </c>
      <c r="L535" t="n">
        <v>0.03</v>
      </c>
      <c r="M535">
        <f>J535*K535*L535</f>
        <v/>
      </c>
    </row>
    <row r="536">
      <c r="A536" t="inlineStr">
        <is>
          <t>SW Wing On</t>
        </is>
      </c>
      <c r="B536" t="inlineStr">
        <is>
          <t>SW Wing On</t>
        </is>
      </c>
      <c r="C536" t="inlineStr">
        <is>
          <t>Hazel</t>
        </is>
      </c>
      <c r="D536" t="inlineStr">
        <is>
          <t>2026-06</t>
        </is>
      </c>
      <c r="E536" t="inlineStr">
        <is>
          <t>2026-06-05 00:00:00</t>
        </is>
      </c>
      <c r="F536" t="inlineStr">
        <is>
          <t>Model-Input-Ref</t>
        </is>
      </c>
      <c r="G536" t="inlineStr">
        <is>
          <t>未分類 (單據新增)</t>
        </is>
      </c>
      <c r="I536" t="inlineStr"/>
      <c r="J536" t="n">
        <v>1</v>
      </c>
      <c r="K536" t="n">
        <v>398</v>
      </c>
      <c r="L536" t="n">
        <v>0.03</v>
      </c>
      <c r="M536">
        <f>J536*K536*L536</f>
        <v/>
      </c>
    </row>
    <row r="537">
      <c r="A537" t="inlineStr">
        <is>
          <t>SW Wing On</t>
        </is>
      </c>
      <c r="B537" t="inlineStr">
        <is>
          <t>SW Wing On</t>
        </is>
      </c>
      <c r="C537" t="inlineStr">
        <is>
          <t>Hazel</t>
        </is>
      </c>
      <c r="D537" t="inlineStr">
        <is>
          <t>2026-06</t>
        </is>
      </c>
      <c r="E537" t="inlineStr">
        <is>
          <t>2026-06-05 00:00:00</t>
        </is>
      </c>
      <c r="F537" t="inlineStr">
        <is>
          <t>Model-Input-Ref</t>
        </is>
      </c>
      <c r="G537" t="inlineStr">
        <is>
          <t>未分類 (單據新增)</t>
        </is>
      </c>
      <c r="I537" t="inlineStr"/>
      <c r="J537" t="n">
        <v>1</v>
      </c>
      <c r="K537" t="n">
        <v>398</v>
      </c>
      <c r="L537" t="n">
        <v>0.03</v>
      </c>
      <c r="M537">
        <f>J537*K537*L537</f>
        <v/>
      </c>
    </row>
    <row r="538">
      <c r="A538" t="inlineStr">
        <is>
          <t>SW Wing On</t>
        </is>
      </c>
      <c r="B538" t="inlineStr">
        <is>
          <t>SW Wing On</t>
        </is>
      </c>
      <c r="C538" t="inlineStr">
        <is>
          <t>Hazel</t>
        </is>
      </c>
      <c r="D538" t="inlineStr">
        <is>
          <t>2026-06</t>
        </is>
      </c>
      <c r="E538" t="inlineStr">
        <is>
          <t>2026-06-05 00:00:00</t>
        </is>
      </c>
      <c r="F538" t="inlineStr">
        <is>
          <t>Model-Input-Ref</t>
        </is>
      </c>
      <c r="G538" t="inlineStr">
        <is>
          <t>未分類 (單據新增)</t>
        </is>
      </c>
      <c r="I538" t="inlineStr"/>
      <c r="J538" t="n">
        <v>1</v>
      </c>
      <c r="K538" t="n">
        <v>1516</v>
      </c>
      <c r="L538" t="n">
        <v>0.03</v>
      </c>
      <c r="M538">
        <f>J538*K538*L538</f>
        <v/>
      </c>
    </row>
    <row r="539">
      <c r="A539" t="inlineStr">
        <is>
          <t>SW Wing On</t>
        </is>
      </c>
      <c r="B539" t="inlineStr">
        <is>
          <t>SW Wing On</t>
        </is>
      </c>
      <c r="C539" t="inlineStr">
        <is>
          <t>Hazel</t>
        </is>
      </c>
      <c r="D539" t="inlineStr">
        <is>
          <t>2026-06</t>
        </is>
      </c>
      <c r="E539" t="inlineStr">
        <is>
          <t>2026-06-05 00:00:00</t>
        </is>
      </c>
      <c r="F539" t="inlineStr">
        <is>
          <t>Model-Input-Ref</t>
        </is>
      </c>
      <c r="G539" t="inlineStr">
        <is>
          <t>未分類 (單據新增)</t>
        </is>
      </c>
      <c r="I539" t="inlineStr"/>
      <c r="J539" t="n">
        <v>1</v>
      </c>
      <c r="K539" t="n">
        <v>675</v>
      </c>
      <c r="L539" t="n">
        <v>0.03</v>
      </c>
      <c r="M539">
        <f>J539*K539*L539</f>
        <v/>
      </c>
    </row>
    <row r="540">
      <c r="A540" t="inlineStr">
        <is>
          <t>SW Wing On</t>
        </is>
      </c>
      <c r="B540" t="inlineStr">
        <is>
          <t>SW Wing On</t>
        </is>
      </c>
      <c r="C540" t="inlineStr">
        <is>
          <t>Hazel</t>
        </is>
      </c>
      <c r="D540" t="inlineStr">
        <is>
          <t>2026-06</t>
        </is>
      </c>
      <c r="E540" t="inlineStr">
        <is>
          <t>2026-06-05 00:00:00</t>
        </is>
      </c>
      <c r="F540" t="inlineStr">
        <is>
          <t>Model-Input-Ref</t>
        </is>
      </c>
      <c r="G540" t="inlineStr">
        <is>
          <t>未分類 (單據新增)</t>
        </is>
      </c>
      <c r="I540" t="inlineStr"/>
      <c r="J540" t="n">
        <v>1</v>
      </c>
      <c r="K540" t="n">
        <v>798</v>
      </c>
      <c r="L540" t="n">
        <v>0.03</v>
      </c>
      <c r="M540">
        <f>J540*K540*L540</f>
        <v/>
      </c>
    </row>
    <row r="541">
      <c r="A541" t="inlineStr">
        <is>
          <t>SW Wing On</t>
        </is>
      </c>
      <c r="B541" t="inlineStr">
        <is>
          <t>SW Wing On</t>
        </is>
      </c>
      <c r="C541" t="inlineStr">
        <is>
          <t>Hazel</t>
        </is>
      </c>
      <c r="D541" t="inlineStr">
        <is>
          <t>2026-06</t>
        </is>
      </c>
      <c r="E541" t="inlineStr">
        <is>
          <t>2026-06-06 00:00:00</t>
        </is>
      </c>
      <c r="F541" t="inlineStr">
        <is>
          <t>Model-Input-Ref</t>
        </is>
      </c>
      <c r="G541" t="inlineStr">
        <is>
          <t>未分類 (單據新增)</t>
        </is>
      </c>
      <c r="I541" t="inlineStr"/>
      <c r="J541" t="n">
        <v>1</v>
      </c>
      <c r="K541" t="n">
        <v>1516</v>
      </c>
      <c r="L541" t="n">
        <v>0.03</v>
      </c>
      <c r="M541">
        <f>J541*K541*L541</f>
        <v/>
      </c>
    </row>
    <row r="542">
      <c r="A542" t="inlineStr">
        <is>
          <t>SW Wing On</t>
        </is>
      </c>
      <c r="B542" t="inlineStr">
        <is>
          <t>SW Wing On</t>
        </is>
      </c>
      <c r="C542" t="inlineStr">
        <is>
          <t>Hazel</t>
        </is>
      </c>
      <c r="D542" t="inlineStr">
        <is>
          <t>2026-06</t>
        </is>
      </c>
      <c r="E542" t="inlineStr">
        <is>
          <t>2026-06-06 00:00:00</t>
        </is>
      </c>
      <c r="F542" t="inlineStr">
        <is>
          <t>Model-Input-Ref</t>
        </is>
      </c>
      <c r="G542" t="inlineStr">
        <is>
          <t>未分類 (單據新增)</t>
        </is>
      </c>
      <c r="I542" t="inlineStr"/>
      <c r="J542" t="n">
        <v>1</v>
      </c>
      <c r="K542" t="n">
        <v>980</v>
      </c>
      <c r="L542" t="n">
        <v>0.03</v>
      </c>
      <c r="M542">
        <f>J542*K542*L542</f>
        <v/>
      </c>
    </row>
    <row r="543">
      <c r="A543" t="inlineStr">
        <is>
          <t>SW Wing On</t>
        </is>
      </c>
      <c r="B543" t="inlineStr">
        <is>
          <t>SW Wing On</t>
        </is>
      </c>
      <c r="C543" t="inlineStr">
        <is>
          <t>Hazel</t>
        </is>
      </c>
      <c r="D543" t="inlineStr">
        <is>
          <t>2026-06</t>
        </is>
      </c>
      <c r="E543" t="inlineStr">
        <is>
          <t>2026-06-06 00:00:00</t>
        </is>
      </c>
      <c r="F543" t="inlineStr">
        <is>
          <t>Model-Input-Ref</t>
        </is>
      </c>
      <c r="G543" t="inlineStr">
        <is>
          <t>未分類 (單據新增)</t>
        </is>
      </c>
      <c r="I543" t="inlineStr"/>
      <c r="J543" t="n">
        <v>1</v>
      </c>
      <c r="K543" t="n">
        <v>798</v>
      </c>
      <c r="L543" t="n">
        <v>0.03</v>
      </c>
      <c r="M543">
        <f>J543*K543*L543</f>
        <v/>
      </c>
    </row>
    <row r="544">
      <c r="A544" t="inlineStr">
        <is>
          <t>SW Wing On</t>
        </is>
      </c>
      <c r="B544" t="inlineStr">
        <is>
          <t>SW Wing On</t>
        </is>
      </c>
      <c r="C544" t="inlineStr">
        <is>
          <t>Hazel</t>
        </is>
      </c>
      <c r="D544" t="inlineStr">
        <is>
          <t>2026-06</t>
        </is>
      </c>
      <c r="E544" t="inlineStr">
        <is>
          <t>2026-06-06 00:00:00</t>
        </is>
      </c>
      <c r="F544" t="inlineStr">
        <is>
          <t>Model-Input-Ref</t>
        </is>
      </c>
      <c r="G544" t="inlineStr">
        <is>
          <t>未分類 (單據新增)</t>
        </is>
      </c>
      <c r="I544" t="inlineStr"/>
      <c r="J544" t="n">
        <v>1</v>
      </c>
      <c r="K544" t="n">
        <v>798</v>
      </c>
      <c r="L544" t="n">
        <v>0.03</v>
      </c>
      <c r="M544">
        <f>J544*K544*L544</f>
        <v/>
      </c>
    </row>
    <row r="545">
      <c r="A545" t="inlineStr">
        <is>
          <t>SW Wing On</t>
        </is>
      </c>
      <c r="B545" t="inlineStr">
        <is>
          <t>SW Wing On</t>
        </is>
      </c>
      <c r="C545" t="inlineStr">
        <is>
          <t>Hazel</t>
        </is>
      </c>
      <c r="D545" t="inlineStr">
        <is>
          <t>2026-06</t>
        </is>
      </c>
      <c r="E545" t="inlineStr">
        <is>
          <t>2026-06-06 00:00:00</t>
        </is>
      </c>
      <c r="F545" t="inlineStr">
        <is>
          <t>Model-Input-Ref</t>
        </is>
      </c>
      <c r="G545" t="inlineStr">
        <is>
          <t>未分類 (單據新增)</t>
        </is>
      </c>
      <c r="I545" t="inlineStr"/>
      <c r="J545" t="n">
        <v>1</v>
      </c>
      <c r="K545" t="n">
        <v>1704</v>
      </c>
      <c r="L545" t="n">
        <v>0.03</v>
      </c>
      <c r="M545">
        <f>J545*K545*L545</f>
        <v/>
      </c>
    </row>
    <row r="546">
      <c r="A546" t="inlineStr">
        <is>
          <t>SW Wing On</t>
        </is>
      </c>
      <c r="B546" t="inlineStr">
        <is>
          <t>SW Wing On</t>
        </is>
      </c>
      <c r="C546" t="inlineStr">
        <is>
          <t>Hazel</t>
        </is>
      </c>
      <c r="D546" t="inlineStr">
        <is>
          <t>2026-06</t>
        </is>
      </c>
      <c r="E546" t="inlineStr">
        <is>
          <t>2026-06-06 00:00:00</t>
        </is>
      </c>
      <c r="F546" t="inlineStr">
        <is>
          <t>Model-Input-Ref</t>
        </is>
      </c>
      <c r="G546" t="inlineStr">
        <is>
          <t>未分類 (單據新增)</t>
        </is>
      </c>
      <c r="I546" t="inlineStr"/>
      <c r="J546" t="n">
        <v>1</v>
      </c>
      <c r="K546" t="n">
        <v>980</v>
      </c>
      <c r="L546" t="n">
        <v>0.03</v>
      </c>
      <c r="M546">
        <f>J546*K546*L546</f>
        <v/>
      </c>
    </row>
    <row r="547">
      <c r="A547" t="inlineStr">
        <is>
          <t>SW Wing On</t>
        </is>
      </c>
      <c r="B547" t="inlineStr">
        <is>
          <t>SW Wing On</t>
        </is>
      </c>
      <c r="C547" t="inlineStr">
        <is>
          <t>Hazel</t>
        </is>
      </c>
      <c r="D547" t="inlineStr">
        <is>
          <t>2026-06</t>
        </is>
      </c>
      <c r="E547" t="inlineStr">
        <is>
          <t>2026-06-06 00:00:00</t>
        </is>
      </c>
      <c r="F547" t="inlineStr">
        <is>
          <t>Model-Input-Ref</t>
        </is>
      </c>
      <c r="G547" t="inlineStr">
        <is>
          <t>未分類 (單據新增)</t>
        </is>
      </c>
      <c r="I547" t="inlineStr"/>
      <c r="J547" t="n">
        <v>1</v>
      </c>
      <c r="K547" t="n">
        <v>1914</v>
      </c>
      <c r="L547" t="n">
        <v>0.03</v>
      </c>
      <c r="M547">
        <f>J547*K547*L547</f>
        <v/>
      </c>
    </row>
    <row r="548">
      <c r="A548" t="inlineStr">
        <is>
          <t>SW Wing On</t>
        </is>
      </c>
      <c r="B548" t="inlineStr">
        <is>
          <t>SW Wing On</t>
        </is>
      </c>
      <c r="C548" t="inlineStr">
        <is>
          <t>Hazel</t>
        </is>
      </c>
      <c r="D548" t="inlineStr">
        <is>
          <t>2026-06</t>
        </is>
      </c>
      <c r="E548" t="inlineStr">
        <is>
          <t>2026-06-06 00:00:00</t>
        </is>
      </c>
      <c r="F548" t="inlineStr">
        <is>
          <t>Model-Input-Ref</t>
        </is>
      </c>
      <c r="G548" t="inlineStr">
        <is>
          <t>未分類 (單據新增)</t>
        </is>
      </c>
      <c r="I548" t="inlineStr"/>
      <c r="J548" t="n">
        <v>1</v>
      </c>
      <c r="K548" t="n">
        <v>1596</v>
      </c>
      <c r="L548" t="n">
        <v>0.03</v>
      </c>
      <c r="M548">
        <f>J548*K548*L548</f>
        <v/>
      </c>
    </row>
    <row r="549">
      <c r="A549" t="inlineStr">
        <is>
          <t>SW Wing On</t>
        </is>
      </c>
      <c r="B549" t="inlineStr">
        <is>
          <t>SW Wing On</t>
        </is>
      </c>
      <c r="C549" t="inlineStr">
        <is>
          <t>Hazel</t>
        </is>
      </c>
      <c r="D549" t="inlineStr">
        <is>
          <t>2026-06</t>
        </is>
      </c>
      <c r="E549" t="inlineStr">
        <is>
          <t>2026-06-06 00:00:00</t>
        </is>
      </c>
      <c r="F549" t="inlineStr">
        <is>
          <t>Model-Input-Ref</t>
        </is>
      </c>
      <c r="G549" t="inlineStr">
        <is>
          <t>未分類 (單據新增)</t>
        </is>
      </c>
      <c r="I549" t="inlineStr"/>
      <c r="J549" t="n">
        <v>1</v>
      </c>
      <c r="K549" t="n">
        <v>8988</v>
      </c>
      <c r="L549" t="n">
        <v>0.03</v>
      </c>
      <c r="M549">
        <f>J549*K549*L549</f>
        <v/>
      </c>
    </row>
    <row r="550">
      <c r="A550" t="inlineStr">
        <is>
          <t>SW Wing On</t>
        </is>
      </c>
      <c r="B550" t="inlineStr">
        <is>
          <t>SW Wing On</t>
        </is>
      </c>
      <c r="C550" t="inlineStr">
        <is>
          <t>Hazel</t>
        </is>
      </c>
      <c r="D550" t="inlineStr">
        <is>
          <t>2026-06</t>
        </is>
      </c>
      <c r="E550" t="inlineStr">
        <is>
          <t>2026-06-06 00:00:00</t>
        </is>
      </c>
      <c r="F550" t="inlineStr">
        <is>
          <t>Model-Input-Ref</t>
        </is>
      </c>
      <c r="G550" t="inlineStr">
        <is>
          <t>未分類 (單據新增)</t>
        </is>
      </c>
      <c r="I550" t="inlineStr"/>
      <c r="J550" t="n">
        <v>1</v>
      </c>
      <c r="K550" t="n">
        <v>598</v>
      </c>
      <c r="L550" t="n">
        <v>0.03</v>
      </c>
      <c r="M550">
        <f>J550*K550*L550</f>
        <v/>
      </c>
    </row>
    <row r="551">
      <c r="A551" t="inlineStr">
        <is>
          <t>SW Wing On</t>
        </is>
      </c>
      <c r="B551" t="inlineStr">
        <is>
          <t>SW Wing On</t>
        </is>
      </c>
      <c r="C551" t="inlineStr">
        <is>
          <t>Hazel</t>
        </is>
      </c>
      <c r="D551" t="inlineStr">
        <is>
          <t>2026-06</t>
        </is>
      </c>
      <c r="E551" t="inlineStr">
        <is>
          <t>2026-06-06 00:00:00</t>
        </is>
      </c>
      <c r="F551" t="inlineStr">
        <is>
          <t>Model-Input-Ref</t>
        </is>
      </c>
      <c r="G551" t="inlineStr">
        <is>
          <t>未分類 (單據新增)</t>
        </is>
      </c>
      <c r="I551" t="inlineStr"/>
      <c r="J551" t="n">
        <v>1</v>
      </c>
      <c r="K551" t="n">
        <v>638</v>
      </c>
      <c r="L551" t="n">
        <v>0.03</v>
      </c>
      <c r="M551">
        <f>J551*K551*L551</f>
        <v/>
      </c>
    </row>
    <row r="552">
      <c r="A552" t="inlineStr">
        <is>
          <t>SW Wing On</t>
        </is>
      </c>
      <c r="B552" t="inlineStr">
        <is>
          <t>SW Wing On</t>
        </is>
      </c>
      <c r="C552" t="inlineStr">
        <is>
          <t>Hazel</t>
        </is>
      </c>
      <c r="D552" t="inlineStr">
        <is>
          <t>2026-06</t>
        </is>
      </c>
      <c r="E552" t="inlineStr">
        <is>
          <t>2026-06-06 00:00:00</t>
        </is>
      </c>
      <c r="F552" t="inlineStr">
        <is>
          <t>Model-Input-Ref</t>
        </is>
      </c>
      <c r="G552" t="inlineStr">
        <is>
          <t>未分類 (單據新增)</t>
        </is>
      </c>
      <c r="I552" t="inlineStr"/>
      <c r="J552" t="n">
        <v>1</v>
      </c>
      <c r="K552" t="n">
        <v>568</v>
      </c>
      <c r="L552" t="n">
        <v>0.03</v>
      </c>
      <c r="M552">
        <f>J552*K552*L552</f>
        <v/>
      </c>
    </row>
    <row r="553">
      <c r="A553" t="inlineStr">
        <is>
          <t>SW Wing On</t>
        </is>
      </c>
      <c r="B553" t="inlineStr">
        <is>
          <t>SW Wing On</t>
        </is>
      </c>
      <c r="C553" t="inlineStr">
        <is>
          <t>Hazel</t>
        </is>
      </c>
      <c r="D553" t="inlineStr">
        <is>
          <t>2026-06</t>
        </is>
      </c>
      <c r="E553" t="inlineStr">
        <is>
          <t>2026-06-06 00:00:00</t>
        </is>
      </c>
      <c r="F553" t="inlineStr">
        <is>
          <t>Model-Input-Ref</t>
        </is>
      </c>
      <c r="G553" t="inlineStr">
        <is>
          <t>未分類 (單據新增)</t>
        </is>
      </c>
      <c r="I553" t="inlineStr"/>
      <c r="J553" t="n">
        <v>1</v>
      </c>
      <c r="K553" t="n">
        <v>598</v>
      </c>
      <c r="L553" t="n">
        <v>0.03</v>
      </c>
      <c r="M553">
        <f>J553*K553*L553</f>
        <v/>
      </c>
    </row>
    <row r="554">
      <c r="A554" t="inlineStr">
        <is>
          <t>SW Wing On</t>
        </is>
      </c>
      <c r="B554" t="inlineStr">
        <is>
          <t>SW Wing On</t>
        </is>
      </c>
      <c r="C554" t="inlineStr">
        <is>
          <t>Hazel</t>
        </is>
      </c>
      <c r="D554" t="inlineStr">
        <is>
          <t>2026-06</t>
        </is>
      </c>
      <c r="E554" t="inlineStr">
        <is>
          <t>2026-06-06 00:00:00</t>
        </is>
      </c>
      <c r="F554" t="inlineStr">
        <is>
          <t>Model-Input-Ref</t>
        </is>
      </c>
      <c r="G554" t="inlineStr">
        <is>
          <t>未分類 (單據新增)</t>
        </is>
      </c>
      <c r="I554" t="inlineStr"/>
      <c r="J554" t="n">
        <v>1</v>
      </c>
      <c r="K554" t="n">
        <v>1498</v>
      </c>
      <c r="L554" t="n">
        <v>0.03</v>
      </c>
      <c r="M554">
        <f>J554*K554*L554</f>
        <v/>
      </c>
    </row>
    <row r="555">
      <c r="A555" t="inlineStr">
        <is>
          <t>SW Wing On</t>
        </is>
      </c>
      <c r="B555" t="inlineStr">
        <is>
          <t>SW Wing On</t>
        </is>
      </c>
      <c r="C555" t="inlineStr">
        <is>
          <t>Hazel</t>
        </is>
      </c>
      <c r="D555" t="inlineStr">
        <is>
          <t>2026-06</t>
        </is>
      </c>
      <c r="E555" t="inlineStr">
        <is>
          <t>2026-06-06 00:00:00</t>
        </is>
      </c>
      <c r="F555" t="inlineStr">
        <is>
          <t>Model-Input-Ref</t>
        </is>
      </c>
      <c r="G555" t="inlineStr">
        <is>
          <t>未分類 (單據新增)</t>
        </is>
      </c>
      <c r="I555" t="inlineStr"/>
      <c r="J555" t="n">
        <v>1</v>
      </c>
      <c r="K555" t="n">
        <v>1768</v>
      </c>
      <c r="L555" t="n">
        <v>0.03</v>
      </c>
      <c r="M555">
        <f>J555*K555*L555</f>
        <v/>
      </c>
    </row>
    <row r="556">
      <c r="A556" t="inlineStr">
        <is>
          <t>SW Wing On</t>
        </is>
      </c>
      <c r="B556" t="inlineStr">
        <is>
          <t>SW Wing On</t>
        </is>
      </c>
      <c r="C556" t="inlineStr">
        <is>
          <t>Hazel</t>
        </is>
      </c>
      <c r="D556" t="inlineStr">
        <is>
          <t>2026-06</t>
        </is>
      </c>
      <c r="E556" t="inlineStr">
        <is>
          <t>2026-06-06 00:00:00</t>
        </is>
      </c>
      <c r="F556" t="inlineStr">
        <is>
          <t>Model-Input-Ref</t>
        </is>
      </c>
      <c r="G556" t="inlineStr">
        <is>
          <t>未分類 (單據新增)</t>
        </is>
      </c>
      <c r="I556" t="inlineStr"/>
      <c r="J556" t="n">
        <v>1</v>
      </c>
      <c r="K556" t="n">
        <v>268.2</v>
      </c>
      <c r="L556" t="n">
        <v>0.03</v>
      </c>
      <c r="M556">
        <f>J556*K556*L556</f>
        <v/>
      </c>
    </row>
    <row r="557">
      <c r="A557" t="inlineStr">
        <is>
          <t>SW Wing On</t>
        </is>
      </c>
      <c r="B557" t="inlineStr">
        <is>
          <t>SW Wing On</t>
        </is>
      </c>
      <c r="C557" t="inlineStr">
        <is>
          <t>Hazel</t>
        </is>
      </c>
      <c r="D557" t="inlineStr">
        <is>
          <t>2026-06</t>
        </is>
      </c>
      <c r="E557" t="inlineStr">
        <is>
          <t>2026-06-06 00:00:00</t>
        </is>
      </c>
      <c r="F557" t="inlineStr">
        <is>
          <t>Model-Input-Ref</t>
        </is>
      </c>
      <c r="G557" t="inlineStr">
        <is>
          <t>未分類 (單據新增)</t>
        </is>
      </c>
      <c r="I557" t="inlineStr"/>
      <c r="J557" t="n">
        <v>1</v>
      </c>
      <c r="K557" t="n">
        <v>1276</v>
      </c>
      <c r="L557" t="n">
        <v>0.03</v>
      </c>
      <c r="M557">
        <f>J557*K557*L557</f>
        <v/>
      </c>
    </row>
    <row r="558">
      <c r="A558" t="inlineStr">
        <is>
          <t>SW Wing On</t>
        </is>
      </c>
      <c r="B558" t="inlineStr">
        <is>
          <t>SW Wing On</t>
        </is>
      </c>
      <c r="C558" t="inlineStr">
        <is>
          <t>Hazel</t>
        </is>
      </c>
      <c r="D558" t="inlineStr">
        <is>
          <t>2026-06</t>
        </is>
      </c>
      <c r="E558" t="inlineStr">
        <is>
          <t>2026-06-06 00:00:00</t>
        </is>
      </c>
      <c r="F558" t="inlineStr">
        <is>
          <t>Model-Input-Ref</t>
        </is>
      </c>
      <c r="G558" t="inlineStr">
        <is>
          <t>未分類 (單據新增)</t>
        </is>
      </c>
      <c r="I558" t="inlineStr"/>
      <c r="J558" t="n">
        <v>1</v>
      </c>
      <c r="K558" t="n">
        <v>808.2</v>
      </c>
      <c r="L558" t="n">
        <v>0.03</v>
      </c>
      <c r="M558">
        <f>J558*K558*L558</f>
        <v/>
      </c>
    </row>
    <row r="559">
      <c r="A559" t="inlineStr">
        <is>
          <t>SW Wing On</t>
        </is>
      </c>
      <c r="B559" t="inlineStr">
        <is>
          <t>SW Wing On</t>
        </is>
      </c>
      <c r="C559" t="inlineStr">
        <is>
          <t>Hazel</t>
        </is>
      </c>
      <c r="D559" t="inlineStr">
        <is>
          <t>2026-06</t>
        </is>
      </c>
      <c r="E559" t="inlineStr">
        <is>
          <t>2026-06-06 00:00:00</t>
        </is>
      </c>
      <c r="F559" t="inlineStr">
        <is>
          <t>Model-Input-Ref</t>
        </is>
      </c>
      <c r="G559" t="inlineStr">
        <is>
          <t>未分類 (單據新增)</t>
        </is>
      </c>
      <c r="I559" t="inlineStr"/>
      <c r="J559" t="n">
        <v>1</v>
      </c>
      <c r="K559" t="n">
        <v>578</v>
      </c>
      <c r="L559" t="n">
        <v>0.03</v>
      </c>
      <c r="M559">
        <f>J559*K559*L559</f>
        <v/>
      </c>
    </row>
    <row r="560">
      <c r="A560" t="inlineStr">
        <is>
          <t>SW Wing On</t>
        </is>
      </c>
      <c r="B560" t="inlineStr">
        <is>
          <t>SW Wing On</t>
        </is>
      </c>
      <c r="C560" t="inlineStr">
        <is>
          <t>Hazel</t>
        </is>
      </c>
      <c r="D560" t="inlineStr">
        <is>
          <t>2026-06</t>
        </is>
      </c>
      <c r="E560" t="inlineStr">
        <is>
          <t>2026-06-06 00:00:00</t>
        </is>
      </c>
      <c r="F560" t="inlineStr">
        <is>
          <t>Model-Input-Ref</t>
        </is>
      </c>
      <c r="G560" t="inlineStr">
        <is>
          <t>未分類 (單據新增)</t>
        </is>
      </c>
      <c r="I560" t="inlineStr"/>
      <c r="J560" t="n">
        <v>1</v>
      </c>
      <c r="K560" t="n">
        <v>196.2</v>
      </c>
      <c r="L560" t="n">
        <v>0.03</v>
      </c>
      <c r="M560">
        <f>J560*K560*L560</f>
        <v/>
      </c>
    </row>
    <row r="561">
      <c r="A561" t="inlineStr">
        <is>
          <t>SW Wing On</t>
        </is>
      </c>
      <c r="B561" t="inlineStr">
        <is>
          <t>SW Wing On</t>
        </is>
      </c>
      <c r="C561" t="inlineStr">
        <is>
          <t>Hazel</t>
        </is>
      </c>
      <c r="D561" t="inlineStr">
        <is>
          <t>2026-06</t>
        </is>
      </c>
      <c r="E561" t="inlineStr">
        <is>
          <t>2026-06-06 00:00:00</t>
        </is>
      </c>
      <c r="F561" t="inlineStr">
        <is>
          <t>Model-Input-Ref</t>
        </is>
      </c>
      <c r="G561" t="inlineStr">
        <is>
          <t>未分類 (單據新增)</t>
        </is>
      </c>
      <c r="I561" t="inlineStr"/>
      <c r="J561" t="n">
        <v>1</v>
      </c>
      <c r="K561" t="n">
        <v>214.2</v>
      </c>
      <c r="L561" t="n">
        <v>0.03</v>
      </c>
      <c r="M561">
        <f>J561*K561*L561</f>
        <v/>
      </c>
    </row>
    <row r="562">
      <c r="A562" t="inlineStr">
        <is>
          <t>SW Wing On</t>
        </is>
      </c>
      <c r="B562" t="inlineStr">
        <is>
          <t>SW Wing On</t>
        </is>
      </c>
      <c r="C562" t="inlineStr">
        <is>
          <t>Hazel</t>
        </is>
      </c>
      <c r="D562" t="inlineStr">
        <is>
          <t>2026-06</t>
        </is>
      </c>
      <c r="E562" t="inlineStr">
        <is>
          <t>2026-06-06 00:00:00</t>
        </is>
      </c>
      <c r="F562" t="inlineStr">
        <is>
          <t>Model-Input-Ref</t>
        </is>
      </c>
      <c r="G562" t="inlineStr">
        <is>
          <t>未分類 (單據新增)</t>
        </is>
      </c>
      <c r="I562" t="inlineStr"/>
      <c r="J562" t="n">
        <v>1</v>
      </c>
      <c r="K562" t="n">
        <v>868</v>
      </c>
      <c r="L562" t="n">
        <v>0.03</v>
      </c>
      <c r="M562">
        <f>J562*K562*L562</f>
        <v/>
      </c>
    </row>
    <row r="563">
      <c r="A563" t="inlineStr">
        <is>
          <t>SW Wing On</t>
        </is>
      </c>
      <c r="B563" t="inlineStr">
        <is>
          <t>SW Wing On</t>
        </is>
      </c>
      <c r="C563" t="inlineStr">
        <is>
          <t>Hazel</t>
        </is>
      </c>
      <c r="D563" t="inlineStr">
        <is>
          <t>2026-06</t>
        </is>
      </c>
      <c r="E563" t="inlineStr">
        <is>
          <t>2026-06-13 00:00:00</t>
        </is>
      </c>
      <c r="F563" t="inlineStr">
        <is>
          <t>Model-Input-Ref</t>
        </is>
      </c>
      <c r="G563" t="inlineStr">
        <is>
          <t>未分類 (單據新增)</t>
        </is>
      </c>
      <c r="I563" t="inlineStr"/>
      <c r="J563" t="n">
        <v>1</v>
      </c>
      <c r="K563" t="n">
        <v>498</v>
      </c>
      <c r="L563" t="n">
        <v>0.03</v>
      </c>
      <c r="M563">
        <f>J563*K563*L563</f>
        <v/>
      </c>
    </row>
    <row r="564">
      <c r="A564" t="inlineStr">
        <is>
          <t>SW Wing On</t>
        </is>
      </c>
      <c r="B564" t="inlineStr">
        <is>
          <t>SW Wing On</t>
        </is>
      </c>
      <c r="C564" t="inlineStr">
        <is>
          <t>Hazel</t>
        </is>
      </c>
      <c r="D564" t="inlineStr">
        <is>
          <t>2026-06</t>
        </is>
      </c>
      <c r="E564" t="inlineStr">
        <is>
          <t>2026-06-13 00:00:00</t>
        </is>
      </c>
      <c r="F564" t="inlineStr">
        <is>
          <t>Model-Input-Ref</t>
        </is>
      </c>
      <c r="G564" t="inlineStr">
        <is>
          <t>未分類 (單據新增)</t>
        </is>
      </c>
      <c r="I564" t="inlineStr"/>
      <c r="J564" t="n">
        <v>1</v>
      </c>
      <c r="K564" t="n">
        <v>868</v>
      </c>
      <c r="L564" t="n">
        <v>0.03</v>
      </c>
      <c r="M564">
        <f>J564*K564*L564</f>
        <v/>
      </c>
    </row>
    <row r="565">
      <c r="A565" t="inlineStr">
        <is>
          <t>SW Wing On</t>
        </is>
      </c>
      <c r="B565" t="inlineStr">
        <is>
          <t>SW Wing On</t>
        </is>
      </c>
      <c r="C565" t="inlineStr">
        <is>
          <t>Hazel</t>
        </is>
      </c>
      <c r="D565" t="inlineStr">
        <is>
          <t>2026-06</t>
        </is>
      </c>
      <c r="E565" t="inlineStr">
        <is>
          <t>2026-06-13 00:00:00</t>
        </is>
      </c>
      <c r="F565" t="inlineStr">
        <is>
          <t>Model-Input-Ref</t>
        </is>
      </c>
      <c r="G565" t="inlineStr">
        <is>
          <t>未分類 (單據新增)</t>
        </is>
      </c>
      <c r="I565" t="inlineStr"/>
      <c r="J565" t="n">
        <v>1</v>
      </c>
      <c r="K565" t="n">
        <v>1914</v>
      </c>
      <c r="L565" t="n">
        <v>0.03</v>
      </c>
      <c r="M565">
        <f>J565*K565*L565</f>
        <v/>
      </c>
    </row>
    <row r="566">
      <c r="A566" t="inlineStr">
        <is>
          <t>SW Wing On</t>
        </is>
      </c>
      <c r="B566" t="inlineStr">
        <is>
          <t>SW Wing On</t>
        </is>
      </c>
      <c r="C566" t="inlineStr">
        <is>
          <t>Hazel</t>
        </is>
      </c>
      <c r="D566" t="inlineStr">
        <is>
          <t>2026-06</t>
        </is>
      </c>
      <c r="E566" t="inlineStr">
        <is>
          <t>2026-06-13 00:00:00</t>
        </is>
      </c>
      <c r="F566" t="inlineStr">
        <is>
          <t>Model-Input-Ref</t>
        </is>
      </c>
      <c r="G566" t="inlineStr">
        <is>
          <t>未分類 (單據新增)</t>
        </is>
      </c>
      <c r="I566" t="inlineStr"/>
      <c r="J566" t="n">
        <v>1</v>
      </c>
      <c r="K566" t="n">
        <v>798</v>
      </c>
      <c r="L566" t="n">
        <v>0.03</v>
      </c>
      <c r="M566">
        <f>J566*K566*L566</f>
        <v/>
      </c>
    </row>
    <row r="567">
      <c r="A567" t="inlineStr">
        <is>
          <t>SW Wing On</t>
        </is>
      </c>
      <c r="B567" t="inlineStr">
        <is>
          <t>SW Wing On</t>
        </is>
      </c>
      <c r="C567" t="inlineStr">
        <is>
          <t>Hazel</t>
        </is>
      </c>
      <c r="D567" t="inlineStr">
        <is>
          <t>2026-06</t>
        </is>
      </c>
      <c r="E567" t="inlineStr">
        <is>
          <t>2026-06-13 00:00:00</t>
        </is>
      </c>
      <c r="F567" t="inlineStr">
        <is>
          <t>Model-Input-Ref</t>
        </is>
      </c>
      <c r="G567" t="inlineStr">
        <is>
          <t>未分類 (單據新增)</t>
        </is>
      </c>
      <c r="I567" t="inlineStr"/>
      <c r="J567" t="n">
        <v>1</v>
      </c>
      <c r="K567" t="n">
        <v>598</v>
      </c>
      <c r="L567" t="n">
        <v>0.03</v>
      </c>
      <c r="M567">
        <f>J567*K567*L567</f>
        <v/>
      </c>
    </row>
    <row r="568">
      <c r="A568" t="inlineStr">
        <is>
          <t>SW Wing On</t>
        </is>
      </c>
      <c r="B568" t="inlineStr">
        <is>
          <t>SW Wing On</t>
        </is>
      </c>
      <c r="C568" t="inlineStr">
        <is>
          <t>Hazel</t>
        </is>
      </c>
      <c r="D568" t="inlineStr">
        <is>
          <t>2026-06</t>
        </is>
      </c>
      <c r="E568" t="inlineStr">
        <is>
          <t>2026-06-13 00:00:00</t>
        </is>
      </c>
      <c r="F568" t="inlineStr">
        <is>
          <t>Model-Input-Ref</t>
        </is>
      </c>
      <c r="G568" t="inlineStr">
        <is>
          <t>未分類 (單據新增)</t>
        </is>
      </c>
      <c r="I568" t="inlineStr"/>
      <c r="J568" t="n">
        <v>1</v>
      </c>
      <c r="K568" t="n">
        <v>464</v>
      </c>
      <c r="L568" t="n">
        <v>0.03</v>
      </c>
      <c r="M568">
        <f>J568*K568*L568</f>
        <v/>
      </c>
    </row>
    <row r="569">
      <c r="A569" t="inlineStr">
        <is>
          <t>SW Wing On</t>
        </is>
      </c>
      <c r="B569" t="inlineStr">
        <is>
          <t>SW Wing On</t>
        </is>
      </c>
      <c r="C569" t="inlineStr">
        <is>
          <t>Hazel</t>
        </is>
      </c>
      <c r="D569" t="inlineStr">
        <is>
          <t>2026-06</t>
        </is>
      </c>
      <c r="E569" t="inlineStr">
        <is>
          <t>2026-06-13 00:00:00</t>
        </is>
      </c>
      <c r="F569" t="inlineStr">
        <is>
          <t>Model-Input-Ref</t>
        </is>
      </c>
      <c r="G569" t="inlineStr">
        <is>
          <t>未分類 (單據新增)</t>
        </is>
      </c>
      <c r="I569" t="inlineStr"/>
      <c r="J569" t="n">
        <v>1</v>
      </c>
      <c r="K569" t="n">
        <v>1506</v>
      </c>
      <c r="L569" t="n">
        <v>0.03</v>
      </c>
      <c r="M569">
        <f>J569*K569*L569</f>
        <v/>
      </c>
    </row>
    <row r="570">
      <c r="A570" t="inlineStr">
        <is>
          <t>SW Wing On</t>
        </is>
      </c>
      <c r="B570" t="inlineStr">
        <is>
          <t>SW Wing On</t>
        </is>
      </c>
      <c r="C570" t="inlineStr">
        <is>
          <t>Hazel</t>
        </is>
      </c>
      <c r="D570" t="inlineStr">
        <is>
          <t>2026-06</t>
        </is>
      </c>
      <c r="E570" t="inlineStr">
        <is>
          <t>2026-06-13 00:00:00</t>
        </is>
      </c>
      <c r="F570" t="inlineStr">
        <is>
          <t>Model-Input-Ref</t>
        </is>
      </c>
      <c r="G570" t="inlineStr">
        <is>
          <t>未分類 (單據新增)</t>
        </is>
      </c>
      <c r="I570" t="inlineStr"/>
      <c r="J570" t="n">
        <v>1</v>
      </c>
      <c r="K570" t="n">
        <v>808.2</v>
      </c>
      <c r="L570" t="n">
        <v>0.03</v>
      </c>
      <c r="M570">
        <f>J570*K570*L570</f>
        <v/>
      </c>
    </row>
    <row r="571">
      <c r="A571" t="inlineStr">
        <is>
          <t>SW Wing On</t>
        </is>
      </c>
      <c r="B571" t="inlineStr">
        <is>
          <t>SW Wing On</t>
        </is>
      </c>
      <c r="C571" t="inlineStr">
        <is>
          <t>Hazel</t>
        </is>
      </c>
      <c r="D571" t="inlineStr">
        <is>
          <t>2026-06</t>
        </is>
      </c>
      <c r="E571" t="inlineStr">
        <is>
          <t>2026-06-13 00:00:00</t>
        </is>
      </c>
      <c r="F571" t="inlineStr">
        <is>
          <t>Model-Input-Ref</t>
        </is>
      </c>
      <c r="G571" t="inlineStr">
        <is>
          <t>未分類 (單據新增)</t>
        </is>
      </c>
      <c r="I571" t="inlineStr"/>
      <c r="J571" t="n">
        <v>1</v>
      </c>
      <c r="K571" t="n">
        <v>358</v>
      </c>
      <c r="L571" t="n">
        <v>0.03</v>
      </c>
      <c r="M571">
        <f>J571*K571*L571</f>
        <v/>
      </c>
    </row>
    <row r="572">
      <c r="A572" t="inlineStr">
        <is>
          <t>SW Wing On</t>
        </is>
      </c>
      <c r="B572" t="inlineStr">
        <is>
          <t>SW Wing On</t>
        </is>
      </c>
      <c r="C572" t="inlineStr">
        <is>
          <t>Hazel</t>
        </is>
      </c>
      <c r="D572" t="inlineStr">
        <is>
          <t>2026-06</t>
        </is>
      </c>
      <c r="E572" t="inlineStr">
        <is>
          <t>2026-06-13 00:00:00</t>
        </is>
      </c>
      <c r="F572" t="inlineStr">
        <is>
          <t>Model-Input-Ref</t>
        </is>
      </c>
      <c r="G572" t="inlineStr">
        <is>
          <t>未分類 (單據新增)</t>
        </is>
      </c>
      <c r="I572" t="inlineStr"/>
      <c r="J572" t="n">
        <v>1</v>
      </c>
      <c r="K572" t="n">
        <v>898</v>
      </c>
      <c r="L572" t="n">
        <v>0.03</v>
      </c>
      <c r="M572">
        <f>J572*K572*L572</f>
        <v/>
      </c>
    </row>
    <row r="573">
      <c r="A573" t="inlineStr">
        <is>
          <t>SW Wing On</t>
        </is>
      </c>
      <c r="B573" t="inlineStr">
        <is>
          <t>SW Wing On</t>
        </is>
      </c>
      <c r="C573" t="inlineStr">
        <is>
          <t>Hazel</t>
        </is>
      </c>
      <c r="D573" t="inlineStr">
        <is>
          <t>2026-06</t>
        </is>
      </c>
      <c r="E573" t="inlineStr">
        <is>
          <t>2026-06-13 00:00:00</t>
        </is>
      </c>
      <c r="F573" t="inlineStr">
        <is>
          <t>Model-Input-Ref</t>
        </is>
      </c>
      <c r="G573" t="inlineStr">
        <is>
          <t>未分類 (單據新增)</t>
        </is>
      </c>
      <c r="I573" t="inlineStr"/>
      <c r="J573" t="n">
        <v>1</v>
      </c>
      <c r="K573" t="n">
        <v>868</v>
      </c>
      <c r="L573" t="n">
        <v>0.03</v>
      </c>
      <c r="M573">
        <f>J573*K573*L573</f>
        <v/>
      </c>
    </row>
    <row r="574">
      <c r="A574" t="inlineStr">
        <is>
          <t>SW Wing On</t>
        </is>
      </c>
      <c r="B574" t="inlineStr">
        <is>
          <t>SW Wing On</t>
        </is>
      </c>
      <c r="C574" t="inlineStr">
        <is>
          <t>Hazel</t>
        </is>
      </c>
      <c r="D574" t="inlineStr">
        <is>
          <t>2026-06</t>
        </is>
      </c>
      <c r="E574" t="inlineStr">
        <is>
          <t>2026-06-13 00:00:00</t>
        </is>
      </c>
      <c r="F574" t="inlineStr">
        <is>
          <t>Model-Input-Ref</t>
        </is>
      </c>
      <c r="G574" t="inlineStr">
        <is>
          <t>未分類 (單據新增)</t>
        </is>
      </c>
      <c r="I574" t="inlineStr"/>
      <c r="J574" t="n">
        <v>1</v>
      </c>
      <c r="K574" t="n">
        <v>638</v>
      </c>
      <c r="L574" t="n">
        <v>0.03</v>
      </c>
      <c r="M574">
        <f>J574*K574*L574</f>
        <v/>
      </c>
    </row>
    <row r="575">
      <c r="A575" t="inlineStr">
        <is>
          <t>SW Wing On</t>
        </is>
      </c>
      <c r="B575" t="inlineStr">
        <is>
          <t>SW Wing On</t>
        </is>
      </c>
      <c r="C575" t="inlineStr">
        <is>
          <t>Hazel</t>
        </is>
      </c>
      <c r="D575" t="inlineStr">
        <is>
          <t>2026-06</t>
        </is>
      </c>
      <c r="E575" t="inlineStr">
        <is>
          <t>2026-06-13 00:00:00</t>
        </is>
      </c>
      <c r="F575" t="inlineStr">
        <is>
          <t>Model-Input-Ref</t>
        </is>
      </c>
      <c r="G575" t="inlineStr">
        <is>
          <t>未分類 (單據新增)</t>
        </is>
      </c>
      <c r="I575" t="inlineStr"/>
      <c r="J575" t="n">
        <v>1</v>
      </c>
      <c r="K575" t="n">
        <v>798</v>
      </c>
      <c r="L575" t="n">
        <v>0.03</v>
      </c>
      <c r="M575">
        <f>J575*K575*L575</f>
        <v/>
      </c>
    </row>
    <row r="576">
      <c r="A576" t="inlineStr">
        <is>
          <t>SW Wing On</t>
        </is>
      </c>
      <c r="B576" t="inlineStr">
        <is>
          <t>SW Wing On</t>
        </is>
      </c>
      <c r="C576" t="inlineStr">
        <is>
          <t>Hazel</t>
        </is>
      </c>
      <c r="D576" t="inlineStr">
        <is>
          <t>2026-06</t>
        </is>
      </c>
      <c r="E576" t="inlineStr">
        <is>
          <t>2026-06-13 00:00:00</t>
        </is>
      </c>
      <c r="F576" t="inlineStr">
        <is>
          <t>Model-Input-Ref</t>
        </is>
      </c>
      <c r="G576" t="inlineStr">
        <is>
          <t>未分類 (單據新增)</t>
        </is>
      </c>
      <c r="I576" t="inlineStr"/>
      <c r="J576" t="n">
        <v>1</v>
      </c>
      <c r="K576" t="n">
        <v>808.2</v>
      </c>
      <c r="L576" t="n">
        <v>0.03</v>
      </c>
      <c r="M576">
        <f>J576*K576*L576</f>
        <v/>
      </c>
    </row>
    <row r="577">
      <c r="A577" t="inlineStr">
        <is>
          <t>SW Wing On</t>
        </is>
      </c>
      <c r="B577" t="inlineStr">
        <is>
          <t>SW Wing On</t>
        </is>
      </c>
      <c r="C577" t="inlineStr">
        <is>
          <t>Hazel</t>
        </is>
      </c>
      <c r="D577" t="inlineStr">
        <is>
          <t>2026-06</t>
        </is>
      </c>
      <c r="E577" t="inlineStr">
        <is>
          <t>2026-06-13 00:00:00</t>
        </is>
      </c>
      <c r="F577" t="inlineStr">
        <is>
          <t>Model-Input-Ref</t>
        </is>
      </c>
      <c r="G577" t="inlineStr">
        <is>
          <t>未分類 (單據新增)</t>
        </is>
      </c>
      <c r="I577" t="inlineStr"/>
      <c r="J577" t="n">
        <v>1</v>
      </c>
      <c r="K577" t="n">
        <v>1276</v>
      </c>
      <c r="L577" t="n">
        <v>0.03</v>
      </c>
      <c r="M577">
        <f>J577*K577*L577</f>
        <v/>
      </c>
    </row>
    <row r="578">
      <c r="A578" t="inlineStr">
        <is>
          <t>SW Wing On</t>
        </is>
      </c>
      <c r="B578" t="inlineStr">
        <is>
          <t>SW Wing On</t>
        </is>
      </c>
      <c r="C578" t="inlineStr">
        <is>
          <t>Hazel</t>
        </is>
      </c>
      <c r="D578" t="inlineStr">
        <is>
          <t>2026-06</t>
        </is>
      </c>
      <c r="E578" t="inlineStr">
        <is>
          <t>2026-06-13 00:00:00</t>
        </is>
      </c>
      <c r="F578" t="inlineStr">
        <is>
          <t>Model-Input-Ref</t>
        </is>
      </c>
      <c r="G578" t="inlineStr">
        <is>
          <t>未分類 (單據新增)</t>
        </is>
      </c>
      <c r="I578" t="inlineStr"/>
      <c r="J578" t="n">
        <v>1</v>
      </c>
      <c r="K578" t="n">
        <v>798</v>
      </c>
      <c r="L578" t="n">
        <v>0.03</v>
      </c>
      <c r="M578">
        <f>J578*K578*L578</f>
        <v/>
      </c>
    </row>
    <row r="579">
      <c r="A579" t="inlineStr">
        <is>
          <t>SW Wing On</t>
        </is>
      </c>
      <c r="B579" t="inlineStr">
        <is>
          <t>SW Wing On</t>
        </is>
      </c>
      <c r="C579" t="inlineStr">
        <is>
          <t>Hazel</t>
        </is>
      </c>
      <c r="D579" t="inlineStr">
        <is>
          <t>2026-06</t>
        </is>
      </c>
      <c r="E579" t="inlineStr">
        <is>
          <t>2026-06-13 00:00:00</t>
        </is>
      </c>
      <c r="F579" t="inlineStr">
        <is>
          <t>Model-Input-Ref</t>
        </is>
      </c>
      <c r="G579" t="inlineStr">
        <is>
          <t>未分類 (單據新增)</t>
        </is>
      </c>
      <c r="I579" t="inlineStr"/>
      <c r="J579" t="n">
        <v>1</v>
      </c>
      <c r="K579" t="n">
        <v>498</v>
      </c>
      <c r="L579" t="n">
        <v>0.03</v>
      </c>
      <c r="M579">
        <f>J579*K579*L579</f>
        <v/>
      </c>
    </row>
    <row r="580">
      <c r="A580" t="inlineStr">
        <is>
          <t>SW Wing On</t>
        </is>
      </c>
      <c r="B580" t="inlineStr">
        <is>
          <t>SW Wing On</t>
        </is>
      </c>
      <c r="C580" t="inlineStr">
        <is>
          <t>Hazel</t>
        </is>
      </c>
      <c r="D580" t="inlineStr">
        <is>
          <t>2026-06</t>
        </is>
      </c>
      <c r="E580" t="inlineStr">
        <is>
          <t>2026-06-13 00:00:00</t>
        </is>
      </c>
      <c r="F580" t="inlineStr">
        <is>
          <t>Model-Input-Ref</t>
        </is>
      </c>
      <c r="G580" t="inlineStr">
        <is>
          <t>未分類 (單據新增)</t>
        </is>
      </c>
      <c r="I580" t="inlineStr"/>
      <c r="J580" t="n">
        <v>1</v>
      </c>
      <c r="K580" t="n">
        <v>250</v>
      </c>
      <c r="L580" t="n">
        <v>0.03</v>
      </c>
      <c r="M580">
        <f>J580*K580*L580</f>
        <v/>
      </c>
    </row>
    <row r="581">
      <c r="A581" t="inlineStr">
        <is>
          <t>SW Wing On</t>
        </is>
      </c>
      <c r="B581" t="inlineStr">
        <is>
          <t>SW Wing On</t>
        </is>
      </c>
      <c r="C581" t="inlineStr">
        <is>
          <t>Hazel</t>
        </is>
      </c>
      <c r="D581" t="inlineStr">
        <is>
          <t>2026-06</t>
        </is>
      </c>
      <c r="E581" t="inlineStr">
        <is>
          <t>2026-06-13 00:00:00</t>
        </is>
      </c>
      <c r="F581" t="inlineStr">
        <is>
          <t>Model-Input-Ref</t>
        </is>
      </c>
      <c r="G581" t="inlineStr">
        <is>
          <t>未分類 (單據新增)</t>
        </is>
      </c>
      <c r="I581" t="inlineStr"/>
      <c r="J581" t="n">
        <v>1</v>
      </c>
      <c r="K581" t="n">
        <v>1156</v>
      </c>
      <c r="L581" t="n">
        <v>0.03</v>
      </c>
      <c r="M581">
        <f>J581*K581*L581</f>
        <v/>
      </c>
    </row>
    <row r="582">
      <c r="A582" t="inlineStr">
        <is>
          <t>SW Wing On</t>
        </is>
      </c>
      <c r="B582" t="inlineStr">
        <is>
          <t>SW Wing On</t>
        </is>
      </c>
      <c r="C582" t="inlineStr">
        <is>
          <t>Hazel</t>
        </is>
      </c>
      <c r="D582" t="inlineStr">
        <is>
          <t>2026-06</t>
        </is>
      </c>
      <c r="E582" t="inlineStr">
        <is>
          <t>2026-06-13 00:00:00</t>
        </is>
      </c>
      <c r="F582" t="inlineStr">
        <is>
          <t>Model-Input-Ref</t>
        </is>
      </c>
      <c r="G582" t="inlineStr">
        <is>
          <t>未分類 (單據新增)</t>
        </is>
      </c>
      <c r="I582" t="inlineStr"/>
      <c r="J582" t="n">
        <v>1</v>
      </c>
      <c r="K582" t="n">
        <v>150</v>
      </c>
      <c r="L582" t="n">
        <v>0.03</v>
      </c>
      <c r="M582">
        <f>J582*K582*L582</f>
        <v/>
      </c>
    </row>
    <row r="583">
      <c r="A583" t="inlineStr">
        <is>
          <t>SW Wing On</t>
        </is>
      </c>
      <c r="B583" t="inlineStr">
        <is>
          <t>SW Wing On</t>
        </is>
      </c>
      <c r="C583" t="inlineStr">
        <is>
          <t>Hazel</t>
        </is>
      </c>
      <c r="D583" t="inlineStr">
        <is>
          <t>2026-06</t>
        </is>
      </c>
      <c r="E583" t="inlineStr">
        <is>
          <t>2026-06-13 00:00:00</t>
        </is>
      </c>
      <c r="F583" t="inlineStr">
        <is>
          <t>Model-Input-Ref</t>
        </is>
      </c>
      <c r="G583" t="inlineStr">
        <is>
          <t>未分類 (單據新增)</t>
        </is>
      </c>
      <c r="I583" t="inlineStr"/>
      <c r="J583" t="n">
        <v>1</v>
      </c>
      <c r="K583" t="n">
        <v>638</v>
      </c>
      <c r="L583" t="n">
        <v>0.03</v>
      </c>
      <c r="M583">
        <f>J583*K583*L583</f>
        <v/>
      </c>
    </row>
    <row r="584">
      <c r="A584" t="inlineStr">
        <is>
          <t>SW Wing On</t>
        </is>
      </c>
      <c r="B584" t="inlineStr">
        <is>
          <t>SW Wing On</t>
        </is>
      </c>
      <c r="C584" t="inlineStr">
        <is>
          <t>Hazel</t>
        </is>
      </c>
      <c r="D584" t="inlineStr">
        <is>
          <t>2026-06</t>
        </is>
      </c>
      <c r="E584" t="inlineStr">
        <is>
          <t>2026-06-13 00:00:00</t>
        </is>
      </c>
      <c r="F584" t="inlineStr">
        <is>
          <t>Model-Input-Ref</t>
        </is>
      </c>
      <c r="G584" t="inlineStr">
        <is>
          <t>未分類 (單據新增)</t>
        </is>
      </c>
      <c r="I584" t="inlineStr"/>
      <c r="J584" t="n">
        <v>1</v>
      </c>
      <c r="K584" t="n">
        <v>996</v>
      </c>
      <c r="L584" t="n">
        <v>0.03</v>
      </c>
      <c r="M584">
        <f>J584*K584*L584</f>
        <v/>
      </c>
    </row>
    <row r="585">
      <c r="A585" t="inlineStr">
        <is>
          <t>SW Wing On</t>
        </is>
      </c>
      <c r="B585" t="inlineStr">
        <is>
          <t>SW Wing On</t>
        </is>
      </c>
      <c r="C585" t="inlineStr">
        <is>
          <t>Hazel</t>
        </is>
      </c>
      <c r="D585" t="inlineStr">
        <is>
          <t>2026-06</t>
        </is>
      </c>
      <c r="E585" t="inlineStr">
        <is>
          <t>2026-06-13 00:00:00</t>
        </is>
      </c>
      <c r="F585" t="inlineStr">
        <is>
          <t>Model-Input-Ref</t>
        </is>
      </c>
      <c r="G585" t="inlineStr">
        <is>
          <t>未分類 (單據新增)</t>
        </is>
      </c>
      <c r="I585" t="inlineStr"/>
      <c r="J585" t="n">
        <v>1</v>
      </c>
      <c r="K585" t="n">
        <v>2552</v>
      </c>
      <c r="L585" t="n">
        <v>0.03</v>
      </c>
      <c r="M585">
        <f>J585*K585*L585</f>
        <v/>
      </c>
    </row>
    <row r="586">
      <c r="A586" t="inlineStr">
        <is>
          <t>SW Wing On</t>
        </is>
      </c>
      <c r="B586" t="inlineStr">
        <is>
          <t>SW Wing On</t>
        </is>
      </c>
      <c r="C586" t="inlineStr">
        <is>
          <t>Hazel</t>
        </is>
      </c>
      <c r="D586" t="inlineStr">
        <is>
          <t>2026-06</t>
        </is>
      </c>
      <c r="E586" t="inlineStr">
        <is>
          <t>2026-06-13 00:00:00</t>
        </is>
      </c>
      <c r="F586" t="inlineStr">
        <is>
          <t>Model-Input-Ref</t>
        </is>
      </c>
      <c r="G586" t="inlineStr">
        <is>
          <t>未分類 (單據新增)</t>
        </is>
      </c>
      <c r="I586" t="inlineStr"/>
      <c r="J586" t="n">
        <v>1</v>
      </c>
      <c r="K586" t="n">
        <v>798</v>
      </c>
      <c r="L586" t="n">
        <v>0.03</v>
      </c>
      <c r="M586">
        <f>J586*K586*L586</f>
        <v/>
      </c>
    </row>
    <row r="587">
      <c r="A587" t="inlineStr">
        <is>
          <t>SW Wing On</t>
        </is>
      </c>
      <c r="B587" t="inlineStr">
        <is>
          <t>SW Wing On</t>
        </is>
      </c>
      <c r="C587" t="inlineStr">
        <is>
          <t>Hazel</t>
        </is>
      </c>
      <c r="D587" t="inlineStr">
        <is>
          <t>2026-06</t>
        </is>
      </c>
      <c r="E587" t="inlineStr">
        <is>
          <t>2026-06-13 00:00:00</t>
        </is>
      </c>
      <c r="F587" t="inlineStr">
        <is>
          <t>Model-Input-Ref</t>
        </is>
      </c>
      <c r="G587" t="inlineStr">
        <is>
          <t>未分類 (單據新增)</t>
        </is>
      </c>
      <c r="I587" t="inlineStr"/>
      <c r="J587" t="n">
        <v>1</v>
      </c>
      <c r="K587" t="n">
        <v>498</v>
      </c>
      <c r="L587" t="n">
        <v>0.03</v>
      </c>
      <c r="M587">
        <f>J587*K587*L587</f>
        <v/>
      </c>
    </row>
    <row r="588">
      <c r="A588" t="inlineStr">
        <is>
          <t>SW Wing On</t>
        </is>
      </c>
      <c r="B588" t="inlineStr">
        <is>
          <t>SW Wing On</t>
        </is>
      </c>
      <c r="C588" t="inlineStr">
        <is>
          <t>Hazel</t>
        </is>
      </c>
      <c r="D588" t="inlineStr">
        <is>
          <t>2026-06</t>
        </is>
      </c>
      <c r="E588" t="inlineStr">
        <is>
          <t>2026-06-13 00:00:00</t>
        </is>
      </c>
      <c r="F588" t="inlineStr">
        <is>
          <t>Model-Input-Ref</t>
        </is>
      </c>
      <c r="G588" t="inlineStr">
        <is>
          <t>未分類 (單據新增)</t>
        </is>
      </c>
      <c r="I588" t="inlineStr"/>
      <c r="J588" t="n">
        <v>1</v>
      </c>
      <c r="K588" t="n">
        <v>498</v>
      </c>
      <c r="L588" t="n">
        <v>0.03</v>
      </c>
      <c r="M588">
        <f>J588*K588*L588</f>
        <v/>
      </c>
    </row>
    <row r="589">
      <c r="A589" t="inlineStr">
        <is>
          <t>SW Wing On</t>
        </is>
      </c>
      <c r="B589" t="inlineStr">
        <is>
          <t>SW Wing On</t>
        </is>
      </c>
      <c r="C589" t="inlineStr">
        <is>
          <t>Hazel</t>
        </is>
      </c>
      <c r="D589" t="inlineStr">
        <is>
          <t>2026-06</t>
        </is>
      </c>
      <c r="E589" t="inlineStr">
        <is>
          <t>2026-06-13 00:00:00</t>
        </is>
      </c>
      <c r="F589" t="inlineStr">
        <is>
          <t>Model-Input-Ref</t>
        </is>
      </c>
      <c r="G589" t="inlineStr">
        <is>
          <t>未分類 (單據新增)</t>
        </is>
      </c>
      <c r="I589" t="inlineStr"/>
      <c r="J589" t="n">
        <v>1</v>
      </c>
      <c r="K589" t="n">
        <v>798</v>
      </c>
      <c r="L589" t="n">
        <v>0.03</v>
      </c>
      <c r="M589">
        <f>J589*K589*L589</f>
        <v/>
      </c>
    </row>
    <row r="590">
      <c r="A590" t="inlineStr">
        <is>
          <t>SW Wing On</t>
        </is>
      </c>
      <c r="B590" t="inlineStr">
        <is>
          <t>SW Wing On</t>
        </is>
      </c>
      <c r="C590" t="inlineStr">
        <is>
          <t>Hazel</t>
        </is>
      </c>
      <c r="D590" t="inlineStr">
        <is>
          <t>2026-06</t>
        </is>
      </c>
      <c r="E590" t="inlineStr">
        <is>
          <t>2026-06-13 00:00:00</t>
        </is>
      </c>
      <c r="F590" t="inlineStr">
        <is>
          <t>Model-Input-Ref</t>
        </is>
      </c>
      <c r="G590" t="inlineStr">
        <is>
          <t>未分類 (單據新增)</t>
        </is>
      </c>
      <c r="I590" t="inlineStr"/>
      <c r="J590" t="n">
        <v>1</v>
      </c>
      <c r="K590" t="n">
        <v>1734</v>
      </c>
      <c r="L590" t="n">
        <v>0.03</v>
      </c>
      <c r="M590">
        <f>J590*K590*L590</f>
        <v/>
      </c>
    </row>
    <row r="591">
      <c r="A591" t="inlineStr">
        <is>
          <t>SW Wing On</t>
        </is>
      </c>
      <c r="B591" t="inlineStr">
        <is>
          <t>SW Wing On</t>
        </is>
      </c>
      <c r="C591" t="inlineStr">
        <is>
          <t>Hazel</t>
        </is>
      </c>
      <c r="D591" t="inlineStr">
        <is>
          <t>2026-06</t>
        </is>
      </c>
      <c r="E591" t="inlineStr">
        <is>
          <t>2026-06-13 00:00:00</t>
        </is>
      </c>
      <c r="F591" t="inlineStr">
        <is>
          <t>Model-Input-Ref</t>
        </is>
      </c>
      <c r="G591" t="inlineStr">
        <is>
          <t>未分類 (單據新增)</t>
        </is>
      </c>
      <c r="I591" t="inlineStr"/>
      <c r="J591" t="n">
        <v>1</v>
      </c>
      <c r="K591" t="n">
        <v>150</v>
      </c>
      <c r="L591" t="n">
        <v>0.03</v>
      </c>
      <c r="M591">
        <f>J591*K591*L591</f>
        <v/>
      </c>
    </row>
    <row r="592">
      <c r="A592" t="inlineStr">
        <is>
          <t>SW Wing On</t>
        </is>
      </c>
      <c r="B592" t="inlineStr">
        <is>
          <t>SW Wing On</t>
        </is>
      </c>
      <c r="C592" t="inlineStr">
        <is>
          <t>Hazel</t>
        </is>
      </c>
      <c r="D592" t="inlineStr">
        <is>
          <t>2026-06</t>
        </is>
      </c>
      <c r="E592" t="inlineStr">
        <is>
          <t>2026-06-13 00:00:00</t>
        </is>
      </c>
      <c r="F592" t="inlineStr">
        <is>
          <t>Model-Input-Ref</t>
        </is>
      </c>
      <c r="G592" t="inlineStr">
        <is>
          <t>未分類 (單據新增)</t>
        </is>
      </c>
      <c r="I592" t="inlineStr"/>
      <c r="J592" t="n">
        <v>1</v>
      </c>
      <c r="K592" t="n">
        <v>868</v>
      </c>
      <c r="L592" t="n">
        <v>0.03</v>
      </c>
      <c r="M592">
        <f>J592*K592*L592</f>
        <v/>
      </c>
    </row>
    <row r="593">
      <c r="A593" t="inlineStr">
        <is>
          <t>SW Wing On</t>
        </is>
      </c>
      <c r="B593" t="inlineStr">
        <is>
          <t>SW Wing On</t>
        </is>
      </c>
      <c r="C593" t="inlineStr">
        <is>
          <t>Hazel</t>
        </is>
      </c>
      <c r="D593" t="inlineStr">
        <is>
          <t>2026-06</t>
        </is>
      </c>
      <c r="E593" t="inlineStr">
        <is>
          <t>2026-06-20 00:00:00</t>
        </is>
      </c>
      <c r="F593" t="inlineStr">
        <is>
          <t>Model-Input-Ref</t>
        </is>
      </c>
      <c r="G593" t="inlineStr">
        <is>
          <t>未分類 (單據新增)</t>
        </is>
      </c>
      <c r="I593" t="inlineStr"/>
      <c r="J593" t="n">
        <v>1</v>
      </c>
      <c r="K593" t="n">
        <v>1768</v>
      </c>
      <c r="L593" t="n">
        <v>0.03</v>
      </c>
      <c r="M593">
        <f>J593*K593*L593</f>
        <v/>
      </c>
    </row>
    <row r="594">
      <c r="A594" t="inlineStr">
        <is>
          <t>SW Wing On</t>
        </is>
      </c>
      <c r="B594" t="inlineStr">
        <is>
          <t>SW Wing On</t>
        </is>
      </c>
      <c r="C594" t="inlineStr">
        <is>
          <t>Hazel</t>
        </is>
      </c>
      <c r="D594" t="inlineStr">
        <is>
          <t>2026-06</t>
        </is>
      </c>
      <c r="E594" t="inlineStr">
        <is>
          <t>2026-06-20 00:00:00</t>
        </is>
      </c>
      <c r="F594" t="inlineStr">
        <is>
          <t>Model-Input-Ref</t>
        </is>
      </c>
      <c r="G594" t="inlineStr">
        <is>
          <t>未分類 (單據新增)</t>
        </is>
      </c>
      <c r="I594" t="inlineStr"/>
      <c r="J594" t="n">
        <v>1</v>
      </c>
      <c r="K594" t="n">
        <v>2688</v>
      </c>
      <c r="L594" t="n">
        <v>0.03</v>
      </c>
      <c r="M594">
        <f>J594*K594*L594</f>
        <v/>
      </c>
    </row>
    <row r="595">
      <c r="A595" t="inlineStr">
        <is>
          <t>SW Wing On</t>
        </is>
      </c>
      <c r="B595" t="inlineStr">
        <is>
          <t>SW Wing On</t>
        </is>
      </c>
      <c r="C595" t="inlineStr">
        <is>
          <t>Hazel</t>
        </is>
      </c>
      <c r="D595" t="inlineStr">
        <is>
          <t>2026-06</t>
        </is>
      </c>
      <c r="E595" t="inlineStr">
        <is>
          <t>2026-06-20 00:00:00</t>
        </is>
      </c>
      <c r="F595" t="inlineStr">
        <is>
          <t>Model-Input-Ref</t>
        </is>
      </c>
      <c r="G595" t="inlineStr">
        <is>
          <t>未分類 (單據新增)</t>
        </is>
      </c>
      <c r="I595" t="inlineStr"/>
      <c r="J595" t="n">
        <v>1</v>
      </c>
      <c r="K595" t="n">
        <v>3192</v>
      </c>
      <c r="L595" t="n">
        <v>0.03</v>
      </c>
      <c r="M595">
        <f>J595*K595*L595</f>
        <v/>
      </c>
    </row>
    <row r="596">
      <c r="A596" t="inlineStr">
        <is>
          <t>SW Wing On</t>
        </is>
      </c>
      <c r="B596" t="inlineStr">
        <is>
          <t>SW Wing On</t>
        </is>
      </c>
      <c r="C596" t="inlineStr">
        <is>
          <t>Hazel</t>
        </is>
      </c>
      <c r="D596" t="inlineStr">
        <is>
          <t>2026-06</t>
        </is>
      </c>
      <c r="E596" t="inlineStr">
        <is>
          <t>2026-06-20 00:00:00</t>
        </is>
      </c>
      <c r="F596" t="inlineStr">
        <is>
          <t>Model-Input-Ref</t>
        </is>
      </c>
      <c r="G596" t="inlineStr">
        <is>
          <t>未分類 (單據新增)</t>
        </is>
      </c>
      <c r="I596" t="inlineStr"/>
      <c r="J596" t="n">
        <v>1</v>
      </c>
      <c r="K596" t="n">
        <v>716</v>
      </c>
      <c r="L596" t="n">
        <v>0.03</v>
      </c>
      <c r="M596">
        <f>J596*K596*L596</f>
        <v/>
      </c>
    </row>
    <row r="597">
      <c r="A597" t="inlineStr">
        <is>
          <t>SW Wing On</t>
        </is>
      </c>
      <c r="B597" t="inlineStr">
        <is>
          <t>SW Wing On</t>
        </is>
      </c>
      <c r="C597" t="inlineStr">
        <is>
          <t>Hazel</t>
        </is>
      </c>
      <c r="D597" t="inlineStr">
        <is>
          <t>2026-06</t>
        </is>
      </c>
      <c r="E597" t="inlineStr">
        <is>
          <t>2026-06-20 00:00:00</t>
        </is>
      </c>
      <c r="F597" t="inlineStr">
        <is>
          <t>Model-Input-Ref</t>
        </is>
      </c>
      <c r="G597" t="inlineStr">
        <is>
          <t>未分類 (單據新增)</t>
        </is>
      </c>
      <c r="I597" t="inlineStr"/>
      <c r="J597" t="n">
        <v>1</v>
      </c>
      <c r="K597" t="n">
        <v>448.2</v>
      </c>
      <c r="L597" t="n">
        <v>0.03</v>
      </c>
      <c r="M597">
        <f>J597*K597*L597</f>
        <v/>
      </c>
    </row>
    <row r="598">
      <c r="A598" t="inlineStr">
        <is>
          <t>SW Wing On</t>
        </is>
      </c>
      <c r="B598" t="inlineStr">
        <is>
          <t>SW Wing On</t>
        </is>
      </c>
      <c r="C598" t="inlineStr">
        <is>
          <t>Hazel</t>
        </is>
      </c>
      <c r="D598" t="inlineStr">
        <is>
          <t>2026-06</t>
        </is>
      </c>
      <c r="E598" t="inlineStr">
        <is>
          <t>2026-06-20 00:00:00</t>
        </is>
      </c>
      <c r="F598" t="inlineStr">
        <is>
          <t>Model-Input-Ref</t>
        </is>
      </c>
      <c r="G598" t="inlineStr">
        <is>
          <t>未分類 (單據新增)</t>
        </is>
      </c>
      <c r="I598" t="inlineStr"/>
      <c r="J598" t="n">
        <v>1</v>
      </c>
      <c r="K598" t="n">
        <v>448.2</v>
      </c>
      <c r="L598" t="n">
        <v>0.03</v>
      </c>
      <c r="M598">
        <f>J598*K598*L598</f>
        <v/>
      </c>
    </row>
    <row r="599">
      <c r="A599" t="inlineStr">
        <is>
          <t>SW Wing On</t>
        </is>
      </c>
      <c r="B599" t="inlineStr">
        <is>
          <t>SW Wing On</t>
        </is>
      </c>
      <c r="C599" t="inlineStr">
        <is>
          <t>Hazel</t>
        </is>
      </c>
      <c r="D599" t="inlineStr">
        <is>
          <t>2026-06</t>
        </is>
      </c>
      <c r="E599" t="inlineStr">
        <is>
          <t>2026-06-20 00:00:00</t>
        </is>
      </c>
      <c r="F599" t="inlineStr">
        <is>
          <t>Model-Input-Ref</t>
        </is>
      </c>
      <c r="G599" t="inlineStr">
        <is>
          <t>未分類 (單據新增)</t>
        </is>
      </c>
      <c r="I599" t="inlineStr"/>
      <c r="J599" t="n">
        <v>1</v>
      </c>
      <c r="K599" t="n">
        <v>1596</v>
      </c>
      <c r="L599" t="n">
        <v>0.03</v>
      </c>
      <c r="M599">
        <f>J599*K599*L599</f>
        <v/>
      </c>
    </row>
    <row r="600">
      <c r="A600" t="inlineStr">
        <is>
          <t>SW Wing On</t>
        </is>
      </c>
      <c r="B600" t="inlineStr">
        <is>
          <t>SW Wing On</t>
        </is>
      </c>
      <c r="C600" t="inlineStr">
        <is>
          <t>Hazel</t>
        </is>
      </c>
      <c r="D600" t="inlineStr">
        <is>
          <t>2026-06</t>
        </is>
      </c>
      <c r="E600" t="inlineStr">
        <is>
          <t>2026-06-20 00:00:00</t>
        </is>
      </c>
      <c r="F600" t="inlineStr">
        <is>
          <t>Model-Input-Ref</t>
        </is>
      </c>
      <c r="G600" t="inlineStr">
        <is>
          <t>未分類 (單據新增)</t>
        </is>
      </c>
      <c r="I600" t="inlineStr"/>
      <c r="J600" t="n">
        <v>1</v>
      </c>
      <c r="K600" t="n">
        <v>898</v>
      </c>
      <c r="L600" t="n">
        <v>0.03</v>
      </c>
      <c r="M600">
        <f>J600*K600*L600</f>
        <v/>
      </c>
    </row>
    <row r="601">
      <c r="A601" t="inlineStr">
        <is>
          <t>SW Wing On</t>
        </is>
      </c>
      <c r="B601" t="inlineStr">
        <is>
          <t>SW Wing On</t>
        </is>
      </c>
      <c r="C601" t="inlineStr">
        <is>
          <t>Hazel</t>
        </is>
      </c>
      <c r="D601" t="inlineStr">
        <is>
          <t>2026-06</t>
        </is>
      </c>
      <c r="E601" t="inlineStr">
        <is>
          <t>2026-06-20 00:00:00</t>
        </is>
      </c>
      <c r="F601" t="inlineStr">
        <is>
          <t>Model-Input-Ref</t>
        </is>
      </c>
      <c r="G601" t="inlineStr">
        <is>
          <t>未分類 (單據新增)</t>
        </is>
      </c>
      <c r="I601" t="inlineStr"/>
      <c r="J601" t="n">
        <v>1</v>
      </c>
      <c r="K601" t="n">
        <v>637</v>
      </c>
      <c r="L601" t="n">
        <v>0.03</v>
      </c>
      <c r="M601">
        <f>J601*K601*L601</f>
        <v/>
      </c>
    </row>
    <row r="602">
      <c r="A602" t="inlineStr">
        <is>
          <t>SW Wing On</t>
        </is>
      </c>
      <c r="B602" t="inlineStr">
        <is>
          <t>SW Wing On</t>
        </is>
      </c>
      <c r="C602" t="inlineStr">
        <is>
          <t>Hazel</t>
        </is>
      </c>
      <c r="D602" t="inlineStr">
        <is>
          <t>2026-06</t>
        </is>
      </c>
      <c r="E602" t="inlineStr">
        <is>
          <t>2026-06-20 00:00:00</t>
        </is>
      </c>
      <c r="F602" t="inlineStr">
        <is>
          <t>Model-Input-Ref</t>
        </is>
      </c>
      <c r="G602" t="inlineStr">
        <is>
          <t>未分類 (單據新增)</t>
        </is>
      </c>
      <c r="I602" t="inlineStr"/>
      <c r="J602" t="n">
        <v>1</v>
      </c>
      <c r="K602" t="n">
        <v>1736</v>
      </c>
      <c r="L602" t="n">
        <v>0.03</v>
      </c>
      <c r="M602">
        <f>J602*K602*L602</f>
        <v/>
      </c>
    </row>
    <row r="603">
      <c r="A603" t="inlineStr">
        <is>
          <t>SW Wing On</t>
        </is>
      </c>
      <c r="B603" t="inlineStr">
        <is>
          <t>SW Wing On</t>
        </is>
      </c>
      <c r="C603" t="inlineStr">
        <is>
          <t>Hazel</t>
        </is>
      </c>
      <c r="D603" t="inlineStr">
        <is>
          <t>2026-06</t>
        </is>
      </c>
      <c r="E603" t="inlineStr">
        <is>
          <t>2026-06-20 00:00:00</t>
        </is>
      </c>
      <c r="F603" t="inlineStr">
        <is>
          <t>Model-Input-Ref</t>
        </is>
      </c>
      <c r="G603" t="inlineStr">
        <is>
          <t>未分類 (單據新增)</t>
        </is>
      </c>
      <c r="I603" t="inlineStr"/>
      <c r="J603" t="n">
        <v>1</v>
      </c>
      <c r="K603" t="n">
        <v>8988</v>
      </c>
      <c r="L603" t="n">
        <v>0.03</v>
      </c>
      <c r="M603">
        <f>J603*K603*L603</f>
        <v/>
      </c>
    </row>
    <row r="604">
      <c r="A604" t="inlineStr">
        <is>
          <t>SW Wing On</t>
        </is>
      </c>
      <c r="B604" t="inlineStr">
        <is>
          <t>SW Wing On</t>
        </is>
      </c>
      <c r="C604" t="inlineStr">
        <is>
          <t>Hazel</t>
        </is>
      </c>
      <c r="D604" t="inlineStr">
        <is>
          <t>2026-06</t>
        </is>
      </c>
      <c r="E604" t="inlineStr">
        <is>
          <t>2026-06-20 00:00:00</t>
        </is>
      </c>
      <c r="F604" t="inlineStr">
        <is>
          <t>Model-Input-Ref</t>
        </is>
      </c>
      <c r="G604" t="inlineStr">
        <is>
          <t>未分類 (單據新增)</t>
        </is>
      </c>
      <c r="I604" t="inlineStr"/>
      <c r="J604" t="n">
        <v>1</v>
      </c>
      <c r="K604" t="n">
        <v>358.2</v>
      </c>
      <c r="L604" t="n">
        <v>0.03</v>
      </c>
      <c r="M604">
        <f>J604*K604*L604</f>
        <v/>
      </c>
    </row>
    <row r="605">
      <c r="A605" t="inlineStr">
        <is>
          <t>SW Wing On</t>
        </is>
      </c>
      <c r="B605" t="inlineStr">
        <is>
          <t>SW Wing On</t>
        </is>
      </c>
      <c r="C605" t="inlineStr">
        <is>
          <t>Hazel</t>
        </is>
      </c>
      <c r="D605" t="inlineStr">
        <is>
          <t>2026-06</t>
        </is>
      </c>
      <c r="E605" t="inlineStr">
        <is>
          <t>2026-06-20 00:00:00</t>
        </is>
      </c>
      <c r="F605" t="inlineStr">
        <is>
          <t>Model-Input-Ref</t>
        </is>
      </c>
      <c r="G605" t="inlineStr">
        <is>
          <t>未分類 (單據新增)</t>
        </is>
      </c>
      <c r="I605" t="inlineStr"/>
      <c r="J605" t="n">
        <v>1</v>
      </c>
      <c r="K605" t="n">
        <v>250</v>
      </c>
      <c r="L605" t="n">
        <v>0.03</v>
      </c>
      <c r="M605">
        <f>J605*K605*L605</f>
        <v/>
      </c>
    </row>
    <row r="606">
      <c r="A606" t="inlineStr">
        <is>
          <t>SW Wing On</t>
        </is>
      </c>
      <c r="B606" t="inlineStr">
        <is>
          <t>SW Wing On</t>
        </is>
      </c>
      <c r="C606" t="inlineStr">
        <is>
          <t>Hazel</t>
        </is>
      </c>
      <c r="D606" t="inlineStr">
        <is>
          <t>2026-06</t>
        </is>
      </c>
      <c r="E606" t="inlineStr">
        <is>
          <t>2026-06-20 00:00:00</t>
        </is>
      </c>
      <c r="F606" t="inlineStr">
        <is>
          <t>Model-Input-Ref</t>
        </is>
      </c>
      <c r="G606" t="inlineStr">
        <is>
          <t>未分類 (單據新增)</t>
        </is>
      </c>
      <c r="I606" t="inlineStr"/>
      <c r="J606" t="n">
        <v>1</v>
      </c>
      <c r="K606" t="n">
        <v>79.2</v>
      </c>
      <c r="L606" t="n">
        <v>0.03</v>
      </c>
      <c r="M606">
        <f>J606*K606*L606</f>
        <v/>
      </c>
    </row>
    <row r="607">
      <c r="A607" t="inlineStr">
        <is>
          <t>SW Wing On</t>
        </is>
      </c>
      <c r="B607" t="inlineStr">
        <is>
          <t>SW Wing On</t>
        </is>
      </c>
      <c r="C607" t="inlineStr">
        <is>
          <t>Hazel</t>
        </is>
      </c>
      <c r="D607" t="inlineStr">
        <is>
          <t>2026-06</t>
        </is>
      </c>
      <c r="E607" t="inlineStr">
        <is>
          <t>2026-06-20 00:00:00</t>
        </is>
      </c>
      <c r="F607" t="inlineStr">
        <is>
          <t>Model-Input-Ref</t>
        </is>
      </c>
      <c r="G607" t="inlineStr">
        <is>
          <t>未分類 (單據新增)</t>
        </is>
      </c>
      <c r="I607" t="inlineStr"/>
      <c r="J607" t="n">
        <v>1</v>
      </c>
      <c r="K607" t="n">
        <v>798</v>
      </c>
      <c r="L607" t="n">
        <v>0.03</v>
      </c>
      <c r="M607">
        <f>J607*K607*L607</f>
        <v/>
      </c>
    </row>
    <row r="608">
      <c r="A608" t="inlineStr">
        <is>
          <t>SW Wing On</t>
        </is>
      </c>
      <c r="B608" t="inlineStr">
        <is>
          <t>SW Wing On</t>
        </is>
      </c>
      <c r="C608" t="inlineStr">
        <is>
          <t>Hazel</t>
        </is>
      </c>
      <c r="D608" t="inlineStr">
        <is>
          <t>2026-06</t>
        </is>
      </c>
      <c r="E608" t="inlineStr">
        <is>
          <t>2026-06-20 00:00:00</t>
        </is>
      </c>
      <c r="F608" t="inlineStr">
        <is>
          <t>Model-Input-Ref</t>
        </is>
      </c>
      <c r="G608" t="inlineStr">
        <is>
          <t>未分類 (單據新增)</t>
        </is>
      </c>
      <c r="I608" t="inlineStr"/>
      <c r="J608" t="n">
        <v>1</v>
      </c>
      <c r="K608" t="n">
        <v>2552</v>
      </c>
      <c r="L608" t="n">
        <v>0.03</v>
      </c>
      <c r="M608">
        <f>J608*K608*L608</f>
        <v/>
      </c>
    </row>
    <row r="609">
      <c r="A609" t="inlineStr">
        <is>
          <t>SW Wing On</t>
        </is>
      </c>
      <c r="B609" t="inlineStr">
        <is>
          <t>SW Wing On</t>
        </is>
      </c>
      <c r="C609" t="inlineStr">
        <is>
          <t>Hazel</t>
        </is>
      </c>
      <c r="D609" t="inlineStr">
        <is>
          <t>2026-06</t>
        </is>
      </c>
      <c r="E609" t="inlineStr">
        <is>
          <t>2026-06-20 00:00:00</t>
        </is>
      </c>
      <c r="F609" t="inlineStr">
        <is>
          <t>Model-Input-Ref</t>
        </is>
      </c>
      <c r="G609" t="inlineStr">
        <is>
          <t>未分類 (單據新增)</t>
        </is>
      </c>
      <c r="I609" t="inlineStr"/>
      <c r="J609" t="n">
        <v>1</v>
      </c>
      <c r="K609" t="n">
        <v>808.2</v>
      </c>
      <c r="L609" t="n">
        <v>0.03</v>
      </c>
      <c r="M609">
        <f>J609*K609*L609</f>
        <v/>
      </c>
    </row>
    <row r="610">
      <c r="A610" t="inlineStr">
        <is>
          <t>SW Wing On</t>
        </is>
      </c>
      <c r="B610" t="inlineStr">
        <is>
          <t>SW Wing On</t>
        </is>
      </c>
      <c r="C610" t="inlineStr">
        <is>
          <t>Hazel</t>
        </is>
      </c>
      <c r="D610" t="inlineStr">
        <is>
          <t>2026-06</t>
        </is>
      </c>
      <c r="E610" t="inlineStr">
        <is>
          <t>2026-06-20 00:00:00</t>
        </is>
      </c>
      <c r="F610" t="inlineStr">
        <is>
          <t>Model-Input-Ref</t>
        </is>
      </c>
      <c r="G610" t="inlineStr">
        <is>
          <t>未分類 (單據新增)</t>
        </is>
      </c>
      <c r="I610" t="inlineStr"/>
      <c r="J610" t="n">
        <v>1</v>
      </c>
      <c r="K610" t="n">
        <v>598</v>
      </c>
      <c r="L610" t="n">
        <v>0.03</v>
      </c>
      <c r="M610">
        <f>J610*K610*L610</f>
        <v/>
      </c>
    </row>
    <row r="611">
      <c r="A611" t="inlineStr">
        <is>
          <t>SW Wing On</t>
        </is>
      </c>
      <c r="B611" t="inlineStr">
        <is>
          <t>SW Wing On</t>
        </is>
      </c>
      <c r="C611" t="inlineStr">
        <is>
          <t>Hazel</t>
        </is>
      </c>
      <c r="D611" t="inlineStr">
        <is>
          <t>2026-06</t>
        </is>
      </c>
      <c r="E611" t="inlineStr">
        <is>
          <t>2026-06-20 00:00:00</t>
        </is>
      </c>
      <c r="F611" t="inlineStr">
        <is>
          <t>Model-Input-Ref</t>
        </is>
      </c>
      <c r="G611" t="inlineStr">
        <is>
          <t>未分類 (單據新增)</t>
        </is>
      </c>
      <c r="I611" t="inlineStr"/>
      <c r="J611" t="n">
        <v>1</v>
      </c>
      <c r="K611" t="n">
        <v>578</v>
      </c>
      <c r="L611" t="n">
        <v>0.03</v>
      </c>
      <c r="M611">
        <f>J611*K611*L611</f>
        <v/>
      </c>
    </row>
    <row r="612">
      <c r="A612" t="inlineStr">
        <is>
          <t>SW Wing On</t>
        </is>
      </c>
      <c r="B612" t="inlineStr">
        <is>
          <t>SW Wing On</t>
        </is>
      </c>
      <c r="C612" t="inlineStr">
        <is>
          <t>Hazel</t>
        </is>
      </c>
      <c r="D612" t="inlineStr">
        <is>
          <t>2026-06</t>
        </is>
      </c>
      <c r="E612" t="inlineStr">
        <is>
          <t>2026-06-20 00:00:00</t>
        </is>
      </c>
      <c r="F612" t="inlineStr">
        <is>
          <t>Model-Input-Ref</t>
        </is>
      </c>
      <c r="G612" t="inlineStr">
        <is>
          <t>未分類 (單據新增)</t>
        </is>
      </c>
      <c r="I612" t="inlineStr"/>
      <c r="J612" t="n">
        <v>1</v>
      </c>
      <c r="K612" t="n">
        <v>150</v>
      </c>
      <c r="L612" t="n">
        <v>0.03</v>
      </c>
      <c r="M612">
        <f>J612*K612*L612</f>
        <v/>
      </c>
    </row>
    <row r="613">
      <c r="A613" t="inlineStr">
        <is>
          <t>SW Wing On</t>
        </is>
      </c>
      <c r="B613" t="inlineStr">
        <is>
          <t>SW Wing On</t>
        </is>
      </c>
      <c r="C613" t="inlineStr">
        <is>
          <t>Hazel</t>
        </is>
      </c>
      <c r="D613" t="inlineStr">
        <is>
          <t>2026-06</t>
        </is>
      </c>
      <c r="E613" t="inlineStr">
        <is>
          <t>2026-06-20 00:00:00</t>
        </is>
      </c>
      <c r="F613" t="inlineStr">
        <is>
          <t>Model-Input-Ref</t>
        </is>
      </c>
      <c r="G613" t="inlineStr">
        <is>
          <t>未分類 (單據新增)</t>
        </is>
      </c>
      <c r="I613" t="inlineStr"/>
      <c r="J613" t="n">
        <v>1</v>
      </c>
      <c r="K613" t="n">
        <v>1914</v>
      </c>
      <c r="L613" t="n">
        <v>0.03</v>
      </c>
      <c r="M613">
        <f>J613*K613*L613</f>
        <v/>
      </c>
    </row>
    <row r="614">
      <c r="A614" t="inlineStr">
        <is>
          <t>SW Wing On</t>
        </is>
      </c>
      <c r="B614" t="inlineStr">
        <is>
          <t>SW Wing On</t>
        </is>
      </c>
      <c r="C614" t="inlineStr">
        <is>
          <t>Hazel</t>
        </is>
      </c>
      <c r="D614" t="inlineStr">
        <is>
          <t>2026-06</t>
        </is>
      </c>
      <c r="E614" t="inlineStr">
        <is>
          <t>2026-06-20 00:00:00</t>
        </is>
      </c>
      <c r="F614" t="inlineStr">
        <is>
          <t>Model-Input-Ref</t>
        </is>
      </c>
      <c r="G614" t="inlineStr">
        <is>
          <t>未分類 (單據新增)</t>
        </is>
      </c>
      <c r="I614" t="inlineStr"/>
      <c r="J614" t="n">
        <v>1</v>
      </c>
      <c r="K614" t="n">
        <v>464</v>
      </c>
      <c r="L614" t="n">
        <v>0.03</v>
      </c>
      <c r="M614">
        <f>J614*K614*L614</f>
        <v/>
      </c>
    </row>
    <row r="615">
      <c r="A615" t="inlineStr">
        <is>
          <t>SW Wing On</t>
        </is>
      </c>
      <c r="B615" t="inlineStr">
        <is>
          <t>SW Wing On</t>
        </is>
      </c>
      <c r="C615" t="inlineStr">
        <is>
          <t>Hazel</t>
        </is>
      </c>
      <c r="D615" t="inlineStr">
        <is>
          <t>2026-06</t>
        </is>
      </c>
      <c r="E615" t="inlineStr">
        <is>
          <t>2026-06-20 00:00:00</t>
        </is>
      </c>
      <c r="F615" t="inlineStr">
        <is>
          <t>Model-Input-Ref</t>
        </is>
      </c>
      <c r="G615" t="inlineStr">
        <is>
          <t>未分類 (單據新增)</t>
        </is>
      </c>
      <c r="I615" t="inlineStr"/>
      <c r="J615" t="n">
        <v>1</v>
      </c>
      <c r="K615" t="n">
        <v>578</v>
      </c>
      <c r="L615" t="n">
        <v>0.03</v>
      </c>
      <c r="M615">
        <f>J615*K615*L615</f>
        <v/>
      </c>
    </row>
    <row r="616">
      <c r="A616" t="inlineStr">
        <is>
          <t>SW Wing On</t>
        </is>
      </c>
      <c r="B616" t="inlineStr">
        <is>
          <t>SW Wing On</t>
        </is>
      </c>
      <c r="C616" t="inlineStr">
        <is>
          <t>Hazel</t>
        </is>
      </c>
      <c r="D616" t="inlineStr">
        <is>
          <t>2026-06</t>
        </is>
      </c>
      <c r="E616" t="inlineStr">
        <is>
          <t>2026-06-20 00:00:00</t>
        </is>
      </c>
      <c r="F616" t="inlineStr">
        <is>
          <t>Model-Input-Ref</t>
        </is>
      </c>
      <c r="G616" t="inlineStr">
        <is>
          <t>未分類 (單據新增)</t>
        </is>
      </c>
      <c r="I616" t="inlineStr"/>
      <c r="J616" t="n">
        <v>1</v>
      </c>
      <c r="K616" t="n">
        <v>568</v>
      </c>
      <c r="L616" t="n">
        <v>0.03</v>
      </c>
      <c r="M616">
        <f>J616*K616*L616</f>
        <v/>
      </c>
    </row>
    <row r="617">
      <c r="A617" t="inlineStr">
        <is>
          <t>SW Wing On</t>
        </is>
      </c>
      <c r="B617" t="inlineStr">
        <is>
          <t>SW Wing On</t>
        </is>
      </c>
      <c r="C617" t="inlineStr">
        <is>
          <t>Hazel</t>
        </is>
      </c>
      <c r="D617" t="inlineStr">
        <is>
          <t>2026-06</t>
        </is>
      </c>
      <c r="E617" t="inlineStr">
        <is>
          <t>2026-06-20 00:00:00</t>
        </is>
      </c>
      <c r="F617" t="inlineStr">
        <is>
          <t>Model-Input-Ref</t>
        </is>
      </c>
      <c r="G617" t="inlineStr">
        <is>
          <t>未分類 (單據新增)</t>
        </is>
      </c>
      <c r="I617" t="inlineStr"/>
      <c r="J617" t="n">
        <v>1</v>
      </c>
      <c r="K617" t="n">
        <v>1276</v>
      </c>
      <c r="L617" t="n">
        <v>0.03</v>
      </c>
      <c r="M617">
        <f>J617*K617*L617</f>
        <v/>
      </c>
    </row>
    <row r="618">
      <c r="A618" t="inlineStr">
        <is>
          <t>SW Wing On</t>
        </is>
      </c>
      <c r="B618" t="inlineStr">
        <is>
          <t>SW Wing On</t>
        </is>
      </c>
      <c r="C618" t="inlineStr">
        <is>
          <t>Hazel</t>
        </is>
      </c>
      <c r="D618" t="inlineStr">
        <is>
          <t>2026-06</t>
        </is>
      </c>
      <c r="E618" t="inlineStr">
        <is>
          <t>2026-06-20 00:00:00</t>
        </is>
      </c>
      <c r="F618" t="inlineStr">
        <is>
          <t>Model-Input-Ref</t>
        </is>
      </c>
      <c r="G618" t="inlineStr">
        <is>
          <t>未分類 (單據新增)</t>
        </is>
      </c>
      <c r="I618" t="inlineStr"/>
      <c r="J618" t="n">
        <v>1</v>
      </c>
      <c r="K618" t="n">
        <v>638</v>
      </c>
      <c r="L618" t="n">
        <v>0.03</v>
      </c>
      <c r="M618">
        <f>J618*K618*L618</f>
        <v/>
      </c>
    </row>
    <row r="619">
      <c r="A619" t="inlineStr">
        <is>
          <t>SW Wing On</t>
        </is>
      </c>
      <c r="B619" t="inlineStr">
        <is>
          <t>SW Wing On</t>
        </is>
      </c>
      <c r="C619" t="inlineStr">
        <is>
          <t>Hazel</t>
        </is>
      </c>
      <c r="D619" t="inlineStr">
        <is>
          <t>2026-06</t>
        </is>
      </c>
      <c r="E619" t="inlineStr">
        <is>
          <t>2026-06-20 00:00:00</t>
        </is>
      </c>
      <c r="F619" t="inlineStr">
        <is>
          <t>Model-Input-Ref</t>
        </is>
      </c>
      <c r="G619" t="inlineStr">
        <is>
          <t>未分類 (單據新增)</t>
        </is>
      </c>
      <c r="I619" t="inlineStr"/>
      <c r="J619" t="n">
        <v>1</v>
      </c>
      <c r="K619" t="n">
        <v>568</v>
      </c>
      <c r="L619" t="n">
        <v>0.03</v>
      </c>
      <c r="M619">
        <f>J619*K619*L619</f>
        <v/>
      </c>
    </row>
    <row r="620">
      <c r="A620" t="inlineStr">
        <is>
          <t>SW Wing On</t>
        </is>
      </c>
      <c r="B620" t="inlineStr">
        <is>
          <t>SW Wing On</t>
        </is>
      </c>
      <c r="C620" t="inlineStr">
        <is>
          <t>Hazel</t>
        </is>
      </c>
      <c r="D620" t="inlineStr">
        <is>
          <t>2026-06</t>
        </is>
      </c>
      <c r="E620" t="inlineStr">
        <is>
          <t>2026-06-20 00:00:00</t>
        </is>
      </c>
      <c r="F620" t="inlineStr">
        <is>
          <t>Model-Input-Ref</t>
        </is>
      </c>
      <c r="G620" t="inlineStr">
        <is>
          <t>未分類 (單據新增)</t>
        </is>
      </c>
      <c r="I620" t="inlineStr"/>
      <c r="J620" t="n">
        <v>1</v>
      </c>
      <c r="K620" t="n">
        <v>3588</v>
      </c>
      <c r="L620" t="n">
        <v>0.03</v>
      </c>
      <c r="M620">
        <f>J620*K620*L620</f>
        <v/>
      </c>
    </row>
    <row r="621">
      <c r="A621" t="inlineStr">
        <is>
          <t>SW Wing On</t>
        </is>
      </c>
      <c r="B621" t="inlineStr">
        <is>
          <t>SW Wing On</t>
        </is>
      </c>
      <c r="C621" t="inlineStr">
        <is>
          <t>Hazel</t>
        </is>
      </c>
      <c r="D621" t="inlineStr">
        <is>
          <t>2026-06</t>
        </is>
      </c>
      <c r="E621" t="inlineStr">
        <is>
          <t>2026-06-20 00:00:00</t>
        </is>
      </c>
      <c r="F621" t="inlineStr">
        <is>
          <t>Model-Input-Ref</t>
        </is>
      </c>
      <c r="G621" t="inlineStr">
        <is>
          <t>未分類 (單據新增)</t>
        </is>
      </c>
      <c r="I621" t="inlineStr"/>
      <c r="J621" t="n">
        <v>1</v>
      </c>
      <c r="K621" t="n">
        <v>358</v>
      </c>
      <c r="L621" t="n">
        <v>0.03</v>
      </c>
      <c r="M621">
        <f>J621*K621*L621</f>
        <v/>
      </c>
    </row>
    <row r="622">
      <c r="A622" t="inlineStr">
        <is>
          <t>SW Wing On</t>
        </is>
      </c>
      <c r="B622" t="inlineStr">
        <is>
          <t>SW Wing On</t>
        </is>
      </c>
      <c r="C622" t="inlineStr">
        <is>
          <t>Hazel</t>
        </is>
      </c>
      <c r="D622" t="inlineStr">
        <is>
          <t>2026-06</t>
        </is>
      </c>
      <c r="E622" t="inlineStr">
        <is>
          <t>2026-06-20 00:00:00</t>
        </is>
      </c>
      <c r="F622" t="inlineStr">
        <is>
          <t>Model-Input-Ref</t>
        </is>
      </c>
      <c r="G622" t="inlineStr">
        <is>
          <t>未分類 (單據新增)</t>
        </is>
      </c>
      <c r="I622" t="inlineStr"/>
      <c r="J622" t="n">
        <v>1</v>
      </c>
      <c r="K622" t="n">
        <v>798</v>
      </c>
      <c r="L622" t="n">
        <v>0.03</v>
      </c>
      <c r="M622">
        <f>J622*K622*L622</f>
        <v/>
      </c>
    </row>
    <row r="623">
      <c r="A623" t="inlineStr">
        <is>
          <t>SW Wing On</t>
        </is>
      </c>
      <c r="B623" t="inlineStr">
        <is>
          <t>SW Wing On</t>
        </is>
      </c>
      <c r="C623" t="inlineStr">
        <is>
          <t>Hazel</t>
        </is>
      </c>
      <c r="D623" t="inlineStr">
        <is>
          <t>2026-06</t>
        </is>
      </c>
      <c r="E623" t="inlineStr">
        <is>
          <t>2026-06-27 00:00:00</t>
        </is>
      </c>
      <c r="F623" t="inlineStr">
        <is>
          <t>Model-Input-Ref</t>
        </is>
      </c>
      <c r="G623" t="inlineStr">
        <is>
          <t>未分類 (單據新增)</t>
        </is>
      </c>
      <c r="I623" t="inlineStr"/>
      <c r="J623" t="n">
        <v>1</v>
      </c>
      <c r="K623" t="n">
        <v>150</v>
      </c>
      <c r="L623" t="n">
        <v>0.03</v>
      </c>
      <c r="M623">
        <f>J623*K623*L623</f>
        <v/>
      </c>
    </row>
    <row r="624">
      <c r="A624" t="inlineStr">
        <is>
          <t>SW Wing On</t>
        </is>
      </c>
      <c r="B624" t="inlineStr">
        <is>
          <t>SW Wing On</t>
        </is>
      </c>
      <c r="C624" t="inlineStr">
        <is>
          <t>Hazel</t>
        </is>
      </c>
      <c r="D624" t="inlineStr">
        <is>
          <t>2026-06</t>
        </is>
      </c>
      <c r="E624" t="inlineStr">
        <is>
          <t>2026-06-27 00:00:00</t>
        </is>
      </c>
      <c r="F624" t="inlineStr">
        <is>
          <t>Model-Input-Ref</t>
        </is>
      </c>
      <c r="G624" t="inlineStr">
        <is>
          <t>未分類 (單據新增)</t>
        </is>
      </c>
      <c r="I624" t="inlineStr"/>
      <c r="J624" t="n">
        <v>1</v>
      </c>
      <c r="K624" t="n">
        <v>1868</v>
      </c>
      <c r="L624" t="n">
        <v>0.03</v>
      </c>
      <c r="M624">
        <f>J624*K624*L624</f>
        <v/>
      </c>
    </row>
    <row r="625">
      <c r="A625" t="inlineStr">
        <is>
          <t>SW Wing On</t>
        </is>
      </c>
      <c r="B625" t="inlineStr">
        <is>
          <t>SW Wing On</t>
        </is>
      </c>
      <c r="C625" t="inlineStr">
        <is>
          <t>Hazel</t>
        </is>
      </c>
      <c r="D625" t="inlineStr">
        <is>
          <t>2026-06</t>
        </is>
      </c>
      <c r="E625" t="inlineStr">
        <is>
          <t>2026-06-27 00:00:00</t>
        </is>
      </c>
      <c r="F625" t="inlineStr">
        <is>
          <t>Model-Input-Ref</t>
        </is>
      </c>
      <c r="G625" t="inlineStr">
        <is>
          <t>未分類 (單據新增)</t>
        </is>
      </c>
      <c r="I625" t="inlineStr"/>
      <c r="J625" t="n">
        <v>1</v>
      </c>
      <c r="K625" t="n">
        <v>464</v>
      </c>
      <c r="L625" t="n">
        <v>0.03</v>
      </c>
      <c r="M625">
        <f>J625*K625*L625</f>
        <v/>
      </c>
    </row>
    <row r="626">
      <c r="A626" t="inlineStr">
        <is>
          <t>SW Wing On</t>
        </is>
      </c>
      <c r="B626" t="inlineStr">
        <is>
          <t>SW Wing On</t>
        </is>
      </c>
      <c r="C626" t="inlineStr">
        <is>
          <t>Hazel</t>
        </is>
      </c>
      <c r="D626" t="inlineStr">
        <is>
          <t>2026-06</t>
        </is>
      </c>
      <c r="E626" t="inlineStr">
        <is>
          <t>2026-06-27 00:00:00</t>
        </is>
      </c>
      <c r="F626" t="inlineStr">
        <is>
          <t>Model-Input-Ref</t>
        </is>
      </c>
      <c r="G626" t="inlineStr">
        <is>
          <t>未分類 (單據新增)</t>
        </is>
      </c>
      <c r="I626" t="inlineStr"/>
      <c r="J626" t="n">
        <v>1</v>
      </c>
      <c r="K626" t="n">
        <v>558</v>
      </c>
      <c r="L626" t="n">
        <v>0.03</v>
      </c>
      <c r="M626">
        <f>J626*K626*L626</f>
        <v/>
      </c>
    </row>
    <row r="627">
      <c r="A627" t="inlineStr">
        <is>
          <t>SW Wing On</t>
        </is>
      </c>
      <c r="B627" t="inlineStr">
        <is>
          <t>SW Wing On</t>
        </is>
      </c>
      <c r="C627" t="inlineStr">
        <is>
          <t>Hazel</t>
        </is>
      </c>
      <c r="D627" t="inlineStr">
        <is>
          <t>2026-06</t>
        </is>
      </c>
      <c r="E627" t="inlineStr">
        <is>
          <t>2026-06-28 00:00:00</t>
        </is>
      </c>
      <c r="F627" t="inlineStr">
        <is>
          <t>Model-Input-Ref</t>
        </is>
      </c>
      <c r="G627" t="inlineStr">
        <is>
          <t>未分類 (單據新增)</t>
        </is>
      </c>
      <c r="I627" t="inlineStr"/>
      <c r="J627" t="n">
        <v>1</v>
      </c>
      <c r="K627" t="n">
        <v>1276</v>
      </c>
      <c r="L627" t="n">
        <v>0.03</v>
      </c>
      <c r="M627">
        <f>J627*K627*L627</f>
        <v/>
      </c>
    </row>
    <row r="628">
      <c r="A628" t="inlineStr">
        <is>
          <t>SW Wing On</t>
        </is>
      </c>
      <c r="B628" t="inlineStr">
        <is>
          <t>SW Wing On</t>
        </is>
      </c>
      <c r="C628" t="inlineStr">
        <is>
          <t>Hazel</t>
        </is>
      </c>
      <c r="D628" t="inlineStr">
        <is>
          <t>2026-06</t>
        </is>
      </c>
      <c r="E628" t="inlineStr">
        <is>
          <t>2026-06-28 00:00:00</t>
        </is>
      </c>
      <c r="F628" t="inlineStr">
        <is>
          <t>Model-Input-Ref</t>
        </is>
      </c>
      <c r="G628" t="inlineStr">
        <is>
          <t>未分類 (單據新增)</t>
        </is>
      </c>
      <c r="I628" t="inlineStr"/>
      <c r="J628" t="n">
        <v>1</v>
      </c>
      <c r="K628" t="n">
        <v>1196</v>
      </c>
      <c r="L628" t="n">
        <v>0.03</v>
      </c>
      <c r="M628">
        <f>J628*K628*L628</f>
        <v/>
      </c>
    </row>
    <row r="629">
      <c r="A629" t="inlineStr">
        <is>
          <t>SW Wing On</t>
        </is>
      </c>
      <c r="B629" t="inlineStr">
        <is>
          <t>SW Wing On</t>
        </is>
      </c>
      <c r="C629" t="inlineStr">
        <is>
          <t>Hazel</t>
        </is>
      </c>
      <c r="D629" t="inlineStr">
        <is>
          <t>2026-06</t>
        </is>
      </c>
      <c r="E629" t="inlineStr">
        <is>
          <t>2026-06-28 00:00:00</t>
        </is>
      </c>
      <c r="F629" t="inlineStr">
        <is>
          <t>Model-Input-Ref</t>
        </is>
      </c>
      <c r="G629" t="inlineStr">
        <is>
          <t>未分類 (單據新增)</t>
        </is>
      </c>
      <c r="I629" t="inlineStr"/>
      <c r="J629" t="n">
        <v>1</v>
      </c>
      <c r="K629" t="n">
        <v>1868</v>
      </c>
      <c r="L629" t="n">
        <v>0.03</v>
      </c>
      <c r="M629">
        <f>J629*K629*L629</f>
        <v/>
      </c>
    </row>
    <row r="630">
      <c r="A630" t="inlineStr">
        <is>
          <t>SW Wing On</t>
        </is>
      </c>
      <c r="B630" t="inlineStr">
        <is>
          <t>SW Wing On</t>
        </is>
      </c>
      <c r="C630" t="inlineStr">
        <is>
          <t>Hazel</t>
        </is>
      </c>
      <c r="D630" t="inlineStr">
        <is>
          <t>2026-06</t>
        </is>
      </c>
      <c r="E630" t="inlineStr">
        <is>
          <t>2026-06-28 00:00:00</t>
        </is>
      </c>
      <c r="F630" t="inlineStr">
        <is>
          <t>Model-Input-Ref</t>
        </is>
      </c>
      <c r="G630" t="inlineStr">
        <is>
          <t>未分類 (單據新增)</t>
        </is>
      </c>
      <c r="I630" t="inlineStr"/>
      <c r="J630" t="n">
        <v>1</v>
      </c>
      <c r="K630" t="n">
        <v>3588</v>
      </c>
      <c r="L630" t="n">
        <v>0.03</v>
      </c>
      <c r="M630">
        <f>J630*K630*L630</f>
        <v/>
      </c>
    </row>
    <row r="631">
      <c r="A631" t="inlineStr">
        <is>
          <t>SW Wing On</t>
        </is>
      </c>
      <c r="B631" t="inlineStr">
        <is>
          <t>SW Wing On</t>
        </is>
      </c>
      <c r="C631" t="inlineStr">
        <is>
          <t>Hazel</t>
        </is>
      </c>
      <c r="D631" t="inlineStr">
        <is>
          <t>2026-06</t>
        </is>
      </c>
      <c r="E631" t="inlineStr">
        <is>
          <t>2026-06-29 00:00:00</t>
        </is>
      </c>
      <c r="F631" t="inlineStr">
        <is>
          <t>Model-Input-Ref</t>
        </is>
      </c>
      <c r="G631" t="inlineStr">
        <is>
          <t>未分類 (單據新增)</t>
        </is>
      </c>
      <c r="I631" t="inlineStr"/>
      <c r="J631" t="n">
        <v>1</v>
      </c>
      <c r="K631" t="n">
        <v>2552</v>
      </c>
      <c r="L631" t="n">
        <v>0.03</v>
      </c>
      <c r="M631">
        <f>J631*K631*L631</f>
        <v/>
      </c>
    </row>
    <row r="632">
      <c r="A632" t="inlineStr">
        <is>
          <t>SW Wing On</t>
        </is>
      </c>
      <c r="B632" t="inlineStr">
        <is>
          <t>SW Wing On</t>
        </is>
      </c>
      <c r="C632" t="inlineStr">
        <is>
          <t>Hazel</t>
        </is>
      </c>
      <c r="D632" t="inlineStr">
        <is>
          <t>2026-06</t>
        </is>
      </c>
      <c r="E632" t="inlineStr">
        <is>
          <t>2026-06-29 00:00:00</t>
        </is>
      </c>
      <c r="F632" t="inlineStr">
        <is>
          <t>Model-Input-Ref</t>
        </is>
      </c>
      <c r="G632" t="inlineStr">
        <is>
          <t>未分類 (單據新增)</t>
        </is>
      </c>
      <c r="I632" t="inlineStr"/>
      <c r="J632" t="n">
        <v>1</v>
      </c>
      <c r="K632" t="n">
        <v>798</v>
      </c>
      <c r="L632" t="n">
        <v>0.03</v>
      </c>
      <c r="M632">
        <f>J632*K632*L632</f>
        <v/>
      </c>
    </row>
    <row r="633">
      <c r="A633" t="inlineStr">
        <is>
          <t>SW Wing On</t>
        </is>
      </c>
      <c r="B633" t="inlineStr">
        <is>
          <t>SW Wing On</t>
        </is>
      </c>
      <c r="C633" t="inlineStr">
        <is>
          <t>Hazel</t>
        </is>
      </c>
      <c r="D633" t="inlineStr">
        <is>
          <t>2026-06</t>
        </is>
      </c>
      <c r="E633" t="inlineStr">
        <is>
          <t>2026-06-29 00:00:00</t>
        </is>
      </c>
      <c r="F633" t="inlineStr">
        <is>
          <t>Model-Input-Ref</t>
        </is>
      </c>
      <c r="G633" t="inlineStr">
        <is>
          <t>未分類 (單據新增)</t>
        </is>
      </c>
      <c r="I633" t="inlineStr"/>
      <c r="J633" t="n">
        <v>1</v>
      </c>
      <c r="K633" t="n">
        <v>996</v>
      </c>
      <c r="L633" t="n">
        <v>0.03</v>
      </c>
      <c r="M633">
        <f>J633*K633*L633</f>
        <v/>
      </c>
    </row>
    <row r="634">
      <c r="A634" t="inlineStr">
        <is>
          <t>SW Wing On</t>
        </is>
      </c>
      <c r="B634" t="inlineStr">
        <is>
          <t>SW Wing On</t>
        </is>
      </c>
      <c r="C634" t="inlineStr">
        <is>
          <t>Hazel</t>
        </is>
      </c>
      <c r="D634" t="inlineStr">
        <is>
          <t>2026-06</t>
        </is>
      </c>
      <c r="E634" t="inlineStr">
        <is>
          <t>2026-06-29 00:00:00</t>
        </is>
      </c>
      <c r="F634" t="inlineStr">
        <is>
          <t>Model-Input-Ref</t>
        </is>
      </c>
      <c r="G634" t="inlineStr">
        <is>
          <t>未分類 (單據新增)</t>
        </is>
      </c>
      <c r="I634" t="inlineStr"/>
      <c r="J634" t="n">
        <v>1</v>
      </c>
      <c r="K634" t="n">
        <v>598</v>
      </c>
      <c r="L634" t="n">
        <v>0.03</v>
      </c>
      <c r="M634">
        <f>J634*K634*L634</f>
        <v/>
      </c>
    </row>
    <row r="635">
      <c r="A635" t="inlineStr">
        <is>
          <t>SW Wing On</t>
        </is>
      </c>
      <c r="B635" t="inlineStr">
        <is>
          <t>SW Wing On</t>
        </is>
      </c>
      <c r="C635" t="inlineStr">
        <is>
          <t>Hazel</t>
        </is>
      </c>
      <c r="D635" t="inlineStr">
        <is>
          <t>2026-06</t>
        </is>
      </c>
      <c r="E635" t="inlineStr">
        <is>
          <t>2026-06-29 00:00:00</t>
        </is>
      </c>
      <c r="F635" t="inlineStr">
        <is>
          <t>Model-Input-Ref</t>
        </is>
      </c>
      <c r="G635" t="inlineStr">
        <is>
          <t>未分類 (單據新增)</t>
        </is>
      </c>
      <c r="I635" t="inlineStr"/>
      <c r="J635" t="n">
        <v>1</v>
      </c>
      <c r="K635" t="n">
        <v>2688</v>
      </c>
      <c r="L635" t="n">
        <v>0.03</v>
      </c>
      <c r="M635">
        <f>J635*K635*L635</f>
        <v/>
      </c>
    </row>
    <row r="636">
      <c r="A636" t="inlineStr">
        <is>
          <t>SW Wing On</t>
        </is>
      </c>
      <c r="B636" t="inlineStr">
        <is>
          <t>SW Wing On</t>
        </is>
      </c>
      <c r="C636" t="inlineStr">
        <is>
          <t>Hazel</t>
        </is>
      </c>
      <c r="D636" t="inlineStr">
        <is>
          <t>2026-06</t>
        </is>
      </c>
      <c r="E636" t="inlineStr">
        <is>
          <t>2026-06-29 00:00:00</t>
        </is>
      </c>
      <c r="F636" t="inlineStr">
        <is>
          <t>Model-Input-Ref</t>
        </is>
      </c>
      <c r="G636" t="inlineStr">
        <is>
          <t>未分類 (單據新增)</t>
        </is>
      </c>
      <c r="I636" t="inlineStr"/>
      <c r="J636" t="n">
        <v>1</v>
      </c>
      <c r="K636" t="n">
        <v>868</v>
      </c>
      <c r="L636" t="n">
        <v>0.03</v>
      </c>
      <c r="M636">
        <f>J636*K636*L636</f>
        <v/>
      </c>
    </row>
    <row r="637">
      <c r="A637" t="inlineStr">
        <is>
          <t>SW Wing On</t>
        </is>
      </c>
      <c r="B637" t="inlineStr">
        <is>
          <t>SW Wing On</t>
        </is>
      </c>
      <c r="C637" t="inlineStr">
        <is>
          <t>Carol</t>
        </is>
      </c>
      <c r="D637" t="inlineStr">
        <is>
          <t>2026-06</t>
        </is>
      </c>
      <c r="E637" t="inlineStr">
        <is>
          <t>2026-06-03 00:00:00</t>
        </is>
      </c>
      <c r="F637" t="inlineStr">
        <is>
          <t>Model-Input-Ref</t>
        </is>
      </c>
      <c r="G637" t="inlineStr">
        <is>
          <t>未分類 (單據新增)</t>
        </is>
      </c>
      <c r="I637" t="inlineStr"/>
      <c r="J637" t="n">
        <v>1</v>
      </c>
      <c r="K637" t="n">
        <v>2788</v>
      </c>
      <c r="L637" t="n">
        <v>0.03</v>
      </c>
      <c r="M637">
        <f>J637*K637*L637</f>
        <v/>
      </c>
    </row>
    <row r="638">
      <c r="A638" t="inlineStr">
        <is>
          <t>SW Wing On</t>
        </is>
      </c>
      <c r="B638" t="inlineStr">
        <is>
          <t>SW Wing On</t>
        </is>
      </c>
      <c r="C638" t="inlineStr">
        <is>
          <t>Carol</t>
        </is>
      </c>
      <c r="D638" t="inlineStr">
        <is>
          <t>2026-06</t>
        </is>
      </c>
      <c r="E638" t="inlineStr">
        <is>
          <t>2026-06-18 00:00:00</t>
        </is>
      </c>
      <c r="F638" t="inlineStr">
        <is>
          <t>Model-Input-Ref</t>
        </is>
      </c>
      <c r="G638" t="inlineStr">
        <is>
          <t>未分類 (單據新增)</t>
        </is>
      </c>
      <c r="I638" t="inlineStr"/>
      <c r="J638" t="n">
        <v>1</v>
      </c>
      <c r="K638" t="n">
        <v>798</v>
      </c>
      <c r="L638" t="n">
        <v>0.03</v>
      </c>
      <c r="M638">
        <f>J638*K638*L638</f>
        <v/>
      </c>
    </row>
    <row r="639">
      <c r="A639" t="inlineStr">
        <is>
          <t>SW Wing On</t>
        </is>
      </c>
      <c r="B639" t="inlineStr">
        <is>
          <t>SW Wing On</t>
        </is>
      </c>
      <c r="C639" t="inlineStr">
        <is>
          <t>Carol</t>
        </is>
      </c>
      <c r="D639" t="inlineStr">
        <is>
          <t>2026-06</t>
        </is>
      </c>
      <c r="E639" t="inlineStr">
        <is>
          <t>2026-06-19 00:00:00</t>
        </is>
      </c>
      <c r="F639" t="inlineStr">
        <is>
          <t>Model-Input-Ref</t>
        </is>
      </c>
      <c r="G639" t="inlineStr">
        <is>
          <t>未分類 (單據新增)</t>
        </is>
      </c>
      <c r="I639" t="inlineStr"/>
      <c r="J639" t="n">
        <v>1</v>
      </c>
      <c r="K639" t="n">
        <v>150</v>
      </c>
      <c r="L639" t="n">
        <v>0.03</v>
      </c>
      <c r="M639">
        <f>J639*K639*L639</f>
        <v/>
      </c>
    </row>
    <row r="640">
      <c r="A640" t="inlineStr">
        <is>
          <t>SW Wing On</t>
        </is>
      </c>
      <c r="B640" t="inlineStr">
        <is>
          <t>SW Wing On</t>
        </is>
      </c>
      <c r="C640" t="inlineStr">
        <is>
          <t>Carol</t>
        </is>
      </c>
      <c r="D640" t="inlineStr">
        <is>
          <t>2026-06</t>
        </is>
      </c>
      <c r="E640" t="inlineStr">
        <is>
          <t>2026-06-25 00:00:00</t>
        </is>
      </c>
      <c r="F640" t="inlineStr">
        <is>
          <t>Model-Input-Ref</t>
        </is>
      </c>
      <c r="G640" t="inlineStr">
        <is>
          <t>未分類 (單據新增)</t>
        </is>
      </c>
      <c r="I640" t="inlineStr"/>
      <c r="J640" t="n">
        <v>1</v>
      </c>
      <c r="K640" t="n">
        <v>638</v>
      </c>
      <c r="L640" t="n">
        <v>0.03</v>
      </c>
      <c r="M640">
        <f>J640*K640*L640</f>
        <v/>
      </c>
    </row>
    <row r="641">
      <c r="A641" t="inlineStr">
        <is>
          <t>SW Wing On</t>
        </is>
      </c>
      <c r="B641" t="inlineStr">
        <is>
          <t>SW Wing On</t>
        </is>
      </c>
      <c r="C641" t="inlineStr">
        <is>
          <t>Carol</t>
        </is>
      </c>
      <c r="D641" t="inlineStr">
        <is>
          <t>2026-06</t>
        </is>
      </c>
      <c r="E641" t="inlineStr">
        <is>
          <t>2026-06-25 00:00:00</t>
        </is>
      </c>
      <c r="F641" t="inlineStr">
        <is>
          <t>Model-Input-Ref</t>
        </is>
      </c>
      <c r="G641" t="inlineStr">
        <is>
          <t>未分類 (單據新增)</t>
        </is>
      </c>
      <c r="I641" t="inlineStr"/>
      <c r="J641" t="n">
        <v>1</v>
      </c>
      <c r="K641" t="n">
        <v>638</v>
      </c>
      <c r="L641" t="n">
        <v>0.03</v>
      </c>
      <c r="M641">
        <f>J641*K641*L641</f>
        <v/>
      </c>
    </row>
    <row r="642">
      <c r="A642" t="inlineStr">
        <is>
          <t>SW Wing On</t>
        </is>
      </c>
      <c r="B642" t="inlineStr">
        <is>
          <t>SW Wing On</t>
        </is>
      </c>
      <c r="C642" t="inlineStr">
        <is>
          <t>Carol</t>
        </is>
      </c>
      <c r="D642" t="inlineStr">
        <is>
          <t>2026-06</t>
        </is>
      </c>
      <c r="E642" t="inlineStr">
        <is>
          <t>2026-06-25 00:00:00</t>
        </is>
      </c>
      <c r="F642" t="inlineStr">
        <is>
          <t>Model-Input-Ref</t>
        </is>
      </c>
      <c r="G642" t="inlineStr">
        <is>
          <t>未分類 (單據新增)</t>
        </is>
      </c>
      <c r="I642" t="inlineStr"/>
      <c r="J642" t="n">
        <v>1</v>
      </c>
      <c r="K642" t="n">
        <v>798</v>
      </c>
      <c r="L642" t="n">
        <v>0.03</v>
      </c>
      <c r="M642">
        <f>J642*K642*L642</f>
        <v/>
      </c>
    </row>
    <row r="643">
      <c r="A643" t="inlineStr">
        <is>
          <t>SW Wing On</t>
        </is>
      </c>
      <c r="B643" t="inlineStr">
        <is>
          <t>SW Wing On</t>
        </is>
      </c>
      <c r="C643" t="inlineStr">
        <is>
          <t>Carol</t>
        </is>
      </c>
      <c r="D643" t="inlineStr">
        <is>
          <t>2026-06</t>
        </is>
      </c>
      <c r="E643" t="inlineStr">
        <is>
          <t>2026-06-25 00:00:00</t>
        </is>
      </c>
      <c r="F643" t="inlineStr">
        <is>
          <t>Model-Input-Ref</t>
        </is>
      </c>
      <c r="G643" t="inlineStr">
        <is>
          <t>未分類 (單據新增)</t>
        </is>
      </c>
      <c r="I643" t="inlineStr"/>
      <c r="J643" t="n">
        <v>1</v>
      </c>
      <c r="K643" t="n">
        <v>568</v>
      </c>
      <c r="L643" t="n">
        <v>0.03</v>
      </c>
      <c r="M643">
        <f>J643*K643*L643</f>
        <v/>
      </c>
    </row>
    <row r="644">
      <c r="A644" t="inlineStr">
        <is>
          <t>SW Wing On</t>
        </is>
      </c>
      <c r="B644" t="inlineStr">
        <is>
          <t>SW Wing On</t>
        </is>
      </c>
      <c r="C644" t="inlineStr">
        <is>
          <t>Carol</t>
        </is>
      </c>
      <c r="D644" t="inlineStr">
        <is>
          <t>2026-06</t>
        </is>
      </c>
      <c r="E644" t="inlineStr">
        <is>
          <t>2026-06-25 00:00:00</t>
        </is>
      </c>
      <c r="F644" t="inlineStr">
        <is>
          <t>Model-Input-Ref</t>
        </is>
      </c>
      <c r="G644" t="inlineStr">
        <is>
          <t>未分類 (單據新增)</t>
        </is>
      </c>
      <c r="I644" t="inlineStr"/>
      <c r="J644" t="n">
        <v>1</v>
      </c>
      <c r="K644" t="n">
        <v>798</v>
      </c>
      <c r="L644" t="n">
        <v>0.03</v>
      </c>
      <c r="M644">
        <f>J644*K644*L644</f>
        <v/>
      </c>
    </row>
    <row r="645">
      <c r="A645" t="inlineStr">
        <is>
          <t>SW Wing On</t>
        </is>
      </c>
      <c r="B645" t="inlineStr">
        <is>
          <t>SW Wing On</t>
        </is>
      </c>
      <c r="C645" t="inlineStr">
        <is>
          <t>Carol</t>
        </is>
      </c>
      <c r="D645" t="inlineStr">
        <is>
          <t>2026-06</t>
        </is>
      </c>
      <c r="E645" t="inlineStr">
        <is>
          <t>2026-06-25 00:00:00</t>
        </is>
      </c>
      <c r="F645" t="inlineStr">
        <is>
          <t>Model-Input-Ref</t>
        </is>
      </c>
      <c r="G645" t="inlineStr">
        <is>
          <t>未分類 (單據新增)</t>
        </is>
      </c>
      <c r="I645" t="inlineStr"/>
      <c r="J645" t="n">
        <v>1</v>
      </c>
      <c r="K645" t="n">
        <v>502.2</v>
      </c>
      <c r="L645" t="n">
        <v>0.03</v>
      </c>
      <c r="M645">
        <f>J645*K645*L645</f>
        <v/>
      </c>
    </row>
    <row r="646">
      <c r="A646" t="inlineStr">
        <is>
          <t>SW Wing On</t>
        </is>
      </c>
      <c r="B646" t="inlineStr">
        <is>
          <t>SW Wing On</t>
        </is>
      </c>
      <c r="C646" t="inlineStr">
        <is>
          <t>Carol</t>
        </is>
      </c>
      <c r="D646" t="inlineStr">
        <is>
          <t>2026-06</t>
        </is>
      </c>
      <c r="E646" t="inlineStr">
        <is>
          <t>2026-06-25 00:00:00</t>
        </is>
      </c>
      <c r="F646" t="inlineStr">
        <is>
          <t>Model-Input-Ref</t>
        </is>
      </c>
      <c r="G646" t="inlineStr">
        <is>
          <t>未分類 (單據新增)</t>
        </is>
      </c>
      <c r="I646" t="inlineStr"/>
      <c r="J646" t="n">
        <v>1</v>
      </c>
      <c r="K646" t="n">
        <v>2988</v>
      </c>
      <c r="L646" t="n">
        <v>0.03</v>
      </c>
      <c r="M646">
        <f>J646*K646*L646</f>
        <v/>
      </c>
    </row>
    <row r="647">
      <c r="A647" t="inlineStr">
        <is>
          <t>SW Wing On</t>
        </is>
      </c>
      <c r="B647" t="inlineStr">
        <is>
          <t>SW Wing On</t>
        </is>
      </c>
      <c r="C647" t="inlineStr">
        <is>
          <t>Carol</t>
        </is>
      </c>
      <c r="D647" t="inlineStr">
        <is>
          <t>2026-06</t>
        </is>
      </c>
      <c r="E647" t="inlineStr">
        <is>
          <t>2026-06-25 00:00:00</t>
        </is>
      </c>
      <c r="F647" t="inlineStr">
        <is>
          <t>Model-Input-Ref</t>
        </is>
      </c>
      <c r="G647" t="inlineStr">
        <is>
          <t>未分類 (單據新增)</t>
        </is>
      </c>
      <c r="I647" t="inlineStr"/>
      <c r="J647" t="n">
        <v>1</v>
      </c>
      <c r="K647" t="n">
        <v>502.2</v>
      </c>
      <c r="L647" t="n">
        <v>0.03</v>
      </c>
      <c r="M647">
        <f>J647*K647*L647</f>
        <v/>
      </c>
    </row>
    <row r="648">
      <c r="A648" t="inlineStr">
        <is>
          <t>SW Wing On</t>
        </is>
      </c>
      <c r="B648" t="inlineStr">
        <is>
          <t>SW Wing On</t>
        </is>
      </c>
      <c r="C648" t="inlineStr">
        <is>
          <t>Carol</t>
        </is>
      </c>
      <c r="D648" t="inlineStr">
        <is>
          <t>2026-06</t>
        </is>
      </c>
      <c r="E648" t="inlineStr">
        <is>
          <t>2026-06-25 00:00:00</t>
        </is>
      </c>
      <c r="F648" t="inlineStr">
        <is>
          <t>Model-Input-Ref</t>
        </is>
      </c>
      <c r="G648" t="inlineStr">
        <is>
          <t>未分類 (單據新增)</t>
        </is>
      </c>
      <c r="I648" t="inlineStr"/>
      <c r="J648" t="n">
        <v>1</v>
      </c>
      <c r="K648" t="n">
        <v>502.2</v>
      </c>
      <c r="L648" t="n">
        <v>0.03</v>
      </c>
      <c r="M648">
        <f>J648*K648*L648</f>
        <v/>
      </c>
    </row>
    <row r="649">
      <c r="A649" t="inlineStr">
        <is>
          <t>SW Wing On</t>
        </is>
      </c>
      <c r="B649" t="inlineStr">
        <is>
          <t>SW Wing On</t>
        </is>
      </c>
      <c r="C649" t="inlineStr">
        <is>
          <t>Carol</t>
        </is>
      </c>
      <c r="D649" t="inlineStr">
        <is>
          <t>2026-06</t>
        </is>
      </c>
      <c r="E649" t="inlineStr">
        <is>
          <t>2026-06-25 00:00:00</t>
        </is>
      </c>
      <c r="F649" t="inlineStr">
        <is>
          <t>Model-Input-Ref</t>
        </is>
      </c>
      <c r="G649" t="inlineStr">
        <is>
          <t>未分類 (單據新增)</t>
        </is>
      </c>
      <c r="I649" t="inlineStr"/>
      <c r="J649" t="n">
        <v>1</v>
      </c>
      <c r="K649" t="n">
        <v>798</v>
      </c>
      <c r="L649" t="n">
        <v>0.03</v>
      </c>
      <c r="M649">
        <f>J649*K649*L649</f>
        <v/>
      </c>
    </row>
    <row r="650">
      <c r="A650" t="inlineStr">
        <is>
          <t>SW Wing On</t>
        </is>
      </c>
      <c r="B650" t="inlineStr">
        <is>
          <t>SW Wing On</t>
        </is>
      </c>
      <c r="C650" t="inlineStr">
        <is>
          <t>Carol</t>
        </is>
      </c>
      <c r="D650" t="inlineStr">
        <is>
          <t>2026-06</t>
        </is>
      </c>
      <c r="E650" t="inlineStr">
        <is>
          <t>2026-06-25 00:00:00</t>
        </is>
      </c>
      <c r="F650" t="inlineStr">
        <is>
          <t>Model-Input-Ref</t>
        </is>
      </c>
      <c r="G650" t="inlineStr">
        <is>
          <t>未分類 (單據新增)</t>
        </is>
      </c>
      <c r="I650" t="inlineStr"/>
      <c r="J650" t="n">
        <v>1</v>
      </c>
      <c r="K650" t="n">
        <v>598</v>
      </c>
      <c r="L650" t="n">
        <v>0.03</v>
      </c>
      <c r="M650">
        <f>J650*K650*L650</f>
        <v/>
      </c>
    </row>
    <row r="651">
      <c r="A651" t="inlineStr">
        <is>
          <t>SW Wing On</t>
        </is>
      </c>
      <c r="B651" t="inlineStr">
        <is>
          <t>SW Wing On</t>
        </is>
      </c>
      <c r="C651" t="inlineStr">
        <is>
          <t>Carol</t>
        </is>
      </c>
      <c r="D651" t="inlineStr">
        <is>
          <t>2026-06</t>
        </is>
      </c>
      <c r="E651" t="inlineStr">
        <is>
          <t>2026-06-25 00:00:00</t>
        </is>
      </c>
      <c r="F651" t="inlineStr">
        <is>
          <t>Model-Input-Ref</t>
        </is>
      </c>
      <c r="G651" t="inlineStr">
        <is>
          <t>未分類 (單據新增)</t>
        </is>
      </c>
      <c r="I651" t="inlineStr"/>
      <c r="J651" t="n">
        <v>1</v>
      </c>
      <c r="K651" t="n">
        <v>598</v>
      </c>
      <c r="L651" t="n">
        <v>0.03</v>
      </c>
      <c r="M651">
        <f>J651*K651*L651</f>
        <v/>
      </c>
    </row>
    <row r="652">
      <c r="A652" t="inlineStr">
        <is>
          <t>SW Wing On</t>
        </is>
      </c>
      <c r="B652" t="inlineStr">
        <is>
          <t>SW Wing On</t>
        </is>
      </c>
      <c r="C652" t="inlineStr">
        <is>
          <t>Carol</t>
        </is>
      </c>
      <c r="D652" t="inlineStr">
        <is>
          <t>2026-06</t>
        </is>
      </c>
      <c r="E652" t="inlineStr">
        <is>
          <t>2026-06-25 00:00:00</t>
        </is>
      </c>
      <c r="F652" t="inlineStr">
        <is>
          <t>Model-Input-Ref</t>
        </is>
      </c>
      <c r="G652" t="inlineStr">
        <is>
          <t>未分類 (單據新增)</t>
        </is>
      </c>
      <c r="I652" t="inlineStr"/>
      <c r="J652" t="n">
        <v>1</v>
      </c>
      <c r="K652" t="n">
        <v>2388</v>
      </c>
      <c r="L652" t="n">
        <v>0.03</v>
      </c>
      <c r="M652">
        <f>J652*K652*L652</f>
        <v/>
      </c>
    </row>
    <row r="653">
      <c r="A653" t="inlineStr">
        <is>
          <t>SW Wing On</t>
        </is>
      </c>
      <c r="B653" t="inlineStr">
        <is>
          <t>SW Wing On</t>
        </is>
      </c>
      <c r="C653" t="inlineStr">
        <is>
          <t>Carol</t>
        </is>
      </c>
      <c r="D653" t="inlineStr">
        <is>
          <t>2026-06</t>
        </is>
      </c>
      <c r="E653" t="inlineStr">
        <is>
          <t>2026-06-25 00:00:00</t>
        </is>
      </c>
      <c r="F653" t="inlineStr">
        <is>
          <t>Model-Input-Ref</t>
        </is>
      </c>
      <c r="G653" t="inlineStr">
        <is>
          <t>未分類 (單據新增)</t>
        </is>
      </c>
      <c r="I653" t="inlineStr"/>
      <c r="J653" t="n">
        <v>1</v>
      </c>
      <c r="K653" t="n">
        <v>638</v>
      </c>
      <c r="L653" t="n">
        <v>0.03</v>
      </c>
      <c r="M653">
        <f>J653*K653*L653</f>
        <v/>
      </c>
    </row>
    <row r="654">
      <c r="A654" t="inlineStr">
        <is>
          <t>SW Wing On</t>
        </is>
      </c>
      <c r="B654" t="inlineStr">
        <is>
          <t>SW Wing On</t>
        </is>
      </c>
      <c r="C654" t="inlineStr">
        <is>
          <t>Carol</t>
        </is>
      </c>
      <c r="D654" t="inlineStr">
        <is>
          <t>2026-06</t>
        </is>
      </c>
      <c r="E654" t="inlineStr">
        <is>
          <t>2026-06-25 00:00:00</t>
        </is>
      </c>
      <c r="F654" t="inlineStr">
        <is>
          <t>Model-Input-Ref</t>
        </is>
      </c>
      <c r="G654" t="inlineStr">
        <is>
          <t>未分類 (單據新增)</t>
        </is>
      </c>
      <c r="I654" t="inlineStr"/>
      <c r="J654" t="n">
        <v>1</v>
      </c>
      <c r="K654" t="n">
        <v>498</v>
      </c>
      <c r="L654" t="n">
        <v>0.03</v>
      </c>
      <c r="M654">
        <f>J654*K654*L654</f>
        <v/>
      </c>
    </row>
    <row r="655">
      <c r="A655" t="inlineStr">
        <is>
          <t>SW Wing On</t>
        </is>
      </c>
      <c r="B655" t="inlineStr">
        <is>
          <t>SW Wing On</t>
        </is>
      </c>
      <c r="C655" t="inlineStr">
        <is>
          <t>Carol</t>
        </is>
      </c>
      <c r="D655" t="inlineStr">
        <is>
          <t>2026-06</t>
        </is>
      </c>
      <c r="E655" t="inlineStr">
        <is>
          <t>2026-06-25 00:00:00</t>
        </is>
      </c>
      <c r="F655" t="inlineStr">
        <is>
          <t>Model-Input-Ref</t>
        </is>
      </c>
      <c r="G655" t="inlineStr">
        <is>
          <t>未分類 (單據新增)</t>
        </is>
      </c>
      <c r="I655" t="inlineStr"/>
      <c r="J655" t="n">
        <v>1</v>
      </c>
      <c r="K655" t="n">
        <v>638</v>
      </c>
      <c r="L655" t="n">
        <v>0.03</v>
      </c>
      <c r="M655">
        <f>J655*K655*L655</f>
        <v/>
      </c>
    </row>
    <row r="656">
      <c r="A656" t="inlineStr">
        <is>
          <t>SW Wing On</t>
        </is>
      </c>
      <c r="B656" t="inlineStr">
        <is>
          <t>SW Wing On</t>
        </is>
      </c>
      <c r="C656" t="inlineStr">
        <is>
          <t>Carol</t>
        </is>
      </c>
      <c r="D656" t="inlineStr">
        <is>
          <t>2026-06</t>
        </is>
      </c>
      <c r="E656" t="inlineStr">
        <is>
          <t>2026-06-25 00:00:00</t>
        </is>
      </c>
      <c r="F656" t="inlineStr">
        <is>
          <t>Model-Input-Ref</t>
        </is>
      </c>
      <c r="G656" t="inlineStr">
        <is>
          <t>未分類 (單據新增)</t>
        </is>
      </c>
      <c r="I656" t="inlineStr"/>
      <c r="J656" t="n">
        <v>1</v>
      </c>
      <c r="K656" t="n">
        <v>2388</v>
      </c>
      <c r="L656" t="n">
        <v>0.03</v>
      </c>
      <c r="M656">
        <f>J656*K656*L656</f>
        <v/>
      </c>
    </row>
    <row r="657">
      <c r="A657" t="inlineStr">
        <is>
          <t>TW Aeon</t>
        </is>
      </c>
      <c r="B657" t="inlineStr">
        <is>
          <t>TW Aeon</t>
        </is>
      </c>
      <c r="C657" t="inlineStr">
        <is>
          <t>Fan</t>
        </is>
      </c>
      <c r="D657" t="inlineStr">
        <is>
          <t>2026-06</t>
        </is>
      </c>
      <c r="E657" t="inlineStr">
        <is>
          <t>2026-06-13 00:00:00</t>
        </is>
      </c>
      <c r="F657" t="inlineStr">
        <is>
          <t>Model-Input-Ref</t>
        </is>
      </c>
      <c r="G657" t="inlineStr">
        <is>
          <t>未分類 (單據新增)</t>
        </is>
      </c>
      <c r="I657" t="inlineStr"/>
      <c r="J657" t="n">
        <v>1</v>
      </c>
      <c r="K657" t="n">
        <v>458</v>
      </c>
      <c r="L657" t="n">
        <v>0.03</v>
      </c>
      <c r="M657">
        <f>J657*K657*L657</f>
        <v/>
      </c>
    </row>
    <row r="658">
      <c r="A658" t="inlineStr">
        <is>
          <t>TW Aeon</t>
        </is>
      </c>
      <c r="B658" t="inlineStr">
        <is>
          <t>TW Aeon</t>
        </is>
      </c>
      <c r="C658" t="inlineStr">
        <is>
          <t>Fan</t>
        </is>
      </c>
      <c r="D658" t="inlineStr">
        <is>
          <t>2026-06</t>
        </is>
      </c>
      <c r="E658" t="inlineStr">
        <is>
          <t>2026-06-14 00:00:00</t>
        </is>
      </c>
      <c r="F658" t="inlineStr">
        <is>
          <t>Model-Input-Ref</t>
        </is>
      </c>
      <c r="G658" t="inlineStr">
        <is>
          <t>未分類 (單據新增)</t>
        </is>
      </c>
      <c r="I658" t="inlineStr"/>
      <c r="J658" t="n">
        <v>1</v>
      </c>
      <c r="K658" t="n">
        <v>530</v>
      </c>
      <c r="L658" t="n">
        <v>0.03</v>
      </c>
      <c r="M658">
        <f>J658*K658*L658</f>
        <v/>
      </c>
    </row>
    <row r="659">
      <c r="A659" t="inlineStr">
        <is>
          <t>TW Aeon</t>
        </is>
      </c>
      <c r="B659" t="inlineStr">
        <is>
          <t>TW Aeon</t>
        </is>
      </c>
      <c r="C659" t="inlineStr">
        <is>
          <t>Fan</t>
        </is>
      </c>
      <c r="D659" t="inlineStr">
        <is>
          <t>2026-06</t>
        </is>
      </c>
      <c r="E659" t="inlineStr">
        <is>
          <t>2026-06-14 00:00:00</t>
        </is>
      </c>
      <c r="F659" t="inlineStr">
        <is>
          <t>Model-Input-Ref</t>
        </is>
      </c>
      <c r="G659" t="inlineStr">
        <is>
          <t>未分類 (單據新增)</t>
        </is>
      </c>
      <c r="I659" t="inlineStr"/>
      <c r="J659" t="n">
        <v>1</v>
      </c>
      <c r="K659" t="n">
        <v>298</v>
      </c>
      <c r="L659" t="n">
        <v>0.03</v>
      </c>
      <c r="M659">
        <f>J659*K659*L659</f>
        <v/>
      </c>
    </row>
    <row r="660">
      <c r="A660" t="inlineStr">
        <is>
          <t>TW Aeon</t>
        </is>
      </c>
      <c r="B660" t="inlineStr">
        <is>
          <t>TW Aeon</t>
        </is>
      </c>
      <c r="C660" t="inlineStr">
        <is>
          <t>Fan</t>
        </is>
      </c>
      <c r="D660" t="inlineStr">
        <is>
          <t>2026-06</t>
        </is>
      </c>
      <c r="E660" t="inlineStr">
        <is>
          <t>2026-06-14 00:00:00</t>
        </is>
      </c>
      <c r="F660" t="inlineStr">
        <is>
          <t>Model-Input-Ref</t>
        </is>
      </c>
      <c r="G660" t="inlineStr">
        <is>
          <t>未分類 (單據新增)</t>
        </is>
      </c>
      <c r="I660" t="inlineStr"/>
      <c r="J660" t="n">
        <v>1</v>
      </c>
      <c r="K660" t="n">
        <v>398</v>
      </c>
      <c r="L660" t="n">
        <v>0.03</v>
      </c>
      <c r="M660">
        <f>J660*K660*L660</f>
        <v/>
      </c>
    </row>
    <row r="661">
      <c r="A661" t="inlineStr">
        <is>
          <t>TW Aeon</t>
        </is>
      </c>
      <c r="B661" t="inlineStr">
        <is>
          <t>TW Aeon</t>
        </is>
      </c>
      <c r="C661" t="inlineStr">
        <is>
          <t>Fan</t>
        </is>
      </c>
      <c r="D661" t="inlineStr">
        <is>
          <t>2026-06</t>
        </is>
      </c>
      <c r="E661" t="inlineStr">
        <is>
          <t>2026-06-14 00:00:00</t>
        </is>
      </c>
      <c r="F661" t="inlineStr">
        <is>
          <t>Model-Input-Ref</t>
        </is>
      </c>
      <c r="G661" t="inlineStr">
        <is>
          <t>未分類 (單據新增)</t>
        </is>
      </c>
      <c r="I661" t="inlineStr"/>
      <c r="J661" t="n">
        <v>1</v>
      </c>
      <c r="K661" t="n">
        <v>598</v>
      </c>
      <c r="L661" t="n">
        <v>0.03</v>
      </c>
      <c r="M661">
        <f>J661*K661*L661</f>
        <v/>
      </c>
    </row>
    <row r="662">
      <c r="A662" t="inlineStr">
        <is>
          <t>TW Aeon</t>
        </is>
      </c>
      <c r="B662" t="inlineStr">
        <is>
          <t>TW Aeon</t>
        </is>
      </c>
      <c r="C662" t="inlineStr">
        <is>
          <t>Fan</t>
        </is>
      </c>
      <c r="D662" t="inlineStr">
        <is>
          <t>2026-06</t>
        </is>
      </c>
      <c r="E662" t="inlineStr">
        <is>
          <t>2026-06-27 00:00:00</t>
        </is>
      </c>
      <c r="F662" t="inlineStr">
        <is>
          <t>Model-Input-Ref</t>
        </is>
      </c>
      <c r="G662" t="inlineStr">
        <is>
          <t>未分類 (單據新增)</t>
        </is>
      </c>
      <c r="I662" t="inlineStr"/>
      <c r="J662" t="n">
        <v>1</v>
      </c>
      <c r="K662" t="n">
        <v>698</v>
      </c>
      <c r="L662" t="n">
        <v>0.03</v>
      </c>
      <c r="M662">
        <f>J662*K662*L662</f>
        <v/>
      </c>
    </row>
    <row r="663">
      <c r="A663" t="inlineStr">
        <is>
          <t>TW Aeon</t>
        </is>
      </c>
      <c r="B663" t="inlineStr">
        <is>
          <t>TW Aeon</t>
        </is>
      </c>
      <c r="C663" t="inlineStr">
        <is>
          <t>Fan</t>
        </is>
      </c>
      <c r="D663" t="inlineStr">
        <is>
          <t>2026-06</t>
        </is>
      </c>
      <c r="E663" t="inlineStr">
        <is>
          <t>2026-06-28 00:00:00</t>
        </is>
      </c>
      <c r="F663" t="inlineStr">
        <is>
          <t>Model-Input-Ref</t>
        </is>
      </c>
      <c r="G663" t="inlineStr">
        <is>
          <t>未分類 (單據新增)</t>
        </is>
      </c>
      <c r="I663" t="inlineStr"/>
      <c r="J663" t="n">
        <v>1</v>
      </c>
      <c r="K663" t="n">
        <v>598</v>
      </c>
      <c r="L663" t="n">
        <v>0.03</v>
      </c>
      <c r="M663">
        <f>J663*K663*L663</f>
        <v/>
      </c>
    </row>
    <row r="664">
      <c r="A664" t="inlineStr"/>
      <c r="B664" t="inlineStr"/>
      <c r="C664" t="inlineStr"/>
      <c r="D664" t="inlineStr">
        <is>
          <t>2026-06</t>
        </is>
      </c>
      <c r="E664" t="inlineStr"/>
      <c r="F664" t="inlineStr"/>
      <c r="G664">
        <f>IF(F664="","", IFERROR(VLOOKUP(F664, 'Product List'!A:D, 2, FALSE), ""))</f>
        <v/>
      </c>
      <c r="H664">
        <f>IF(F664="","", IFERROR(VLOOKUP(F664, 'Product List'!A:D, 3, FALSE), ""))</f>
        <v/>
      </c>
      <c r="I664" t="inlineStr"/>
      <c r="J664" t="n">
        <v>1</v>
      </c>
      <c r="K664" t="n">
        <v>0</v>
      </c>
      <c r="L664">
        <f>IF(F664="","", IFERROR(VLOOKUP(F664, 'Product List'!A:D, 4, FALSE), 0.03))</f>
        <v/>
      </c>
      <c r="M664">
        <f>IF(F664="","", J664*K664*L664)</f>
        <v/>
      </c>
    </row>
    <row r="665">
      <c r="A665" t="inlineStr"/>
      <c r="B665" t="inlineStr"/>
      <c r="C665" t="inlineStr"/>
      <c r="D665" t="inlineStr">
        <is>
          <t>2026-06</t>
        </is>
      </c>
      <c r="E665" t="inlineStr"/>
      <c r="F665" t="inlineStr"/>
      <c r="G665">
        <f>IF(F665="","", IFERROR(VLOOKUP(F665, 'Product List'!A:D, 2, FALSE), ""))</f>
        <v/>
      </c>
      <c r="H665">
        <f>IF(F665="","", IFERROR(VLOOKUP(F665, 'Product List'!A:D, 3, FALSE), ""))</f>
        <v/>
      </c>
      <c r="I665" t="inlineStr"/>
      <c r="J665" t="n">
        <v>1</v>
      </c>
      <c r="K665" t="n">
        <v>0</v>
      </c>
      <c r="L665">
        <f>IF(F665="","", IFERROR(VLOOKUP(F665, 'Product List'!A:D, 4, FALSE), 0.03))</f>
        <v/>
      </c>
      <c r="M665">
        <f>IF(F665="","", J665*K665*L665)</f>
        <v/>
      </c>
    </row>
    <row r="666">
      <c r="A666" t="inlineStr"/>
      <c r="B666" t="inlineStr"/>
      <c r="C666" t="inlineStr"/>
      <c r="D666" t="inlineStr">
        <is>
          <t>2026-06</t>
        </is>
      </c>
      <c r="E666" t="inlineStr"/>
      <c r="F666" t="inlineStr"/>
      <c r="G666">
        <f>IF(F666="","", IFERROR(VLOOKUP(F666, 'Product List'!A:D, 2, FALSE), ""))</f>
        <v/>
      </c>
      <c r="H666">
        <f>IF(F666="","", IFERROR(VLOOKUP(F666, 'Product List'!A:D, 3, FALSE), ""))</f>
        <v/>
      </c>
      <c r="I666" t="inlineStr"/>
      <c r="J666" t="n">
        <v>1</v>
      </c>
      <c r="K666" t="n">
        <v>0</v>
      </c>
      <c r="L666">
        <f>IF(F666="","", IFERROR(VLOOKUP(F666, 'Product List'!A:D, 4, FALSE), 0.03))</f>
        <v/>
      </c>
      <c r="M666">
        <f>IF(F666="","", J666*K666*L666)</f>
        <v/>
      </c>
    </row>
    <row r="667">
      <c r="A667" t="inlineStr"/>
      <c r="B667" t="inlineStr"/>
      <c r="C667" t="inlineStr"/>
      <c r="D667" t="inlineStr">
        <is>
          <t>2026-06</t>
        </is>
      </c>
      <c r="E667" t="inlineStr"/>
      <c r="F667" t="inlineStr"/>
      <c r="G667">
        <f>IF(F667="","", IFERROR(VLOOKUP(F667, 'Product List'!A:D, 2, FALSE), ""))</f>
        <v/>
      </c>
      <c r="H667">
        <f>IF(F667="","", IFERROR(VLOOKUP(F667, 'Product List'!A:D, 3, FALSE), ""))</f>
        <v/>
      </c>
      <c r="I667" t="inlineStr"/>
      <c r="J667" t="n">
        <v>1</v>
      </c>
      <c r="K667" t="n">
        <v>0</v>
      </c>
      <c r="L667">
        <f>IF(F667="","", IFERROR(VLOOKUP(F667, 'Product List'!A:D, 4, FALSE), 0.03))</f>
        <v/>
      </c>
      <c r="M667">
        <f>IF(F667="","", J667*K667*L667)</f>
        <v/>
      </c>
    </row>
    <row r="668">
      <c r="A668" t="inlineStr"/>
      <c r="B668" t="inlineStr"/>
      <c r="C668" t="inlineStr"/>
      <c r="D668" t="inlineStr">
        <is>
          <t>2026-06</t>
        </is>
      </c>
      <c r="E668" t="inlineStr"/>
      <c r="F668" t="inlineStr"/>
      <c r="G668">
        <f>IF(F668="","", IFERROR(VLOOKUP(F668, 'Product List'!A:D, 2, FALSE), ""))</f>
        <v/>
      </c>
      <c r="H668">
        <f>IF(F668="","", IFERROR(VLOOKUP(F668, 'Product List'!A:D, 3, FALSE), ""))</f>
        <v/>
      </c>
      <c r="I668" t="inlineStr"/>
      <c r="J668" t="n">
        <v>1</v>
      </c>
      <c r="K668" t="n">
        <v>0</v>
      </c>
      <c r="L668">
        <f>IF(F668="","", IFERROR(VLOOKUP(F668, 'Product List'!A:D, 4, FALSE), 0.03))</f>
        <v/>
      </c>
      <c r="M668">
        <f>IF(F668="","", J668*K668*L668)</f>
        <v/>
      </c>
    </row>
    <row r="669">
      <c r="A669" t="inlineStr"/>
      <c r="B669" t="inlineStr"/>
      <c r="C669" t="inlineStr"/>
      <c r="D669" t="inlineStr">
        <is>
          <t>2026-06</t>
        </is>
      </c>
      <c r="E669" t="inlineStr"/>
      <c r="F669" t="inlineStr"/>
      <c r="G669">
        <f>IF(F669="","", IFERROR(VLOOKUP(F669, 'Product List'!A:D, 2, FALSE), ""))</f>
        <v/>
      </c>
      <c r="H669">
        <f>IF(F669="","", IFERROR(VLOOKUP(F669, 'Product List'!A:D, 3, FALSE), ""))</f>
        <v/>
      </c>
      <c r="I669" t="inlineStr"/>
      <c r="J669" t="n">
        <v>1</v>
      </c>
      <c r="K669" t="n">
        <v>0</v>
      </c>
      <c r="L669">
        <f>IF(F669="","", IFERROR(VLOOKUP(F669, 'Product List'!A:D, 4, FALSE), 0.03))</f>
        <v/>
      </c>
      <c r="M669">
        <f>IF(F669="","", J669*K669*L669)</f>
        <v/>
      </c>
    </row>
    <row r="670">
      <c r="A670" t="inlineStr"/>
      <c r="B670" t="inlineStr"/>
      <c r="C670" t="inlineStr"/>
      <c r="D670" t="inlineStr">
        <is>
          <t>2026-06</t>
        </is>
      </c>
      <c r="E670" t="inlineStr"/>
      <c r="F670" t="inlineStr"/>
      <c r="G670">
        <f>IF(F670="","", IFERROR(VLOOKUP(F670, 'Product List'!A:D, 2, FALSE), ""))</f>
        <v/>
      </c>
      <c r="H670">
        <f>IF(F670="","", IFERROR(VLOOKUP(F670, 'Product List'!A:D, 3, FALSE), ""))</f>
        <v/>
      </c>
      <c r="I670" t="inlineStr"/>
      <c r="J670" t="n">
        <v>1</v>
      </c>
      <c r="K670" t="n">
        <v>0</v>
      </c>
      <c r="L670">
        <f>IF(F670="","", IFERROR(VLOOKUP(F670, 'Product List'!A:D, 4, FALSE), 0.03))</f>
        <v/>
      </c>
      <c r="M670">
        <f>IF(F670="","", J670*K670*L670)</f>
        <v/>
      </c>
    </row>
    <row r="671">
      <c r="A671" t="inlineStr"/>
      <c r="B671" t="inlineStr"/>
      <c r="C671" t="inlineStr"/>
      <c r="D671" t="inlineStr">
        <is>
          <t>2026-06</t>
        </is>
      </c>
      <c r="E671" t="inlineStr"/>
      <c r="F671" t="inlineStr"/>
      <c r="G671">
        <f>IF(F671="","", IFERROR(VLOOKUP(F671, 'Product List'!A:D, 2, FALSE), ""))</f>
        <v/>
      </c>
      <c r="H671">
        <f>IF(F671="","", IFERROR(VLOOKUP(F671, 'Product List'!A:D, 3, FALSE), ""))</f>
        <v/>
      </c>
      <c r="I671" t="inlineStr"/>
      <c r="J671" t="n">
        <v>1</v>
      </c>
      <c r="K671" t="n">
        <v>0</v>
      </c>
      <c r="L671">
        <f>IF(F671="","", IFERROR(VLOOKUP(F671, 'Product List'!A:D, 4, FALSE), 0.03))</f>
        <v/>
      </c>
      <c r="M671">
        <f>IF(F671="","", J671*K671*L671)</f>
        <v/>
      </c>
    </row>
    <row r="672">
      <c r="A672" t="inlineStr"/>
      <c r="B672" t="inlineStr"/>
      <c r="C672" t="inlineStr"/>
      <c r="D672" t="inlineStr">
        <is>
          <t>2026-06</t>
        </is>
      </c>
      <c r="E672" t="inlineStr"/>
      <c r="F672" t="inlineStr"/>
      <c r="G672">
        <f>IF(F672="","", IFERROR(VLOOKUP(F672, 'Product List'!A:D, 2, FALSE), ""))</f>
        <v/>
      </c>
      <c r="H672">
        <f>IF(F672="","", IFERROR(VLOOKUP(F672, 'Product List'!A:D, 3, FALSE), ""))</f>
        <v/>
      </c>
      <c r="I672" t="inlineStr"/>
      <c r="J672" t="n">
        <v>1</v>
      </c>
      <c r="K672" t="n">
        <v>0</v>
      </c>
      <c r="L672">
        <f>IF(F672="","", IFERROR(VLOOKUP(F672, 'Product List'!A:D, 4, FALSE), 0.03))</f>
        <v/>
      </c>
      <c r="M672">
        <f>IF(F672="","", J672*K672*L672)</f>
        <v/>
      </c>
    </row>
    <row r="673">
      <c r="A673" t="inlineStr"/>
      <c r="B673" t="inlineStr"/>
      <c r="C673" t="inlineStr"/>
      <c r="D673" t="inlineStr">
        <is>
          <t>2026-06</t>
        </is>
      </c>
      <c r="E673" t="inlineStr"/>
      <c r="F673" t="inlineStr"/>
      <c r="G673">
        <f>IF(F673="","", IFERROR(VLOOKUP(F673, 'Product List'!A:D, 2, FALSE), ""))</f>
        <v/>
      </c>
      <c r="H673">
        <f>IF(F673="","", IFERROR(VLOOKUP(F673, 'Product List'!A:D, 3, FALSE), ""))</f>
        <v/>
      </c>
      <c r="I673" t="inlineStr"/>
      <c r="J673" t="n">
        <v>1</v>
      </c>
      <c r="K673" t="n">
        <v>0</v>
      </c>
      <c r="L673">
        <f>IF(F673="","", IFERROR(VLOOKUP(F673, 'Product List'!A:D, 4, FALSE), 0.03))</f>
        <v/>
      </c>
      <c r="M673">
        <f>IF(F673="","", J673*K673*L673)</f>
        <v/>
      </c>
    </row>
    <row r="674">
      <c r="A674" t="inlineStr"/>
      <c r="B674" t="inlineStr"/>
      <c r="C674" t="inlineStr"/>
      <c r="D674" t="inlineStr">
        <is>
          <t>2026-06</t>
        </is>
      </c>
      <c r="E674" t="inlineStr"/>
      <c r="F674" t="inlineStr"/>
      <c r="G674">
        <f>IF(F674="","", IFERROR(VLOOKUP(F674, 'Product List'!A:D, 2, FALSE), ""))</f>
        <v/>
      </c>
      <c r="H674">
        <f>IF(F674="","", IFERROR(VLOOKUP(F674, 'Product List'!A:D, 3, FALSE), ""))</f>
        <v/>
      </c>
      <c r="I674" t="inlineStr"/>
      <c r="J674" t="n">
        <v>1</v>
      </c>
      <c r="K674" t="n">
        <v>0</v>
      </c>
      <c r="L674">
        <f>IF(F674="","", IFERROR(VLOOKUP(F674, 'Product List'!A:D, 4, FALSE), 0.03))</f>
        <v/>
      </c>
      <c r="M674">
        <f>IF(F674="","", J674*K674*L674)</f>
        <v/>
      </c>
    </row>
    <row r="675">
      <c r="A675" t="inlineStr"/>
      <c r="B675" t="inlineStr"/>
      <c r="C675" t="inlineStr"/>
      <c r="D675" t="inlineStr">
        <is>
          <t>2026-06</t>
        </is>
      </c>
      <c r="E675" t="inlineStr"/>
      <c r="F675" t="inlineStr"/>
      <c r="G675">
        <f>IF(F675="","", IFERROR(VLOOKUP(F675, 'Product List'!A:D, 2, FALSE), ""))</f>
        <v/>
      </c>
      <c r="H675">
        <f>IF(F675="","", IFERROR(VLOOKUP(F675, 'Product List'!A:D, 3, FALSE), ""))</f>
        <v/>
      </c>
      <c r="I675" t="inlineStr"/>
      <c r="J675" t="n">
        <v>1</v>
      </c>
      <c r="K675" t="n">
        <v>0</v>
      </c>
      <c r="L675">
        <f>IF(F675="","", IFERROR(VLOOKUP(F675, 'Product List'!A:D, 4, FALSE), 0.03))</f>
        <v/>
      </c>
      <c r="M675">
        <f>IF(F675="","", J675*K675*L675)</f>
        <v/>
      </c>
    </row>
    <row r="676">
      <c r="A676" t="inlineStr"/>
      <c r="B676" t="inlineStr"/>
      <c r="C676" t="inlineStr"/>
      <c r="D676" t="inlineStr">
        <is>
          <t>2026-06</t>
        </is>
      </c>
      <c r="E676" t="inlineStr"/>
      <c r="F676" t="inlineStr"/>
      <c r="G676">
        <f>IF(F676="","", IFERROR(VLOOKUP(F676, 'Product List'!A:D, 2, FALSE), ""))</f>
        <v/>
      </c>
      <c r="H676">
        <f>IF(F676="","", IFERROR(VLOOKUP(F676, 'Product List'!A:D, 3, FALSE), ""))</f>
        <v/>
      </c>
      <c r="I676" t="inlineStr"/>
      <c r="J676" t="n">
        <v>1</v>
      </c>
      <c r="K676" t="n">
        <v>0</v>
      </c>
      <c r="L676">
        <f>IF(F676="","", IFERROR(VLOOKUP(F676, 'Product List'!A:D, 4, FALSE), 0.03))</f>
        <v/>
      </c>
      <c r="M676">
        <f>IF(F676="","", J676*K676*L676)</f>
        <v/>
      </c>
    </row>
    <row r="677">
      <c r="A677" t="inlineStr"/>
      <c r="B677" t="inlineStr"/>
      <c r="C677" t="inlineStr"/>
      <c r="D677" t="inlineStr">
        <is>
          <t>2026-06</t>
        </is>
      </c>
      <c r="E677" t="inlineStr"/>
      <c r="F677" t="inlineStr"/>
      <c r="G677">
        <f>IF(F677="","", IFERROR(VLOOKUP(F677, 'Product List'!A:D, 2, FALSE), ""))</f>
        <v/>
      </c>
      <c r="H677">
        <f>IF(F677="","", IFERROR(VLOOKUP(F677, 'Product List'!A:D, 3, FALSE), ""))</f>
        <v/>
      </c>
      <c r="I677" t="inlineStr"/>
      <c r="J677" t="n">
        <v>1</v>
      </c>
      <c r="K677" t="n">
        <v>0</v>
      </c>
      <c r="L677">
        <f>IF(F677="","", IFERROR(VLOOKUP(F677, 'Product List'!A:D, 4, FALSE), 0.03))</f>
        <v/>
      </c>
      <c r="M677">
        <f>IF(F677="","", J677*K677*L677)</f>
        <v/>
      </c>
    </row>
    <row r="678">
      <c r="A678" t="inlineStr"/>
      <c r="B678" t="inlineStr"/>
      <c r="C678" t="inlineStr"/>
      <c r="D678" t="inlineStr">
        <is>
          <t>2026-06</t>
        </is>
      </c>
      <c r="E678" t="inlineStr"/>
      <c r="F678" t="inlineStr"/>
      <c r="G678">
        <f>IF(F678="","", IFERROR(VLOOKUP(F678, 'Product List'!A:D, 2, FALSE), ""))</f>
        <v/>
      </c>
      <c r="H678">
        <f>IF(F678="","", IFERROR(VLOOKUP(F678, 'Product List'!A:D, 3, FALSE), ""))</f>
        <v/>
      </c>
      <c r="I678" t="inlineStr"/>
      <c r="J678" t="n">
        <v>1</v>
      </c>
      <c r="K678" t="n">
        <v>0</v>
      </c>
      <c r="L678">
        <f>IF(F678="","", IFERROR(VLOOKUP(F678, 'Product List'!A:D, 4, FALSE), 0.03))</f>
        <v/>
      </c>
      <c r="M678">
        <f>IF(F678="","", J678*K678*L678)</f>
        <v/>
      </c>
    </row>
    <row r="679">
      <c r="A679" t="inlineStr"/>
      <c r="B679" t="inlineStr"/>
      <c r="C679" t="inlineStr"/>
      <c r="D679" t="inlineStr">
        <is>
          <t>2026-06</t>
        </is>
      </c>
      <c r="E679" t="inlineStr"/>
      <c r="F679" t="inlineStr"/>
      <c r="G679">
        <f>IF(F679="","", IFERROR(VLOOKUP(F679, 'Product List'!A:D, 2, FALSE), ""))</f>
        <v/>
      </c>
      <c r="H679">
        <f>IF(F679="","", IFERROR(VLOOKUP(F679, 'Product List'!A:D, 3, FALSE), ""))</f>
        <v/>
      </c>
      <c r="I679" t="inlineStr"/>
      <c r="J679" t="n">
        <v>1</v>
      </c>
      <c r="K679" t="n">
        <v>0</v>
      </c>
      <c r="L679">
        <f>IF(F679="","", IFERROR(VLOOKUP(F679, 'Product List'!A:D, 4, FALSE), 0.03))</f>
        <v/>
      </c>
      <c r="M679">
        <f>IF(F679="","", J679*K679*L679)</f>
        <v/>
      </c>
    </row>
    <row r="680">
      <c r="A680" t="inlineStr"/>
      <c r="B680" t="inlineStr"/>
      <c r="C680" t="inlineStr"/>
      <c r="D680" t="inlineStr">
        <is>
          <t>2026-06</t>
        </is>
      </c>
      <c r="E680" t="inlineStr"/>
      <c r="F680" t="inlineStr"/>
      <c r="G680">
        <f>IF(F680="","", IFERROR(VLOOKUP(F680, 'Product List'!A:D, 2, FALSE), ""))</f>
        <v/>
      </c>
      <c r="H680">
        <f>IF(F680="","", IFERROR(VLOOKUP(F680, 'Product List'!A:D, 3, FALSE), ""))</f>
        <v/>
      </c>
      <c r="I680" t="inlineStr"/>
      <c r="J680" t="n">
        <v>1</v>
      </c>
      <c r="K680" t="n">
        <v>0</v>
      </c>
      <c r="L680">
        <f>IF(F680="","", IFERROR(VLOOKUP(F680, 'Product List'!A:D, 4, FALSE), 0.03))</f>
        <v/>
      </c>
      <c r="M680">
        <f>IF(F680="","", J680*K680*L680)</f>
        <v/>
      </c>
    </row>
    <row r="681">
      <c r="A681" t="inlineStr"/>
      <c r="B681" t="inlineStr"/>
      <c r="C681" t="inlineStr"/>
      <c r="D681" t="inlineStr">
        <is>
          <t>2026-06</t>
        </is>
      </c>
      <c r="E681" t="inlineStr"/>
      <c r="F681" t="inlineStr"/>
      <c r="G681">
        <f>IF(F681="","", IFERROR(VLOOKUP(F681, 'Product List'!A:D, 2, FALSE), ""))</f>
        <v/>
      </c>
      <c r="H681">
        <f>IF(F681="","", IFERROR(VLOOKUP(F681, 'Product List'!A:D, 3, FALSE), ""))</f>
        <v/>
      </c>
      <c r="I681" t="inlineStr"/>
      <c r="J681" t="n">
        <v>1</v>
      </c>
      <c r="K681" t="n">
        <v>0</v>
      </c>
      <c r="L681">
        <f>IF(F681="","", IFERROR(VLOOKUP(F681, 'Product List'!A:D, 4, FALSE), 0.03))</f>
        <v/>
      </c>
      <c r="M681">
        <f>IF(F681="","", J681*K681*L681)</f>
        <v/>
      </c>
    </row>
    <row r="682">
      <c r="A682" t="inlineStr"/>
      <c r="B682" t="inlineStr"/>
      <c r="C682" t="inlineStr"/>
      <c r="D682" t="inlineStr">
        <is>
          <t>2026-06</t>
        </is>
      </c>
      <c r="E682" t="inlineStr"/>
      <c r="F682" t="inlineStr"/>
      <c r="G682">
        <f>IF(F682="","", IFERROR(VLOOKUP(F682, 'Product List'!A:D, 2, FALSE), ""))</f>
        <v/>
      </c>
      <c r="H682">
        <f>IF(F682="","", IFERROR(VLOOKUP(F682, 'Product List'!A:D, 3, FALSE), ""))</f>
        <v/>
      </c>
      <c r="I682" t="inlineStr"/>
      <c r="J682" t="n">
        <v>1</v>
      </c>
      <c r="K682" t="n">
        <v>0</v>
      </c>
      <c r="L682">
        <f>IF(F682="","", IFERROR(VLOOKUP(F682, 'Product List'!A:D, 4, FALSE), 0.03))</f>
        <v/>
      </c>
      <c r="M682">
        <f>IF(F682="","", J682*K682*L682)</f>
        <v/>
      </c>
    </row>
    <row r="683">
      <c r="A683" t="inlineStr"/>
      <c r="B683" t="inlineStr"/>
      <c r="C683" t="inlineStr"/>
      <c r="D683" t="inlineStr">
        <is>
          <t>2026-06</t>
        </is>
      </c>
      <c r="E683" t="inlineStr"/>
      <c r="F683" t="inlineStr"/>
      <c r="G683">
        <f>IF(F683="","", IFERROR(VLOOKUP(F683, 'Product List'!A:D, 2, FALSE), ""))</f>
        <v/>
      </c>
      <c r="H683">
        <f>IF(F683="","", IFERROR(VLOOKUP(F683, 'Product List'!A:D, 3, FALSE), ""))</f>
        <v/>
      </c>
      <c r="I683" t="inlineStr"/>
      <c r="J683" t="n">
        <v>1</v>
      </c>
      <c r="K683" t="n">
        <v>0</v>
      </c>
      <c r="L683">
        <f>IF(F683="","", IFERROR(VLOOKUP(F683, 'Product List'!A:D, 4, FALSE), 0.03))</f>
        <v/>
      </c>
      <c r="M683">
        <f>IF(F683="","", J683*K683*L683)</f>
        <v/>
      </c>
    </row>
    <row r="684">
      <c r="A684" t="inlineStr"/>
      <c r="B684" t="inlineStr"/>
      <c r="C684" t="inlineStr"/>
      <c r="D684" t="inlineStr">
        <is>
          <t>2026-06</t>
        </is>
      </c>
      <c r="E684" t="inlineStr"/>
      <c r="F684" t="inlineStr"/>
      <c r="G684">
        <f>IF(F684="","", IFERROR(VLOOKUP(F684, 'Product List'!A:D, 2, FALSE), ""))</f>
        <v/>
      </c>
      <c r="H684">
        <f>IF(F684="","", IFERROR(VLOOKUP(F684, 'Product List'!A:D, 3, FALSE), ""))</f>
        <v/>
      </c>
      <c r="I684" t="inlineStr"/>
      <c r="J684" t="n">
        <v>1</v>
      </c>
      <c r="K684" t="n">
        <v>0</v>
      </c>
      <c r="L684">
        <f>IF(F684="","", IFERROR(VLOOKUP(F684, 'Product List'!A:D, 4, FALSE), 0.03))</f>
        <v/>
      </c>
      <c r="M684">
        <f>IF(F684="","", J684*K684*L684)</f>
        <v/>
      </c>
    </row>
    <row r="685">
      <c r="A685" t="inlineStr"/>
      <c r="B685" t="inlineStr"/>
      <c r="C685" t="inlineStr"/>
      <c r="D685" t="inlineStr">
        <is>
          <t>2026-06</t>
        </is>
      </c>
      <c r="E685" t="inlineStr"/>
      <c r="F685" t="inlineStr"/>
      <c r="G685">
        <f>IF(F685="","", IFERROR(VLOOKUP(F685, 'Product List'!A:D, 2, FALSE), ""))</f>
        <v/>
      </c>
      <c r="H685">
        <f>IF(F685="","", IFERROR(VLOOKUP(F685, 'Product List'!A:D, 3, FALSE), ""))</f>
        <v/>
      </c>
      <c r="I685" t="inlineStr"/>
      <c r="J685" t="n">
        <v>1</v>
      </c>
      <c r="K685" t="n">
        <v>0</v>
      </c>
      <c r="L685">
        <f>IF(F685="","", IFERROR(VLOOKUP(F685, 'Product List'!A:D, 4, FALSE), 0.03))</f>
        <v/>
      </c>
      <c r="M685">
        <f>IF(F685="","", J685*K685*L685)</f>
        <v/>
      </c>
    </row>
    <row r="686">
      <c r="A686" t="inlineStr"/>
      <c r="B686" t="inlineStr"/>
      <c r="C686" t="inlineStr"/>
      <c r="D686" t="inlineStr">
        <is>
          <t>2026-06</t>
        </is>
      </c>
      <c r="E686" t="inlineStr"/>
      <c r="F686" t="inlineStr"/>
      <c r="G686">
        <f>IF(F686="","", IFERROR(VLOOKUP(F686, 'Product List'!A:D, 2, FALSE), ""))</f>
        <v/>
      </c>
      <c r="H686">
        <f>IF(F686="","", IFERROR(VLOOKUP(F686, 'Product List'!A:D, 3, FALSE), ""))</f>
        <v/>
      </c>
      <c r="I686" t="inlineStr"/>
      <c r="J686" t="n">
        <v>1</v>
      </c>
      <c r="K686" t="n">
        <v>0</v>
      </c>
      <c r="L686">
        <f>IF(F686="","", IFERROR(VLOOKUP(F686, 'Product List'!A:D, 4, FALSE), 0.03))</f>
        <v/>
      </c>
      <c r="M686">
        <f>IF(F686="","", J686*K686*L686)</f>
        <v/>
      </c>
    </row>
    <row r="687">
      <c r="A687" t="inlineStr"/>
      <c r="B687" t="inlineStr"/>
      <c r="C687" t="inlineStr"/>
      <c r="D687" t="inlineStr">
        <is>
          <t>2026-06</t>
        </is>
      </c>
      <c r="E687" t="inlineStr"/>
      <c r="F687" t="inlineStr"/>
      <c r="G687">
        <f>IF(F687="","", IFERROR(VLOOKUP(F687, 'Product List'!A:D, 2, FALSE), ""))</f>
        <v/>
      </c>
      <c r="H687">
        <f>IF(F687="","", IFERROR(VLOOKUP(F687, 'Product List'!A:D, 3, FALSE), ""))</f>
        <v/>
      </c>
      <c r="I687" t="inlineStr"/>
      <c r="J687" t="n">
        <v>1</v>
      </c>
      <c r="K687" t="n">
        <v>0</v>
      </c>
      <c r="L687">
        <f>IF(F687="","", IFERROR(VLOOKUP(F687, 'Product List'!A:D, 4, FALSE), 0.03))</f>
        <v/>
      </c>
      <c r="M687">
        <f>IF(F687="","", J687*K687*L687)</f>
        <v/>
      </c>
    </row>
    <row r="688">
      <c r="A688" t="inlineStr"/>
      <c r="B688" t="inlineStr"/>
      <c r="C688" t="inlineStr"/>
      <c r="D688" t="inlineStr">
        <is>
          <t>2026-06</t>
        </is>
      </c>
      <c r="E688" t="inlineStr"/>
      <c r="F688" t="inlineStr"/>
      <c r="G688">
        <f>IF(F688="","", IFERROR(VLOOKUP(F688, 'Product List'!A:D, 2, FALSE), ""))</f>
        <v/>
      </c>
      <c r="H688">
        <f>IF(F688="","", IFERROR(VLOOKUP(F688, 'Product List'!A:D, 3, FALSE), ""))</f>
        <v/>
      </c>
      <c r="I688" t="inlineStr"/>
      <c r="J688" t="n">
        <v>1</v>
      </c>
      <c r="K688" t="n">
        <v>0</v>
      </c>
      <c r="L688">
        <f>IF(F688="","", IFERROR(VLOOKUP(F688, 'Product List'!A:D, 4, FALSE), 0.03))</f>
        <v/>
      </c>
      <c r="M688">
        <f>IF(F688="","", J688*K688*L688)</f>
        <v/>
      </c>
    </row>
    <row r="689">
      <c r="A689" t="inlineStr"/>
      <c r="B689" t="inlineStr"/>
      <c r="C689" t="inlineStr"/>
      <c r="D689" t="inlineStr">
        <is>
          <t>2026-06</t>
        </is>
      </c>
      <c r="E689" t="inlineStr"/>
      <c r="F689" t="inlineStr"/>
      <c r="G689">
        <f>IF(F689="","", IFERROR(VLOOKUP(F689, 'Product List'!A:D, 2, FALSE), ""))</f>
        <v/>
      </c>
      <c r="H689">
        <f>IF(F689="","", IFERROR(VLOOKUP(F689, 'Product List'!A:D, 3, FALSE), ""))</f>
        <v/>
      </c>
      <c r="I689" t="inlineStr"/>
      <c r="J689" t="n">
        <v>1</v>
      </c>
      <c r="K689" t="n">
        <v>0</v>
      </c>
      <c r="L689">
        <f>IF(F689="","", IFERROR(VLOOKUP(F689, 'Product List'!A:D, 4, FALSE), 0.03))</f>
        <v/>
      </c>
      <c r="M689">
        <f>IF(F689="","", J689*K689*L689)</f>
        <v/>
      </c>
    </row>
    <row r="690">
      <c r="A690" t="inlineStr"/>
      <c r="B690" t="inlineStr"/>
      <c r="C690" t="inlineStr"/>
      <c r="D690" t="inlineStr">
        <is>
          <t>2026-06</t>
        </is>
      </c>
      <c r="E690" t="inlineStr"/>
      <c r="F690" t="inlineStr"/>
      <c r="G690">
        <f>IF(F690="","", IFERROR(VLOOKUP(F690, 'Product List'!A:D, 2, FALSE), ""))</f>
        <v/>
      </c>
      <c r="H690">
        <f>IF(F690="","", IFERROR(VLOOKUP(F690, 'Product List'!A:D, 3, FALSE), ""))</f>
        <v/>
      </c>
      <c r="I690" t="inlineStr"/>
      <c r="J690" t="n">
        <v>1</v>
      </c>
      <c r="K690" t="n">
        <v>0</v>
      </c>
      <c r="L690">
        <f>IF(F690="","", IFERROR(VLOOKUP(F690, 'Product List'!A:D, 4, FALSE), 0.03))</f>
        <v/>
      </c>
      <c r="M690">
        <f>IF(F690="","", J690*K690*L690)</f>
        <v/>
      </c>
    </row>
    <row r="691">
      <c r="A691" t="inlineStr"/>
      <c r="B691" t="inlineStr"/>
      <c r="C691" t="inlineStr"/>
      <c r="D691" t="inlineStr">
        <is>
          <t>2026-06</t>
        </is>
      </c>
      <c r="E691" t="inlineStr"/>
      <c r="F691" t="inlineStr"/>
      <c r="G691">
        <f>IF(F691="","", IFERROR(VLOOKUP(F691, 'Product List'!A:D, 2, FALSE), ""))</f>
        <v/>
      </c>
      <c r="H691">
        <f>IF(F691="","", IFERROR(VLOOKUP(F691, 'Product List'!A:D, 3, FALSE), ""))</f>
        <v/>
      </c>
      <c r="I691" t="inlineStr"/>
      <c r="J691" t="n">
        <v>1</v>
      </c>
      <c r="K691" t="n">
        <v>0</v>
      </c>
      <c r="L691">
        <f>IF(F691="","", IFERROR(VLOOKUP(F691, 'Product List'!A:D, 4, FALSE), 0.03))</f>
        <v/>
      </c>
      <c r="M691">
        <f>IF(F691="","", J691*K691*L691)</f>
        <v/>
      </c>
    </row>
    <row r="692">
      <c r="A692" t="inlineStr"/>
      <c r="B692" t="inlineStr"/>
      <c r="C692" t="inlineStr"/>
      <c r="D692" t="inlineStr">
        <is>
          <t>2026-06</t>
        </is>
      </c>
      <c r="E692" t="inlineStr"/>
      <c r="F692" t="inlineStr"/>
      <c r="G692">
        <f>IF(F692="","", IFERROR(VLOOKUP(F692, 'Product List'!A:D, 2, FALSE), ""))</f>
        <v/>
      </c>
      <c r="H692">
        <f>IF(F692="","", IFERROR(VLOOKUP(F692, 'Product List'!A:D, 3, FALSE), ""))</f>
        <v/>
      </c>
      <c r="I692" t="inlineStr"/>
      <c r="J692" t="n">
        <v>1</v>
      </c>
      <c r="K692" t="n">
        <v>0</v>
      </c>
      <c r="L692">
        <f>IF(F692="","", IFERROR(VLOOKUP(F692, 'Product List'!A:D, 4, FALSE), 0.03))</f>
        <v/>
      </c>
      <c r="M692">
        <f>IF(F692="","", J692*K692*L692)</f>
        <v/>
      </c>
    </row>
    <row r="693">
      <c r="A693" t="inlineStr"/>
      <c r="B693" t="inlineStr"/>
      <c r="C693" t="inlineStr"/>
      <c r="D693" t="inlineStr">
        <is>
          <t>2026-06</t>
        </is>
      </c>
      <c r="E693" t="inlineStr"/>
      <c r="F693" t="inlineStr"/>
      <c r="G693">
        <f>IF(F693="","", IFERROR(VLOOKUP(F693, 'Product List'!A:D, 2, FALSE), ""))</f>
        <v/>
      </c>
      <c r="H693">
        <f>IF(F693="","", IFERROR(VLOOKUP(F693, 'Product List'!A:D, 3, FALSE), ""))</f>
        <v/>
      </c>
      <c r="I693" t="inlineStr"/>
      <c r="J693" t="n">
        <v>1</v>
      </c>
      <c r="K693" t="n">
        <v>0</v>
      </c>
      <c r="L693">
        <f>IF(F693="","", IFERROR(VLOOKUP(F693, 'Product List'!A:D, 4, FALSE), 0.03))</f>
        <v/>
      </c>
      <c r="M693">
        <f>IF(F693="","", J693*K693*L693)</f>
        <v/>
      </c>
    </row>
    <row r="694">
      <c r="A694" t="inlineStr"/>
      <c r="B694" t="inlineStr"/>
      <c r="C694" t="inlineStr"/>
      <c r="D694" t="inlineStr">
        <is>
          <t>2026-06</t>
        </is>
      </c>
      <c r="E694" t="inlineStr"/>
      <c r="F694" t="inlineStr"/>
      <c r="G694">
        <f>IF(F694="","", IFERROR(VLOOKUP(F694, 'Product List'!A:D, 2, FALSE), ""))</f>
        <v/>
      </c>
      <c r="H694">
        <f>IF(F694="","", IFERROR(VLOOKUP(F694, 'Product List'!A:D, 3, FALSE), ""))</f>
        <v/>
      </c>
      <c r="I694" t="inlineStr"/>
      <c r="J694" t="n">
        <v>1</v>
      </c>
      <c r="K694" t="n">
        <v>0</v>
      </c>
      <c r="L694">
        <f>IF(F694="","", IFERROR(VLOOKUP(F694, 'Product List'!A:D, 4, FALSE), 0.03))</f>
        <v/>
      </c>
      <c r="M694">
        <f>IF(F694="","", J694*K694*L694)</f>
        <v/>
      </c>
    </row>
    <row r="695">
      <c r="A695" t="inlineStr"/>
      <c r="B695" t="inlineStr"/>
      <c r="C695" t="inlineStr"/>
      <c r="D695" t="inlineStr">
        <is>
          <t>2026-06</t>
        </is>
      </c>
      <c r="E695" t="inlineStr"/>
      <c r="F695" t="inlineStr"/>
      <c r="G695">
        <f>IF(F695="","", IFERROR(VLOOKUP(F695, 'Product List'!A:D, 2, FALSE), ""))</f>
        <v/>
      </c>
      <c r="H695">
        <f>IF(F695="","", IFERROR(VLOOKUP(F695, 'Product List'!A:D, 3, FALSE), ""))</f>
        <v/>
      </c>
      <c r="I695" t="inlineStr"/>
      <c r="J695" t="n">
        <v>1</v>
      </c>
      <c r="K695" t="n">
        <v>0</v>
      </c>
      <c r="L695">
        <f>IF(F695="","", IFERROR(VLOOKUP(F695, 'Product List'!A:D, 4, FALSE), 0.03))</f>
        <v/>
      </c>
      <c r="M695">
        <f>IF(F695="","", J695*K695*L695)</f>
        <v/>
      </c>
    </row>
    <row r="696">
      <c r="A696" t="inlineStr"/>
      <c r="B696" t="inlineStr"/>
      <c r="C696" t="inlineStr"/>
      <c r="D696" t="inlineStr">
        <is>
          <t>2026-06</t>
        </is>
      </c>
      <c r="E696" t="inlineStr"/>
      <c r="F696" t="inlineStr"/>
      <c r="G696">
        <f>IF(F696="","", IFERROR(VLOOKUP(F696, 'Product List'!A:D, 2, FALSE), ""))</f>
        <v/>
      </c>
      <c r="H696">
        <f>IF(F696="","", IFERROR(VLOOKUP(F696, 'Product List'!A:D, 3, FALSE), ""))</f>
        <v/>
      </c>
      <c r="I696" t="inlineStr"/>
      <c r="J696" t="n">
        <v>1</v>
      </c>
      <c r="K696" t="n">
        <v>0</v>
      </c>
      <c r="L696">
        <f>IF(F696="","", IFERROR(VLOOKUP(F696, 'Product List'!A:D, 4, FALSE), 0.03))</f>
        <v/>
      </c>
      <c r="M696">
        <f>IF(F696="","", J696*K696*L696)</f>
        <v/>
      </c>
    </row>
    <row r="697">
      <c r="A697" t="inlineStr"/>
      <c r="B697" t="inlineStr"/>
      <c r="C697" t="inlineStr"/>
      <c r="D697" t="inlineStr">
        <is>
          <t>2026-06</t>
        </is>
      </c>
      <c r="E697" t="inlineStr"/>
      <c r="F697" t="inlineStr"/>
      <c r="G697">
        <f>IF(F697="","", IFERROR(VLOOKUP(F697, 'Product List'!A:D, 2, FALSE), ""))</f>
        <v/>
      </c>
      <c r="H697">
        <f>IF(F697="","", IFERROR(VLOOKUP(F697, 'Product List'!A:D, 3, FALSE), ""))</f>
        <v/>
      </c>
      <c r="I697" t="inlineStr"/>
      <c r="J697" t="n">
        <v>1</v>
      </c>
      <c r="K697" t="n">
        <v>0</v>
      </c>
      <c r="L697">
        <f>IF(F697="","", IFERROR(VLOOKUP(F697, 'Product List'!A:D, 4, FALSE), 0.03))</f>
        <v/>
      </c>
      <c r="M697">
        <f>IF(F697="","", J697*K697*L697)</f>
        <v/>
      </c>
    </row>
    <row r="698">
      <c r="A698" t="inlineStr"/>
      <c r="B698" t="inlineStr"/>
      <c r="C698" t="inlineStr"/>
      <c r="D698" t="inlineStr">
        <is>
          <t>2026-06</t>
        </is>
      </c>
      <c r="E698" t="inlineStr"/>
      <c r="F698" t="inlineStr"/>
      <c r="G698">
        <f>IF(F698="","", IFERROR(VLOOKUP(F698, 'Product List'!A:D, 2, FALSE), ""))</f>
        <v/>
      </c>
      <c r="H698">
        <f>IF(F698="","", IFERROR(VLOOKUP(F698, 'Product List'!A:D, 3, FALSE), ""))</f>
        <v/>
      </c>
      <c r="I698" t="inlineStr"/>
      <c r="J698" t="n">
        <v>1</v>
      </c>
      <c r="K698" t="n">
        <v>0</v>
      </c>
      <c r="L698">
        <f>IF(F698="","", IFERROR(VLOOKUP(F698, 'Product List'!A:D, 4, FALSE), 0.03))</f>
        <v/>
      </c>
      <c r="M698">
        <f>IF(F698="","", J698*K698*L698)</f>
        <v/>
      </c>
    </row>
    <row r="699">
      <c r="A699" t="inlineStr"/>
      <c r="B699" t="inlineStr"/>
      <c r="C699" t="inlineStr"/>
      <c r="D699" t="inlineStr">
        <is>
          <t>2026-06</t>
        </is>
      </c>
      <c r="E699" t="inlineStr"/>
      <c r="F699" t="inlineStr"/>
      <c r="G699">
        <f>IF(F699="","", IFERROR(VLOOKUP(F699, 'Product List'!A:D, 2, FALSE), ""))</f>
        <v/>
      </c>
      <c r="H699">
        <f>IF(F699="","", IFERROR(VLOOKUP(F699, 'Product List'!A:D, 3, FALSE), ""))</f>
        <v/>
      </c>
      <c r="I699" t="inlineStr"/>
      <c r="J699" t="n">
        <v>1</v>
      </c>
      <c r="K699" t="n">
        <v>0</v>
      </c>
      <c r="L699">
        <f>IF(F699="","", IFERROR(VLOOKUP(F699, 'Product List'!A:D, 4, FALSE), 0.03))</f>
        <v/>
      </c>
      <c r="M699">
        <f>IF(F699="","", J699*K699*L699)</f>
        <v/>
      </c>
    </row>
    <row r="700">
      <c r="A700" t="inlineStr"/>
      <c r="B700" t="inlineStr"/>
      <c r="C700" t="inlineStr"/>
      <c r="D700" t="inlineStr">
        <is>
          <t>2026-06</t>
        </is>
      </c>
      <c r="E700" t="inlineStr"/>
      <c r="F700" t="inlineStr"/>
      <c r="G700">
        <f>IF(F700="","", IFERROR(VLOOKUP(F700, 'Product List'!A:D, 2, FALSE), ""))</f>
        <v/>
      </c>
      <c r="H700">
        <f>IF(F700="","", IFERROR(VLOOKUP(F700, 'Product List'!A:D, 3, FALSE), ""))</f>
        <v/>
      </c>
      <c r="I700" t="inlineStr"/>
      <c r="J700" t="n">
        <v>1</v>
      </c>
      <c r="K700" t="n">
        <v>0</v>
      </c>
      <c r="L700">
        <f>IF(F700="","", IFERROR(VLOOKUP(F700, 'Product List'!A:D, 4, FALSE), 0.03))</f>
        <v/>
      </c>
      <c r="M700">
        <f>IF(F700="","", J700*K700*L700)</f>
        <v/>
      </c>
    </row>
    <row r="701">
      <c r="A701" t="inlineStr"/>
      <c r="B701" t="inlineStr"/>
      <c r="C701" t="inlineStr"/>
      <c r="D701" t="inlineStr">
        <is>
          <t>2026-06</t>
        </is>
      </c>
      <c r="E701" t="inlineStr"/>
      <c r="F701" t="inlineStr"/>
      <c r="G701">
        <f>IF(F701="","", IFERROR(VLOOKUP(F701, 'Product List'!A:D, 2, FALSE), ""))</f>
        <v/>
      </c>
      <c r="H701">
        <f>IF(F701="","", IFERROR(VLOOKUP(F701, 'Product List'!A:D, 3, FALSE), ""))</f>
        <v/>
      </c>
      <c r="I701" t="inlineStr"/>
      <c r="J701" t="n">
        <v>1</v>
      </c>
      <c r="K701" t="n">
        <v>0</v>
      </c>
      <c r="L701">
        <f>IF(F701="","", IFERROR(VLOOKUP(F701, 'Product List'!A:D, 4, FALSE), 0.03))</f>
        <v/>
      </c>
      <c r="M701">
        <f>IF(F701="","", J701*K701*L701)</f>
        <v/>
      </c>
    </row>
    <row r="702">
      <c r="A702" t="inlineStr"/>
      <c r="B702" t="inlineStr"/>
      <c r="C702" t="inlineStr"/>
      <c r="D702" t="inlineStr">
        <is>
          <t>2026-06</t>
        </is>
      </c>
      <c r="E702" t="inlineStr"/>
      <c r="F702" t="inlineStr"/>
      <c r="G702">
        <f>IF(F702="","", IFERROR(VLOOKUP(F702, 'Product List'!A:D, 2, FALSE), ""))</f>
        <v/>
      </c>
      <c r="H702">
        <f>IF(F702="","", IFERROR(VLOOKUP(F702, 'Product List'!A:D, 3, FALSE), ""))</f>
        <v/>
      </c>
      <c r="I702" t="inlineStr"/>
      <c r="J702" t="n">
        <v>1</v>
      </c>
      <c r="K702" t="n">
        <v>0</v>
      </c>
      <c r="L702">
        <f>IF(F702="","", IFERROR(VLOOKUP(F702, 'Product List'!A:D, 4, FALSE), 0.03))</f>
        <v/>
      </c>
      <c r="M702">
        <f>IF(F702="","", J702*K702*L702)</f>
        <v/>
      </c>
    </row>
    <row r="703">
      <c r="A703" t="inlineStr"/>
      <c r="B703" t="inlineStr"/>
      <c r="C703" t="inlineStr"/>
      <c r="D703" t="inlineStr">
        <is>
          <t>2026-06</t>
        </is>
      </c>
      <c r="E703" t="inlineStr"/>
      <c r="F703" t="inlineStr"/>
      <c r="G703">
        <f>IF(F703="","", IFERROR(VLOOKUP(F703, 'Product List'!A:D, 2, FALSE), ""))</f>
        <v/>
      </c>
      <c r="H703">
        <f>IF(F703="","", IFERROR(VLOOKUP(F703, 'Product List'!A:D, 3, FALSE), ""))</f>
        <v/>
      </c>
      <c r="I703" t="inlineStr"/>
      <c r="J703" t="n">
        <v>1</v>
      </c>
      <c r="K703" t="n">
        <v>0</v>
      </c>
      <c r="L703">
        <f>IF(F703="","", IFERROR(VLOOKUP(F703, 'Product List'!A:D, 4, FALSE), 0.03))</f>
        <v/>
      </c>
      <c r="M703">
        <f>IF(F703="","", J703*K703*L703)</f>
        <v/>
      </c>
    </row>
    <row r="704">
      <c r="A704" t="inlineStr"/>
      <c r="B704" t="inlineStr"/>
      <c r="C704" t="inlineStr"/>
      <c r="D704" t="inlineStr">
        <is>
          <t>2026-06</t>
        </is>
      </c>
      <c r="E704" t="inlineStr"/>
      <c r="F704" t="inlineStr"/>
      <c r="G704">
        <f>IF(F704="","", IFERROR(VLOOKUP(F704, 'Product List'!A:D, 2, FALSE), ""))</f>
        <v/>
      </c>
      <c r="H704">
        <f>IF(F704="","", IFERROR(VLOOKUP(F704, 'Product List'!A:D, 3, FALSE), ""))</f>
        <v/>
      </c>
      <c r="I704" t="inlineStr"/>
      <c r="J704" t="n">
        <v>1</v>
      </c>
      <c r="K704" t="n">
        <v>0</v>
      </c>
      <c r="L704">
        <f>IF(F704="","", IFERROR(VLOOKUP(F704, 'Product List'!A:D, 4, FALSE), 0.03))</f>
        <v/>
      </c>
      <c r="M704">
        <f>IF(F704="","", J704*K704*L704)</f>
        <v/>
      </c>
    </row>
    <row r="705">
      <c r="A705" t="inlineStr"/>
      <c r="B705" t="inlineStr"/>
      <c r="C705" t="inlineStr"/>
      <c r="D705" t="inlineStr">
        <is>
          <t>2026-06</t>
        </is>
      </c>
      <c r="E705" t="inlineStr"/>
      <c r="F705" t="inlineStr"/>
      <c r="G705">
        <f>IF(F705="","", IFERROR(VLOOKUP(F705, 'Product List'!A:D, 2, FALSE), ""))</f>
        <v/>
      </c>
      <c r="H705">
        <f>IF(F705="","", IFERROR(VLOOKUP(F705, 'Product List'!A:D, 3, FALSE), ""))</f>
        <v/>
      </c>
      <c r="I705" t="inlineStr"/>
      <c r="J705" t="n">
        <v>1</v>
      </c>
      <c r="K705" t="n">
        <v>0</v>
      </c>
      <c r="L705">
        <f>IF(F705="","", IFERROR(VLOOKUP(F705, 'Product List'!A:D, 4, FALSE), 0.03))</f>
        <v/>
      </c>
      <c r="M705">
        <f>IF(F705="","", J705*K705*L705)</f>
        <v/>
      </c>
    </row>
    <row r="706">
      <c r="A706" t="inlineStr"/>
      <c r="B706" t="inlineStr"/>
      <c r="C706" t="inlineStr"/>
      <c r="D706" t="inlineStr">
        <is>
          <t>2026-06</t>
        </is>
      </c>
      <c r="E706" t="inlineStr"/>
      <c r="F706" t="inlineStr"/>
      <c r="G706">
        <f>IF(F706="","", IFERROR(VLOOKUP(F706, 'Product List'!A:D, 2, FALSE), ""))</f>
        <v/>
      </c>
      <c r="H706">
        <f>IF(F706="","", IFERROR(VLOOKUP(F706, 'Product List'!A:D, 3, FALSE), ""))</f>
        <v/>
      </c>
      <c r="I706" t="inlineStr"/>
      <c r="J706" t="n">
        <v>1</v>
      </c>
      <c r="K706" t="n">
        <v>0</v>
      </c>
      <c r="L706">
        <f>IF(F706="","", IFERROR(VLOOKUP(F706, 'Product List'!A:D, 4, FALSE), 0.03))</f>
        <v/>
      </c>
      <c r="M706">
        <f>IF(F706="","", J706*K706*L706)</f>
        <v/>
      </c>
    </row>
    <row r="707">
      <c r="A707" t="inlineStr"/>
      <c r="B707" t="inlineStr"/>
      <c r="C707" t="inlineStr"/>
      <c r="D707" t="inlineStr">
        <is>
          <t>2026-06</t>
        </is>
      </c>
      <c r="E707" t="inlineStr"/>
      <c r="F707" t="inlineStr"/>
      <c r="G707">
        <f>IF(F707="","", IFERROR(VLOOKUP(F707, 'Product List'!A:D, 2, FALSE), ""))</f>
        <v/>
      </c>
      <c r="H707">
        <f>IF(F707="","", IFERROR(VLOOKUP(F707, 'Product List'!A:D, 3, FALSE), ""))</f>
        <v/>
      </c>
      <c r="I707" t="inlineStr"/>
      <c r="J707" t="n">
        <v>1</v>
      </c>
      <c r="K707" t="n">
        <v>0</v>
      </c>
      <c r="L707">
        <f>IF(F707="","", IFERROR(VLOOKUP(F707, 'Product List'!A:D, 4, FALSE), 0.03))</f>
        <v/>
      </c>
      <c r="M707">
        <f>IF(F707="","", J707*K707*L707)</f>
        <v/>
      </c>
    </row>
    <row r="708">
      <c r="A708" t="inlineStr"/>
      <c r="B708" t="inlineStr"/>
      <c r="C708" t="inlineStr"/>
      <c r="D708" t="inlineStr">
        <is>
          <t>2026-06</t>
        </is>
      </c>
      <c r="E708" t="inlineStr"/>
      <c r="F708" t="inlineStr"/>
      <c r="G708">
        <f>IF(F708="","", IFERROR(VLOOKUP(F708, 'Product List'!A:D, 2, FALSE), ""))</f>
        <v/>
      </c>
      <c r="H708">
        <f>IF(F708="","", IFERROR(VLOOKUP(F708, 'Product List'!A:D, 3, FALSE), ""))</f>
        <v/>
      </c>
      <c r="I708" t="inlineStr"/>
      <c r="J708" t="n">
        <v>1</v>
      </c>
      <c r="K708" t="n">
        <v>0</v>
      </c>
      <c r="L708">
        <f>IF(F708="","", IFERROR(VLOOKUP(F708, 'Product List'!A:D, 4, FALSE), 0.03))</f>
        <v/>
      </c>
      <c r="M708">
        <f>IF(F708="","", J708*K708*L708)</f>
        <v/>
      </c>
    </row>
    <row r="709">
      <c r="A709" t="inlineStr"/>
      <c r="B709" t="inlineStr"/>
      <c r="C709" t="inlineStr"/>
      <c r="D709" t="inlineStr">
        <is>
          <t>2026-06</t>
        </is>
      </c>
      <c r="E709" t="inlineStr"/>
      <c r="F709" t="inlineStr"/>
      <c r="G709">
        <f>IF(F709="","", IFERROR(VLOOKUP(F709, 'Product List'!A:D, 2, FALSE), ""))</f>
        <v/>
      </c>
      <c r="H709">
        <f>IF(F709="","", IFERROR(VLOOKUP(F709, 'Product List'!A:D, 3, FALSE), ""))</f>
        <v/>
      </c>
      <c r="I709" t="inlineStr"/>
      <c r="J709" t="n">
        <v>1</v>
      </c>
      <c r="K709" t="n">
        <v>0</v>
      </c>
      <c r="L709">
        <f>IF(F709="","", IFERROR(VLOOKUP(F709, 'Product List'!A:D, 4, FALSE), 0.03))</f>
        <v/>
      </c>
      <c r="M709">
        <f>IF(F709="","", J709*K709*L709)</f>
        <v/>
      </c>
    </row>
    <row r="710">
      <c r="A710" t="inlineStr"/>
      <c r="B710" t="inlineStr"/>
      <c r="C710" t="inlineStr"/>
      <c r="D710" t="inlineStr">
        <is>
          <t>2026-06</t>
        </is>
      </c>
      <c r="E710" t="inlineStr"/>
      <c r="F710" t="inlineStr"/>
      <c r="G710">
        <f>IF(F710="","", IFERROR(VLOOKUP(F710, 'Product List'!A:D, 2, FALSE), ""))</f>
        <v/>
      </c>
      <c r="H710">
        <f>IF(F710="","", IFERROR(VLOOKUP(F710, 'Product List'!A:D, 3, FALSE), ""))</f>
        <v/>
      </c>
      <c r="I710" t="inlineStr"/>
      <c r="J710" t="n">
        <v>1</v>
      </c>
      <c r="K710" t="n">
        <v>0</v>
      </c>
      <c r="L710">
        <f>IF(F710="","", IFERROR(VLOOKUP(F710, 'Product List'!A:D, 4, FALSE), 0.03))</f>
        <v/>
      </c>
      <c r="M710">
        <f>IF(F710="","", J710*K710*L710)</f>
        <v/>
      </c>
    </row>
    <row r="711">
      <c r="A711" t="inlineStr"/>
      <c r="B711" t="inlineStr"/>
      <c r="C711" t="inlineStr"/>
      <c r="D711" t="inlineStr">
        <is>
          <t>2026-06</t>
        </is>
      </c>
      <c r="E711" t="inlineStr"/>
      <c r="F711" t="inlineStr"/>
      <c r="G711">
        <f>IF(F711="","", IFERROR(VLOOKUP(F711, 'Product List'!A:D, 2, FALSE), ""))</f>
        <v/>
      </c>
      <c r="H711">
        <f>IF(F711="","", IFERROR(VLOOKUP(F711, 'Product List'!A:D, 3, FALSE), ""))</f>
        <v/>
      </c>
      <c r="I711" t="inlineStr"/>
      <c r="J711" t="n">
        <v>1</v>
      </c>
      <c r="K711" t="n">
        <v>0</v>
      </c>
      <c r="L711">
        <f>IF(F711="","", IFERROR(VLOOKUP(F711, 'Product List'!A:D, 4, FALSE), 0.03))</f>
        <v/>
      </c>
      <c r="M711">
        <f>IF(F711="","", J711*K711*L711)</f>
        <v/>
      </c>
    </row>
    <row r="712">
      <c r="A712" t="inlineStr"/>
      <c r="B712" t="inlineStr"/>
      <c r="C712" t="inlineStr"/>
      <c r="D712" t="inlineStr">
        <is>
          <t>2026-06</t>
        </is>
      </c>
      <c r="E712" t="inlineStr"/>
      <c r="F712" t="inlineStr"/>
      <c r="G712">
        <f>IF(F712="","", IFERROR(VLOOKUP(F712, 'Product List'!A:D, 2, FALSE), ""))</f>
        <v/>
      </c>
      <c r="H712">
        <f>IF(F712="","", IFERROR(VLOOKUP(F712, 'Product List'!A:D, 3, FALSE), ""))</f>
        <v/>
      </c>
      <c r="I712" t="inlineStr"/>
      <c r="J712" t="n">
        <v>1</v>
      </c>
      <c r="K712" t="n">
        <v>0</v>
      </c>
      <c r="L712">
        <f>IF(F712="","", IFERROR(VLOOKUP(F712, 'Product List'!A:D, 4, FALSE), 0.03))</f>
        <v/>
      </c>
      <c r="M712">
        <f>IF(F712="","", J712*K712*L712)</f>
        <v/>
      </c>
    </row>
    <row r="713">
      <c r="A713" t="inlineStr"/>
      <c r="B713" t="inlineStr"/>
      <c r="C713" t="inlineStr"/>
      <c r="D713" t="inlineStr">
        <is>
          <t>2026-06</t>
        </is>
      </c>
      <c r="E713" t="inlineStr"/>
      <c r="F713" t="inlineStr"/>
      <c r="G713">
        <f>IF(F713="","", IFERROR(VLOOKUP(F713, 'Product List'!A:D, 2, FALSE), ""))</f>
        <v/>
      </c>
      <c r="H713">
        <f>IF(F713="","", IFERROR(VLOOKUP(F713, 'Product List'!A:D, 3, FALSE), ""))</f>
        <v/>
      </c>
      <c r="I713" t="inlineStr"/>
      <c r="J713" t="n">
        <v>1</v>
      </c>
      <c r="K713" t="n">
        <v>0</v>
      </c>
      <c r="L713">
        <f>IF(F713="","", IFERROR(VLOOKUP(F713, 'Product List'!A:D, 4, FALSE), 0.03))</f>
        <v/>
      </c>
      <c r="M713">
        <f>IF(F713="","", J713*K713*L713)</f>
        <v/>
      </c>
    </row>
    <row r="714">
      <c r="A714" t="inlineStr"/>
      <c r="B714" t="inlineStr"/>
      <c r="C714" t="inlineStr"/>
      <c r="D714" t="inlineStr">
        <is>
          <t>2026-06</t>
        </is>
      </c>
      <c r="E714" t="inlineStr"/>
      <c r="F714" t="inlineStr"/>
      <c r="G714">
        <f>IF(F714="","", IFERROR(VLOOKUP(F714, 'Product List'!A:D, 2, FALSE), ""))</f>
        <v/>
      </c>
      <c r="H714">
        <f>IF(F714="","", IFERROR(VLOOKUP(F714, 'Product List'!A:D, 3, FALSE), ""))</f>
        <v/>
      </c>
      <c r="I714" t="inlineStr"/>
      <c r="J714" t="n">
        <v>1</v>
      </c>
      <c r="K714" t="n">
        <v>0</v>
      </c>
      <c r="L714">
        <f>IF(F714="","", IFERROR(VLOOKUP(F714, 'Product List'!A:D, 4, FALSE), 0.03))</f>
        <v/>
      </c>
      <c r="M714">
        <f>IF(F714="","", J714*K714*L714)</f>
        <v/>
      </c>
    </row>
    <row r="715">
      <c r="A715" t="inlineStr"/>
      <c r="B715" t="inlineStr"/>
      <c r="C715" t="inlineStr"/>
      <c r="D715" t="inlineStr">
        <is>
          <t>2026-06</t>
        </is>
      </c>
      <c r="E715" t="inlineStr"/>
      <c r="F715" t="inlineStr"/>
      <c r="G715">
        <f>IF(F715="","", IFERROR(VLOOKUP(F715, 'Product List'!A:D, 2, FALSE), ""))</f>
        <v/>
      </c>
      <c r="H715">
        <f>IF(F715="","", IFERROR(VLOOKUP(F715, 'Product List'!A:D, 3, FALSE), ""))</f>
        <v/>
      </c>
      <c r="I715" t="inlineStr"/>
      <c r="J715" t="n">
        <v>1</v>
      </c>
      <c r="K715" t="n">
        <v>0</v>
      </c>
      <c r="L715">
        <f>IF(F715="","", IFERROR(VLOOKUP(F715, 'Product List'!A:D, 4, FALSE), 0.03))</f>
        <v/>
      </c>
      <c r="M715">
        <f>IF(F715="","", J715*K715*L715)</f>
        <v/>
      </c>
    </row>
    <row r="716">
      <c r="A716" t="inlineStr"/>
      <c r="B716" t="inlineStr"/>
      <c r="C716" t="inlineStr"/>
      <c r="D716" t="inlineStr">
        <is>
          <t>2026-06</t>
        </is>
      </c>
      <c r="E716" t="inlineStr"/>
      <c r="F716" t="inlineStr"/>
      <c r="G716">
        <f>IF(F716="","", IFERROR(VLOOKUP(F716, 'Product List'!A:D, 2, FALSE), ""))</f>
        <v/>
      </c>
      <c r="H716">
        <f>IF(F716="","", IFERROR(VLOOKUP(F716, 'Product List'!A:D, 3, FALSE), ""))</f>
        <v/>
      </c>
      <c r="I716" t="inlineStr"/>
      <c r="J716" t="n">
        <v>1</v>
      </c>
      <c r="K716" t="n">
        <v>0</v>
      </c>
      <c r="L716">
        <f>IF(F716="","", IFERROR(VLOOKUP(F716, 'Product List'!A:D, 4, FALSE), 0.03))</f>
        <v/>
      </c>
      <c r="M716">
        <f>IF(F716="","", J716*K716*L716)</f>
        <v/>
      </c>
    </row>
    <row r="717">
      <c r="A717" t="inlineStr"/>
      <c r="B717" t="inlineStr"/>
      <c r="C717" t="inlineStr"/>
      <c r="D717" t="inlineStr">
        <is>
          <t>2026-06</t>
        </is>
      </c>
      <c r="E717" t="inlineStr"/>
      <c r="F717" t="inlineStr"/>
      <c r="G717">
        <f>IF(F717="","", IFERROR(VLOOKUP(F717, 'Product List'!A:D, 2, FALSE), ""))</f>
        <v/>
      </c>
      <c r="H717">
        <f>IF(F717="","", IFERROR(VLOOKUP(F717, 'Product List'!A:D, 3, FALSE), ""))</f>
        <v/>
      </c>
      <c r="I717" t="inlineStr"/>
      <c r="J717" t="n">
        <v>1</v>
      </c>
      <c r="K717" t="n">
        <v>0</v>
      </c>
      <c r="L717">
        <f>IF(F717="","", IFERROR(VLOOKUP(F717, 'Product List'!A:D, 4, FALSE), 0.03))</f>
        <v/>
      </c>
      <c r="M717">
        <f>IF(F717="","", J717*K717*L717)</f>
        <v/>
      </c>
    </row>
    <row r="718">
      <c r="A718" t="inlineStr"/>
      <c r="B718" t="inlineStr"/>
      <c r="C718" t="inlineStr"/>
      <c r="D718" t="inlineStr">
        <is>
          <t>2026-06</t>
        </is>
      </c>
      <c r="E718" t="inlineStr"/>
      <c r="F718" t="inlineStr"/>
      <c r="G718">
        <f>IF(F718="","", IFERROR(VLOOKUP(F718, 'Product List'!A:D, 2, FALSE), ""))</f>
        <v/>
      </c>
      <c r="H718">
        <f>IF(F718="","", IFERROR(VLOOKUP(F718, 'Product List'!A:D, 3, FALSE), ""))</f>
        <v/>
      </c>
      <c r="I718" t="inlineStr"/>
      <c r="J718" t="n">
        <v>1</v>
      </c>
      <c r="K718" t="n">
        <v>0</v>
      </c>
      <c r="L718">
        <f>IF(F718="","", IFERROR(VLOOKUP(F718, 'Product List'!A:D, 4, FALSE), 0.03))</f>
        <v/>
      </c>
      <c r="M718">
        <f>IF(F718="","", J718*K718*L718)</f>
        <v/>
      </c>
    </row>
    <row r="719">
      <c r="A719" t="inlineStr"/>
      <c r="B719" t="inlineStr"/>
      <c r="C719" t="inlineStr"/>
      <c r="D719" t="inlineStr">
        <is>
          <t>2026-06</t>
        </is>
      </c>
      <c r="E719" t="inlineStr"/>
      <c r="F719" t="inlineStr"/>
      <c r="G719">
        <f>IF(F719="","", IFERROR(VLOOKUP(F719, 'Product List'!A:D, 2, FALSE), ""))</f>
        <v/>
      </c>
      <c r="H719">
        <f>IF(F719="","", IFERROR(VLOOKUP(F719, 'Product List'!A:D, 3, FALSE), ""))</f>
        <v/>
      </c>
      <c r="I719" t="inlineStr"/>
      <c r="J719" t="n">
        <v>1</v>
      </c>
      <c r="K719" t="n">
        <v>0</v>
      </c>
      <c r="L719">
        <f>IF(F719="","", IFERROR(VLOOKUP(F719, 'Product List'!A:D, 4, FALSE), 0.03))</f>
        <v/>
      </c>
      <c r="M719">
        <f>IF(F719="","", J719*K719*L719)</f>
        <v/>
      </c>
    </row>
    <row r="720">
      <c r="A720" t="inlineStr"/>
      <c r="B720" t="inlineStr"/>
      <c r="C720" t="inlineStr"/>
      <c r="D720" t="inlineStr">
        <is>
          <t>2026-06</t>
        </is>
      </c>
      <c r="E720" t="inlineStr"/>
      <c r="F720" t="inlineStr"/>
      <c r="G720">
        <f>IF(F720="","", IFERROR(VLOOKUP(F720, 'Product List'!A:D, 2, FALSE), ""))</f>
        <v/>
      </c>
      <c r="H720">
        <f>IF(F720="","", IFERROR(VLOOKUP(F720, 'Product List'!A:D, 3, FALSE), ""))</f>
        <v/>
      </c>
      <c r="I720" t="inlineStr"/>
      <c r="J720" t="n">
        <v>1</v>
      </c>
      <c r="K720" t="n">
        <v>0</v>
      </c>
      <c r="L720">
        <f>IF(F720="","", IFERROR(VLOOKUP(F720, 'Product List'!A:D, 4, FALSE), 0.03))</f>
        <v/>
      </c>
      <c r="M720">
        <f>IF(F720="","", J720*K720*L720)</f>
        <v/>
      </c>
    </row>
    <row r="721">
      <c r="A721" t="inlineStr"/>
      <c r="B721" t="inlineStr"/>
      <c r="C721" t="inlineStr"/>
      <c r="D721" t="inlineStr">
        <is>
          <t>2026-06</t>
        </is>
      </c>
      <c r="E721" t="inlineStr"/>
      <c r="F721" t="inlineStr"/>
      <c r="G721">
        <f>IF(F721="","", IFERROR(VLOOKUP(F721, 'Product List'!A:D, 2, FALSE), ""))</f>
        <v/>
      </c>
      <c r="H721">
        <f>IF(F721="","", IFERROR(VLOOKUP(F721, 'Product List'!A:D, 3, FALSE), ""))</f>
        <v/>
      </c>
      <c r="I721" t="inlineStr"/>
      <c r="J721" t="n">
        <v>1</v>
      </c>
      <c r="K721" t="n">
        <v>0</v>
      </c>
      <c r="L721">
        <f>IF(F721="","", IFERROR(VLOOKUP(F721, 'Product List'!A:D, 4, FALSE), 0.03))</f>
        <v/>
      </c>
      <c r="M721">
        <f>IF(F721="","", J721*K721*L721)</f>
        <v/>
      </c>
    </row>
    <row r="722">
      <c r="A722" t="inlineStr"/>
      <c r="B722" t="inlineStr"/>
      <c r="C722" t="inlineStr"/>
      <c r="D722" t="inlineStr">
        <is>
          <t>2026-06</t>
        </is>
      </c>
      <c r="E722" t="inlineStr"/>
      <c r="F722" t="inlineStr"/>
      <c r="G722">
        <f>IF(F722="","", IFERROR(VLOOKUP(F722, 'Product List'!A:D, 2, FALSE), ""))</f>
        <v/>
      </c>
      <c r="H722">
        <f>IF(F722="","", IFERROR(VLOOKUP(F722, 'Product List'!A:D, 3, FALSE), ""))</f>
        <v/>
      </c>
      <c r="I722" t="inlineStr"/>
      <c r="J722" t="n">
        <v>1</v>
      </c>
      <c r="K722" t="n">
        <v>0</v>
      </c>
      <c r="L722">
        <f>IF(F722="","", IFERROR(VLOOKUP(F722, 'Product List'!A:D, 4, FALSE), 0.03))</f>
        <v/>
      </c>
      <c r="M722">
        <f>IF(F722="","", J722*K722*L722)</f>
        <v/>
      </c>
    </row>
    <row r="723">
      <c r="A723" t="inlineStr"/>
      <c r="B723" t="inlineStr"/>
      <c r="C723" t="inlineStr"/>
      <c r="D723" t="inlineStr">
        <is>
          <t>2026-06</t>
        </is>
      </c>
      <c r="E723" t="inlineStr"/>
      <c r="F723" t="inlineStr"/>
      <c r="G723">
        <f>IF(F723="","", IFERROR(VLOOKUP(F723, 'Product List'!A:D, 2, FALSE), ""))</f>
        <v/>
      </c>
      <c r="H723">
        <f>IF(F723="","", IFERROR(VLOOKUP(F723, 'Product List'!A:D, 3, FALSE), ""))</f>
        <v/>
      </c>
      <c r="I723" t="inlineStr"/>
      <c r="J723" t="n">
        <v>1</v>
      </c>
      <c r="K723" t="n">
        <v>0</v>
      </c>
      <c r="L723">
        <f>IF(F723="","", IFERROR(VLOOKUP(F723, 'Product List'!A:D, 4, FALSE), 0.03))</f>
        <v/>
      </c>
      <c r="M723">
        <f>IF(F723="","", J723*K723*L723)</f>
        <v/>
      </c>
    </row>
    <row r="724">
      <c r="A724" t="inlineStr"/>
      <c r="B724" t="inlineStr"/>
      <c r="C724" t="inlineStr"/>
      <c r="D724" t="inlineStr">
        <is>
          <t>2026-06</t>
        </is>
      </c>
      <c r="E724" t="inlineStr"/>
      <c r="F724" t="inlineStr"/>
      <c r="G724">
        <f>IF(F724="","", IFERROR(VLOOKUP(F724, 'Product List'!A:D, 2, FALSE), ""))</f>
        <v/>
      </c>
      <c r="H724">
        <f>IF(F724="","", IFERROR(VLOOKUP(F724, 'Product List'!A:D, 3, FALSE), ""))</f>
        <v/>
      </c>
      <c r="I724" t="inlineStr"/>
      <c r="J724" t="n">
        <v>1</v>
      </c>
      <c r="K724" t="n">
        <v>0</v>
      </c>
      <c r="L724">
        <f>IF(F724="","", IFERROR(VLOOKUP(F724, 'Product List'!A:D, 4, FALSE), 0.03))</f>
        <v/>
      </c>
      <c r="M724">
        <f>IF(F724="","", J724*K724*L724)</f>
        <v/>
      </c>
    </row>
    <row r="725">
      <c r="A725" t="inlineStr"/>
      <c r="B725" t="inlineStr"/>
      <c r="C725" t="inlineStr"/>
      <c r="D725" t="inlineStr">
        <is>
          <t>2026-06</t>
        </is>
      </c>
      <c r="E725" t="inlineStr"/>
      <c r="F725" t="inlineStr"/>
      <c r="G725">
        <f>IF(F725="","", IFERROR(VLOOKUP(F725, 'Product List'!A:D, 2, FALSE), ""))</f>
        <v/>
      </c>
      <c r="H725">
        <f>IF(F725="","", IFERROR(VLOOKUP(F725, 'Product List'!A:D, 3, FALSE), ""))</f>
        <v/>
      </c>
      <c r="I725" t="inlineStr"/>
      <c r="J725" t="n">
        <v>1</v>
      </c>
      <c r="K725" t="n">
        <v>0</v>
      </c>
      <c r="L725">
        <f>IF(F725="","", IFERROR(VLOOKUP(F725, 'Product List'!A:D, 4, FALSE), 0.03))</f>
        <v/>
      </c>
      <c r="M725">
        <f>IF(F725="","", J725*K725*L725)</f>
        <v/>
      </c>
    </row>
    <row r="726">
      <c r="A726" t="inlineStr"/>
      <c r="B726" t="inlineStr"/>
      <c r="C726" t="inlineStr"/>
      <c r="D726" t="inlineStr">
        <is>
          <t>2026-06</t>
        </is>
      </c>
      <c r="E726" t="inlineStr"/>
      <c r="F726" t="inlineStr"/>
      <c r="G726">
        <f>IF(F726="","", IFERROR(VLOOKUP(F726, 'Product List'!A:D, 2, FALSE), ""))</f>
        <v/>
      </c>
      <c r="H726">
        <f>IF(F726="","", IFERROR(VLOOKUP(F726, 'Product List'!A:D, 3, FALSE), ""))</f>
        <v/>
      </c>
      <c r="I726" t="inlineStr"/>
      <c r="J726" t="n">
        <v>1</v>
      </c>
      <c r="K726" t="n">
        <v>0</v>
      </c>
      <c r="L726">
        <f>IF(F726="","", IFERROR(VLOOKUP(F726, 'Product List'!A:D, 4, FALSE), 0.03))</f>
        <v/>
      </c>
      <c r="M726">
        <f>IF(F726="","", J726*K726*L726)</f>
        <v/>
      </c>
    </row>
    <row r="727">
      <c r="A727" t="inlineStr"/>
      <c r="B727" t="inlineStr"/>
      <c r="C727" t="inlineStr"/>
      <c r="D727" t="inlineStr">
        <is>
          <t>2026-06</t>
        </is>
      </c>
      <c r="E727" t="inlineStr"/>
      <c r="F727" t="inlineStr"/>
      <c r="G727">
        <f>IF(F727="","", IFERROR(VLOOKUP(F727, 'Product List'!A:D, 2, FALSE), ""))</f>
        <v/>
      </c>
      <c r="H727">
        <f>IF(F727="","", IFERROR(VLOOKUP(F727, 'Product List'!A:D, 3, FALSE), ""))</f>
        <v/>
      </c>
      <c r="I727" t="inlineStr"/>
      <c r="J727" t="n">
        <v>1</v>
      </c>
      <c r="K727" t="n">
        <v>0</v>
      </c>
      <c r="L727">
        <f>IF(F727="","", IFERROR(VLOOKUP(F727, 'Product List'!A:D, 4, FALSE), 0.03))</f>
        <v/>
      </c>
      <c r="M727">
        <f>IF(F727="","", J727*K727*L727)</f>
        <v/>
      </c>
    </row>
    <row r="728">
      <c r="A728" t="inlineStr"/>
      <c r="B728" t="inlineStr"/>
      <c r="C728" t="inlineStr"/>
      <c r="D728" t="inlineStr">
        <is>
          <t>2026-06</t>
        </is>
      </c>
      <c r="E728" t="inlineStr"/>
      <c r="F728" t="inlineStr"/>
      <c r="G728">
        <f>IF(F728="","", IFERROR(VLOOKUP(F728, 'Product List'!A:D, 2, FALSE), ""))</f>
        <v/>
      </c>
      <c r="H728">
        <f>IF(F728="","", IFERROR(VLOOKUP(F728, 'Product List'!A:D, 3, FALSE), ""))</f>
        <v/>
      </c>
      <c r="I728" t="inlineStr"/>
      <c r="J728" t="n">
        <v>1</v>
      </c>
      <c r="K728" t="n">
        <v>0</v>
      </c>
      <c r="L728">
        <f>IF(F728="","", IFERROR(VLOOKUP(F728, 'Product List'!A:D, 4, FALSE), 0.03))</f>
        <v/>
      </c>
      <c r="M728">
        <f>IF(F728="","", J728*K728*L728)</f>
        <v/>
      </c>
    </row>
    <row r="729">
      <c r="A729" t="inlineStr"/>
      <c r="B729" t="inlineStr"/>
      <c r="C729" t="inlineStr"/>
      <c r="D729" t="inlineStr">
        <is>
          <t>2026-06</t>
        </is>
      </c>
      <c r="E729" t="inlineStr"/>
      <c r="F729" t="inlineStr"/>
      <c r="G729">
        <f>IF(F729="","", IFERROR(VLOOKUP(F729, 'Product List'!A:D, 2, FALSE), ""))</f>
        <v/>
      </c>
      <c r="H729">
        <f>IF(F729="","", IFERROR(VLOOKUP(F729, 'Product List'!A:D, 3, FALSE), ""))</f>
        <v/>
      </c>
      <c r="I729" t="inlineStr"/>
      <c r="J729" t="n">
        <v>1</v>
      </c>
      <c r="K729" t="n">
        <v>0</v>
      </c>
      <c r="L729">
        <f>IF(F729="","", IFERROR(VLOOKUP(F729, 'Product List'!A:D, 4, FALSE), 0.03))</f>
        <v/>
      </c>
      <c r="M729">
        <f>IF(F729="","", J729*K729*L729)</f>
        <v/>
      </c>
    </row>
    <row r="730">
      <c r="A730" t="inlineStr"/>
      <c r="B730" t="inlineStr"/>
      <c r="C730" t="inlineStr"/>
      <c r="D730" t="inlineStr">
        <is>
          <t>2026-06</t>
        </is>
      </c>
      <c r="E730" t="inlineStr"/>
      <c r="F730" t="inlineStr"/>
      <c r="G730">
        <f>IF(F730="","", IFERROR(VLOOKUP(F730, 'Product List'!A:D, 2, FALSE), ""))</f>
        <v/>
      </c>
      <c r="H730">
        <f>IF(F730="","", IFERROR(VLOOKUP(F730, 'Product List'!A:D, 3, FALSE), ""))</f>
        <v/>
      </c>
      <c r="I730" t="inlineStr"/>
      <c r="J730" t="n">
        <v>1</v>
      </c>
      <c r="K730" t="n">
        <v>0</v>
      </c>
      <c r="L730">
        <f>IF(F730="","", IFERROR(VLOOKUP(F730, 'Product List'!A:D, 4, FALSE), 0.03))</f>
        <v/>
      </c>
      <c r="M730">
        <f>IF(F730="","", J730*K730*L730)</f>
        <v/>
      </c>
    </row>
    <row r="731">
      <c r="A731" t="inlineStr"/>
      <c r="B731" t="inlineStr"/>
      <c r="C731" t="inlineStr"/>
      <c r="D731" t="inlineStr">
        <is>
          <t>2026-06</t>
        </is>
      </c>
      <c r="E731" t="inlineStr"/>
      <c r="F731" t="inlineStr"/>
      <c r="G731">
        <f>IF(F731="","", IFERROR(VLOOKUP(F731, 'Product List'!A:D, 2, FALSE), ""))</f>
        <v/>
      </c>
      <c r="H731">
        <f>IF(F731="","", IFERROR(VLOOKUP(F731, 'Product List'!A:D, 3, FALSE), ""))</f>
        <v/>
      </c>
      <c r="I731" t="inlineStr"/>
      <c r="J731" t="n">
        <v>1</v>
      </c>
      <c r="K731" t="n">
        <v>0</v>
      </c>
      <c r="L731">
        <f>IF(F731="","", IFERROR(VLOOKUP(F731, 'Product List'!A:D, 4, FALSE), 0.03))</f>
        <v/>
      </c>
      <c r="M731">
        <f>IF(F731="","", J731*K731*L731)</f>
        <v/>
      </c>
    </row>
    <row r="732">
      <c r="A732" t="inlineStr"/>
      <c r="B732" t="inlineStr"/>
      <c r="C732" t="inlineStr"/>
      <c r="D732" t="inlineStr">
        <is>
          <t>2026-06</t>
        </is>
      </c>
      <c r="E732" t="inlineStr"/>
      <c r="F732" t="inlineStr"/>
      <c r="G732">
        <f>IF(F732="","", IFERROR(VLOOKUP(F732, 'Product List'!A:D, 2, FALSE), ""))</f>
        <v/>
      </c>
      <c r="H732">
        <f>IF(F732="","", IFERROR(VLOOKUP(F732, 'Product List'!A:D, 3, FALSE), ""))</f>
        <v/>
      </c>
      <c r="I732" t="inlineStr"/>
      <c r="J732" t="n">
        <v>1</v>
      </c>
      <c r="K732" t="n">
        <v>0</v>
      </c>
      <c r="L732">
        <f>IF(F732="","", IFERROR(VLOOKUP(F732, 'Product List'!A:D, 4, FALSE), 0.03))</f>
        <v/>
      </c>
      <c r="M732">
        <f>IF(F732="","", J732*K732*L732)</f>
        <v/>
      </c>
    </row>
    <row r="733">
      <c r="A733" t="inlineStr"/>
      <c r="B733" t="inlineStr"/>
      <c r="C733" t="inlineStr"/>
      <c r="D733" t="inlineStr">
        <is>
          <t>2026-06</t>
        </is>
      </c>
      <c r="E733" t="inlineStr"/>
      <c r="F733" t="inlineStr"/>
      <c r="G733">
        <f>IF(F733="","", IFERROR(VLOOKUP(F733, 'Product List'!A:D, 2, FALSE), ""))</f>
        <v/>
      </c>
      <c r="H733">
        <f>IF(F733="","", IFERROR(VLOOKUP(F733, 'Product List'!A:D, 3, FALSE), ""))</f>
        <v/>
      </c>
      <c r="I733" t="inlineStr"/>
      <c r="J733" t="n">
        <v>1</v>
      </c>
      <c r="K733" t="n">
        <v>0</v>
      </c>
      <c r="L733">
        <f>IF(F733="","", IFERROR(VLOOKUP(F733, 'Product List'!A:D, 4, FALSE), 0.03))</f>
        <v/>
      </c>
      <c r="M733">
        <f>IF(F733="","", J733*K733*L733)</f>
        <v/>
      </c>
    </row>
    <row r="734">
      <c r="A734" t="inlineStr"/>
      <c r="B734" t="inlineStr"/>
      <c r="C734" t="inlineStr"/>
      <c r="D734" t="inlineStr">
        <is>
          <t>2026-06</t>
        </is>
      </c>
      <c r="E734" t="inlineStr"/>
      <c r="F734" t="inlineStr"/>
      <c r="G734">
        <f>IF(F734="","", IFERROR(VLOOKUP(F734, 'Product List'!A:D, 2, FALSE), ""))</f>
        <v/>
      </c>
      <c r="H734">
        <f>IF(F734="","", IFERROR(VLOOKUP(F734, 'Product List'!A:D, 3, FALSE), ""))</f>
        <v/>
      </c>
      <c r="I734" t="inlineStr"/>
      <c r="J734" t="n">
        <v>1</v>
      </c>
      <c r="K734" t="n">
        <v>0</v>
      </c>
      <c r="L734">
        <f>IF(F734="","", IFERROR(VLOOKUP(F734, 'Product List'!A:D, 4, FALSE), 0.03))</f>
        <v/>
      </c>
      <c r="M734">
        <f>IF(F734="","", J734*K734*L734)</f>
        <v/>
      </c>
    </row>
    <row r="735">
      <c r="A735" t="inlineStr"/>
      <c r="B735" t="inlineStr"/>
      <c r="C735" t="inlineStr"/>
      <c r="D735" t="inlineStr">
        <is>
          <t>2026-06</t>
        </is>
      </c>
      <c r="E735" t="inlineStr"/>
      <c r="F735" t="inlineStr"/>
      <c r="G735">
        <f>IF(F735="","", IFERROR(VLOOKUP(F735, 'Product List'!A:D, 2, FALSE), ""))</f>
        <v/>
      </c>
      <c r="H735">
        <f>IF(F735="","", IFERROR(VLOOKUP(F735, 'Product List'!A:D, 3, FALSE), ""))</f>
        <v/>
      </c>
      <c r="I735" t="inlineStr"/>
      <c r="J735" t="n">
        <v>1</v>
      </c>
      <c r="K735" t="n">
        <v>0</v>
      </c>
      <c r="L735">
        <f>IF(F735="","", IFERROR(VLOOKUP(F735, 'Product List'!A:D, 4, FALSE), 0.03))</f>
        <v/>
      </c>
      <c r="M735">
        <f>IF(F735="","", J735*K735*L735)</f>
        <v/>
      </c>
    </row>
    <row r="736">
      <c r="A736" t="inlineStr"/>
      <c r="B736" t="inlineStr"/>
      <c r="C736" t="inlineStr"/>
      <c r="D736" t="inlineStr">
        <is>
          <t>2026-06</t>
        </is>
      </c>
      <c r="E736" t="inlineStr"/>
      <c r="F736" t="inlineStr"/>
      <c r="G736">
        <f>IF(F736="","", IFERROR(VLOOKUP(F736, 'Product List'!A:D, 2, FALSE), ""))</f>
        <v/>
      </c>
      <c r="H736">
        <f>IF(F736="","", IFERROR(VLOOKUP(F736, 'Product List'!A:D, 3, FALSE), ""))</f>
        <v/>
      </c>
      <c r="I736" t="inlineStr"/>
      <c r="J736" t="n">
        <v>1</v>
      </c>
      <c r="K736" t="n">
        <v>0</v>
      </c>
      <c r="L736">
        <f>IF(F736="","", IFERROR(VLOOKUP(F736, 'Product List'!A:D, 4, FALSE), 0.03))</f>
        <v/>
      </c>
      <c r="M736">
        <f>IF(F736="","", J736*K736*L736)</f>
        <v/>
      </c>
    </row>
    <row r="737">
      <c r="A737" t="inlineStr"/>
      <c r="B737" t="inlineStr"/>
      <c r="C737" t="inlineStr"/>
      <c r="D737" t="inlineStr">
        <is>
          <t>2026-06</t>
        </is>
      </c>
      <c r="E737" t="inlineStr"/>
      <c r="F737" t="inlineStr"/>
      <c r="G737">
        <f>IF(F737="","", IFERROR(VLOOKUP(F737, 'Product List'!A:D, 2, FALSE), ""))</f>
        <v/>
      </c>
      <c r="H737">
        <f>IF(F737="","", IFERROR(VLOOKUP(F737, 'Product List'!A:D, 3, FALSE), ""))</f>
        <v/>
      </c>
      <c r="I737" t="inlineStr"/>
      <c r="J737" t="n">
        <v>1</v>
      </c>
      <c r="K737" t="n">
        <v>0</v>
      </c>
      <c r="L737">
        <f>IF(F737="","", IFERROR(VLOOKUP(F737, 'Product List'!A:D, 4, FALSE), 0.03))</f>
        <v/>
      </c>
      <c r="M737">
        <f>IF(F737="","", J737*K737*L737)</f>
        <v/>
      </c>
    </row>
    <row r="738">
      <c r="A738" t="inlineStr"/>
      <c r="B738" t="inlineStr"/>
      <c r="C738" t="inlineStr"/>
      <c r="D738" t="inlineStr">
        <is>
          <t>2026-06</t>
        </is>
      </c>
      <c r="E738" t="inlineStr"/>
      <c r="F738" t="inlineStr"/>
      <c r="G738">
        <f>IF(F738="","", IFERROR(VLOOKUP(F738, 'Product List'!A:D, 2, FALSE), ""))</f>
        <v/>
      </c>
      <c r="H738">
        <f>IF(F738="","", IFERROR(VLOOKUP(F738, 'Product List'!A:D, 3, FALSE), ""))</f>
        <v/>
      </c>
      <c r="I738" t="inlineStr"/>
      <c r="J738" t="n">
        <v>1</v>
      </c>
      <c r="K738" t="n">
        <v>0</v>
      </c>
      <c r="L738">
        <f>IF(F738="","", IFERROR(VLOOKUP(F738, 'Product List'!A:D, 4, FALSE), 0.03))</f>
        <v/>
      </c>
      <c r="M738">
        <f>IF(F738="","", J738*K738*L738)</f>
        <v/>
      </c>
    </row>
    <row r="739">
      <c r="A739" t="inlineStr"/>
      <c r="B739" t="inlineStr"/>
      <c r="C739" t="inlineStr"/>
      <c r="D739" t="inlineStr">
        <is>
          <t>2026-06</t>
        </is>
      </c>
      <c r="E739" t="inlineStr"/>
      <c r="F739" t="inlineStr"/>
      <c r="G739">
        <f>IF(F739="","", IFERROR(VLOOKUP(F739, 'Product List'!A:D, 2, FALSE), ""))</f>
        <v/>
      </c>
      <c r="H739">
        <f>IF(F739="","", IFERROR(VLOOKUP(F739, 'Product List'!A:D, 3, FALSE), ""))</f>
        <v/>
      </c>
      <c r="I739" t="inlineStr"/>
      <c r="J739" t="n">
        <v>1</v>
      </c>
      <c r="K739" t="n">
        <v>0</v>
      </c>
      <c r="L739">
        <f>IF(F739="","", IFERROR(VLOOKUP(F739, 'Product List'!A:D, 4, FALSE), 0.03))</f>
        <v/>
      </c>
      <c r="M739">
        <f>IF(F739="","", J739*K739*L739)</f>
        <v/>
      </c>
    </row>
    <row r="740">
      <c r="A740" t="inlineStr"/>
      <c r="B740" t="inlineStr"/>
      <c r="C740" t="inlineStr"/>
      <c r="D740" t="inlineStr">
        <is>
          <t>2026-06</t>
        </is>
      </c>
      <c r="E740" t="inlineStr"/>
      <c r="F740" t="inlineStr"/>
      <c r="G740">
        <f>IF(F740="","", IFERROR(VLOOKUP(F740, 'Product List'!A:D, 2, FALSE), ""))</f>
        <v/>
      </c>
      <c r="H740">
        <f>IF(F740="","", IFERROR(VLOOKUP(F740, 'Product List'!A:D, 3, FALSE), ""))</f>
        <v/>
      </c>
      <c r="I740" t="inlineStr"/>
      <c r="J740" t="n">
        <v>1</v>
      </c>
      <c r="K740" t="n">
        <v>0</v>
      </c>
      <c r="L740">
        <f>IF(F740="","", IFERROR(VLOOKUP(F740, 'Product List'!A:D, 4, FALSE), 0.03))</f>
        <v/>
      </c>
      <c r="M740">
        <f>IF(F740="","", J740*K740*L740)</f>
        <v/>
      </c>
    </row>
    <row r="741">
      <c r="A741" t="inlineStr"/>
      <c r="B741" t="inlineStr"/>
      <c r="C741" t="inlineStr"/>
      <c r="D741" t="inlineStr">
        <is>
          <t>2026-06</t>
        </is>
      </c>
      <c r="E741" t="inlineStr"/>
      <c r="F741" t="inlineStr"/>
      <c r="G741">
        <f>IF(F741="","", IFERROR(VLOOKUP(F741, 'Product List'!A:D, 2, FALSE), ""))</f>
        <v/>
      </c>
      <c r="H741">
        <f>IF(F741="","", IFERROR(VLOOKUP(F741, 'Product List'!A:D, 3, FALSE), ""))</f>
        <v/>
      </c>
      <c r="I741" t="inlineStr"/>
      <c r="J741" t="n">
        <v>1</v>
      </c>
      <c r="K741" t="n">
        <v>0</v>
      </c>
      <c r="L741">
        <f>IF(F741="","", IFERROR(VLOOKUP(F741, 'Product List'!A:D, 4, FALSE), 0.03))</f>
        <v/>
      </c>
      <c r="M741">
        <f>IF(F741="","", J741*K741*L741)</f>
        <v/>
      </c>
    </row>
    <row r="742">
      <c r="A742" t="inlineStr"/>
      <c r="B742" t="inlineStr"/>
      <c r="C742" t="inlineStr"/>
      <c r="D742" t="inlineStr">
        <is>
          <t>2026-06</t>
        </is>
      </c>
      <c r="E742" t="inlineStr"/>
      <c r="F742" t="inlineStr"/>
      <c r="G742">
        <f>IF(F742="","", IFERROR(VLOOKUP(F742, 'Product List'!A:D, 2, FALSE), ""))</f>
        <v/>
      </c>
      <c r="H742">
        <f>IF(F742="","", IFERROR(VLOOKUP(F742, 'Product List'!A:D, 3, FALSE), ""))</f>
        <v/>
      </c>
      <c r="I742" t="inlineStr"/>
      <c r="J742" t="n">
        <v>1</v>
      </c>
      <c r="K742" t="n">
        <v>0</v>
      </c>
      <c r="L742">
        <f>IF(F742="","", IFERROR(VLOOKUP(F742, 'Product List'!A:D, 4, FALSE), 0.03))</f>
        <v/>
      </c>
      <c r="M742">
        <f>IF(F742="","", J742*K742*L742)</f>
        <v/>
      </c>
    </row>
    <row r="743">
      <c r="A743" t="inlineStr"/>
      <c r="B743" t="inlineStr"/>
      <c r="C743" t="inlineStr"/>
      <c r="D743" t="inlineStr">
        <is>
          <t>2026-06</t>
        </is>
      </c>
      <c r="E743" t="inlineStr"/>
      <c r="F743" t="inlineStr"/>
      <c r="G743">
        <f>IF(F743="","", IFERROR(VLOOKUP(F743, 'Product List'!A:D, 2, FALSE), ""))</f>
        <v/>
      </c>
      <c r="H743">
        <f>IF(F743="","", IFERROR(VLOOKUP(F743, 'Product List'!A:D, 3, FALSE), ""))</f>
        <v/>
      </c>
      <c r="I743" t="inlineStr"/>
      <c r="J743" t="n">
        <v>1</v>
      </c>
      <c r="K743" t="n">
        <v>0</v>
      </c>
      <c r="L743">
        <f>IF(F743="","", IFERROR(VLOOKUP(F743, 'Product List'!A:D, 4, FALSE), 0.03))</f>
        <v/>
      </c>
      <c r="M743">
        <f>IF(F743="","", J743*K743*L743)</f>
        <v/>
      </c>
    </row>
    <row r="744">
      <c r="A744" t="inlineStr"/>
      <c r="B744" t="inlineStr"/>
      <c r="C744" t="inlineStr"/>
      <c r="D744" t="inlineStr">
        <is>
          <t>2026-06</t>
        </is>
      </c>
      <c r="E744" t="inlineStr"/>
      <c r="F744" t="inlineStr"/>
      <c r="G744">
        <f>IF(F744="","", IFERROR(VLOOKUP(F744, 'Product List'!A:D, 2, FALSE), ""))</f>
        <v/>
      </c>
      <c r="H744">
        <f>IF(F744="","", IFERROR(VLOOKUP(F744, 'Product List'!A:D, 3, FALSE), ""))</f>
        <v/>
      </c>
      <c r="I744" t="inlineStr"/>
      <c r="J744" t="n">
        <v>1</v>
      </c>
      <c r="K744" t="n">
        <v>0</v>
      </c>
      <c r="L744">
        <f>IF(F744="","", IFERROR(VLOOKUP(F744, 'Product List'!A:D, 4, FALSE), 0.03))</f>
        <v/>
      </c>
      <c r="M744">
        <f>IF(F744="","", J744*K744*L744)</f>
        <v/>
      </c>
    </row>
    <row r="745">
      <c r="A745" t="inlineStr"/>
      <c r="B745" t="inlineStr"/>
      <c r="C745" t="inlineStr"/>
      <c r="D745" t="inlineStr">
        <is>
          <t>2026-06</t>
        </is>
      </c>
      <c r="E745" t="inlineStr"/>
      <c r="F745" t="inlineStr"/>
      <c r="G745">
        <f>IF(F745="","", IFERROR(VLOOKUP(F745, 'Product List'!A:D, 2, FALSE), ""))</f>
        <v/>
      </c>
      <c r="H745">
        <f>IF(F745="","", IFERROR(VLOOKUP(F745, 'Product List'!A:D, 3, FALSE), ""))</f>
        <v/>
      </c>
      <c r="I745" t="inlineStr"/>
      <c r="J745" t="n">
        <v>1</v>
      </c>
      <c r="K745" t="n">
        <v>0</v>
      </c>
      <c r="L745">
        <f>IF(F745="","", IFERROR(VLOOKUP(F745, 'Product List'!A:D, 4, FALSE), 0.03))</f>
        <v/>
      </c>
      <c r="M745">
        <f>IF(F745="","", J745*K745*L745)</f>
        <v/>
      </c>
    </row>
    <row r="746">
      <c r="A746" t="inlineStr"/>
      <c r="B746" t="inlineStr"/>
      <c r="C746" t="inlineStr"/>
      <c r="D746" t="inlineStr">
        <is>
          <t>2026-06</t>
        </is>
      </c>
      <c r="E746" t="inlineStr"/>
      <c r="F746" t="inlineStr"/>
      <c r="G746">
        <f>IF(F746="","", IFERROR(VLOOKUP(F746, 'Product List'!A:D, 2, FALSE), ""))</f>
        <v/>
      </c>
      <c r="H746">
        <f>IF(F746="","", IFERROR(VLOOKUP(F746, 'Product List'!A:D, 3, FALSE), ""))</f>
        <v/>
      </c>
      <c r="I746" t="inlineStr"/>
      <c r="J746" t="n">
        <v>1</v>
      </c>
      <c r="K746" t="n">
        <v>0</v>
      </c>
      <c r="L746">
        <f>IF(F746="","", IFERROR(VLOOKUP(F746, 'Product List'!A:D, 4, FALSE), 0.03))</f>
        <v/>
      </c>
      <c r="M746">
        <f>IF(F746="","", J746*K746*L746)</f>
        <v/>
      </c>
    </row>
    <row r="747">
      <c r="A747" t="inlineStr"/>
      <c r="B747" t="inlineStr"/>
      <c r="C747" t="inlineStr"/>
      <c r="D747" t="inlineStr">
        <is>
          <t>2026-06</t>
        </is>
      </c>
      <c r="E747" t="inlineStr"/>
      <c r="F747" t="inlineStr"/>
      <c r="G747">
        <f>IF(F747="","", IFERROR(VLOOKUP(F747, 'Product List'!A:D, 2, FALSE), ""))</f>
        <v/>
      </c>
      <c r="H747">
        <f>IF(F747="","", IFERROR(VLOOKUP(F747, 'Product List'!A:D, 3, FALSE), ""))</f>
        <v/>
      </c>
      <c r="I747" t="inlineStr"/>
      <c r="J747" t="n">
        <v>1</v>
      </c>
      <c r="K747" t="n">
        <v>0</v>
      </c>
      <c r="L747">
        <f>IF(F747="","", IFERROR(VLOOKUP(F747, 'Product List'!A:D, 4, FALSE), 0.03))</f>
        <v/>
      </c>
      <c r="M747">
        <f>IF(F747="","", J747*K747*L747)</f>
        <v/>
      </c>
    </row>
    <row r="748">
      <c r="A748" t="inlineStr"/>
      <c r="B748" t="inlineStr"/>
      <c r="C748" t="inlineStr"/>
      <c r="D748" t="inlineStr">
        <is>
          <t>2026-06</t>
        </is>
      </c>
      <c r="E748" t="inlineStr"/>
      <c r="F748" t="inlineStr"/>
      <c r="G748">
        <f>IF(F748="","", IFERROR(VLOOKUP(F748, 'Product List'!A:D, 2, FALSE), ""))</f>
        <v/>
      </c>
      <c r="H748">
        <f>IF(F748="","", IFERROR(VLOOKUP(F748, 'Product List'!A:D, 3, FALSE), ""))</f>
        <v/>
      </c>
      <c r="I748" t="inlineStr"/>
      <c r="J748" t="n">
        <v>1</v>
      </c>
      <c r="K748" t="n">
        <v>0</v>
      </c>
      <c r="L748">
        <f>IF(F748="","", IFERROR(VLOOKUP(F748, 'Product List'!A:D, 4, FALSE), 0.03))</f>
        <v/>
      </c>
      <c r="M748">
        <f>IF(F748="","", J748*K748*L748)</f>
        <v/>
      </c>
    </row>
    <row r="749">
      <c r="A749" t="inlineStr"/>
      <c r="B749" t="inlineStr"/>
      <c r="C749" t="inlineStr"/>
      <c r="D749" t="inlineStr">
        <is>
          <t>2026-06</t>
        </is>
      </c>
      <c r="E749" t="inlineStr"/>
      <c r="F749" t="inlineStr"/>
      <c r="G749">
        <f>IF(F749="","", IFERROR(VLOOKUP(F749, 'Product List'!A:D, 2, FALSE), ""))</f>
        <v/>
      </c>
      <c r="H749">
        <f>IF(F749="","", IFERROR(VLOOKUP(F749, 'Product List'!A:D, 3, FALSE), ""))</f>
        <v/>
      </c>
      <c r="I749" t="inlineStr"/>
      <c r="J749" t="n">
        <v>1</v>
      </c>
      <c r="K749" t="n">
        <v>0</v>
      </c>
      <c r="L749">
        <f>IF(F749="","", IFERROR(VLOOKUP(F749, 'Product List'!A:D, 4, FALSE), 0.03))</f>
        <v/>
      </c>
      <c r="M749">
        <f>IF(F749="","", J749*K749*L749)</f>
        <v/>
      </c>
    </row>
    <row r="750">
      <c r="A750" t="inlineStr"/>
      <c r="B750" t="inlineStr"/>
      <c r="C750" t="inlineStr"/>
      <c r="D750" t="inlineStr">
        <is>
          <t>2026-06</t>
        </is>
      </c>
      <c r="E750" t="inlineStr"/>
      <c r="F750" t="inlineStr"/>
      <c r="G750">
        <f>IF(F750="","", IFERROR(VLOOKUP(F750, 'Product List'!A:D, 2, FALSE), ""))</f>
        <v/>
      </c>
      <c r="H750">
        <f>IF(F750="","", IFERROR(VLOOKUP(F750, 'Product List'!A:D, 3, FALSE), ""))</f>
        <v/>
      </c>
      <c r="I750" t="inlineStr"/>
      <c r="J750" t="n">
        <v>1</v>
      </c>
      <c r="K750" t="n">
        <v>0</v>
      </c>
      <c r="L750">
        <f>IF(F750="","", IFERROR(VLOOKUP(F750, 'Product List'!A:D, 4, FALSE), 0.03))</f>
        <v/>
      </c>
      <c r="M750">
        <f>IF(F750="","", J750*K750*L750)</f>
        <v/>
      </c>
    </row>
    <row r="751">
      <c r="A751" t="inlineStr"/>
      <c r="B751" t="inlineStr"/>
      <c r="C751" t="inlineStr"/>
      <c r="D751" t="inlineStr">
        <is>
          <t>2026-06</t>
        </is>
      </c>
      <c r="E751" t="inlineStr"/>
      <c r="F751" t="inlineStr"/>
      <c r="G751">
        <f>IF(F751="","", IFERROR(VLOOKUP(F751, 'Product List'!A:D, 2, FALSE), ""))</f>
        <v/>
      </c>
      <c r="H751">
        <f>IF(F751="","", IFERROR(VLOOKUP(F751, 'Product List'!A:D, 3, FALSE), ""))</f>
        <v/>
      </c>
      <c r="I751" t="inlineStr"/>
      <c r="J751" t="n">
        <v>1</v>
      </c>
      <c r="K751" t="n">
        <v>0</v>
      </c>
      <c r="L751">
        <f>IF(F751="","", IFERROR(VLOOKUP(F751, 'Product List'!A:D, 4, FALSE), 0.03))</f>
        <v/>
      </c>
      <c r="M751">
        <f>IF(F751="","", J751*K751*L751)</f>
        <v/>
      </c>
    </row>
    <row r="752">
      <c r="A752" t="inlineStr"/>
      <c r="B752" t="inlineStr"/>
      <c r="C752" t="inlineStr"/>
      <c r="D752" t="inlineStr">
        <is>
          <t>2026-06</t>
        </is>
      </c>
      <c r="E752" t="inlineStr"/>
      <c r="F752" t="inlineStr"/>
      <c r="G752">
        <f>IF(F752="","", IFERROR(VLOOKUP(F752, 'Product List'!A:D, 2, FALSE), ""))</f>
        <v/>
      </c>
      <c r="H752">
        <f>IF(F752="","", IFERROR(VLOOKUP(F752, 'Product List'!A:D, 3, FALSE), ""))</f>
        <v/>
      </c>
      <c r="I752" t="inlineStr"/>
      <c r="J752" t="n">
        <v>1</v>
      </c>
      <c r="K752" t="n">
        <v>0</v>
      </c>
      <c r="L752">
        <f>IF(F752="","", IFERROR(VLOOKUP(F752, 'Product List'!A:D, 4, FALSE), 0.03))</f>
        <v/>
      </c>
      <c r="M752">
        <f>IF(F752="","", J752*K752*L752)</f>
        <v/>
      </c>
    </row>
    <row r="753">
      <c r="A753" t="inlineStr"/>
      <c r="B753" t="inlineStr"/>
      <c r="C753" t="inlineStr"/>
      <c r="D753" t="inlineStr">
        <is>
          <t>2026-06</t>
        </is>
      </c>
      <c r="E753" t="inlineStr"/>
      <c r="F753" t="inlineStr"/>
      <c r="G753">
        <f>IF(F753="","", IFERROR(VLOOKUP(F753, 'Product List'!A:D, 2, FALSE), ""))</f>
        <v/>
      </c>
      <c r="H753">
        <f>IF(F753="","", IFERROR(VLOOKUP(F753, 'Product List'!A:D, 3, FALSE), ""))</f>
        <v/>
      </c>
      <c r="I753" t="inlineStr"/>
      <c r="J753" t="n">
        <v>1</v>
      </c>
      <c r="K753" t="n">
        <v>0</v>
      </c>
      <c r="L753">
        <f>IF(F753="","", IFERROR(VLOOKUP(F753, 'Product List'!A:D, 4, FALSE), 0.03))</f>
        <v/>
      </c>
      <c r="M753">
        <f>IF(F753="","", J753*K753*L753)</f>
        <v/>
      </c>
    </row>
    <row r="754">
      <c r="A754" t="inlineStr"/>
      <c r="B754" t="inlineStr"/>
      <c r="C754" t="inlineStr"/>
      <c r="D754" t="inlineStr">
        <is>
          <t>2026-06</t>
        </is>
      </c>
      <c r="E754" t="inlineStr"/>
      <c r="F754" t="inlineStr"/>
      <c r="G754">
        <f>IF(F754="","", IFERROR(VLOOKUP(F754, 'Product List'!A:D, 2, FALSE), ""))</f>
        <v/>
      </c>
      <c r="H754">
        <f>IF(F754="","", IFERROR(VLOOKUP(F754, 'Product List'!A:D, 3, FALSE), ""))</f>
        <v/>
      </c>
      <c r="I754" t="inlineStr"/>
      <c r="J754" t="n">
        <v>1</v>
      </c>
      <c r="K754" t="n">
        <v>0</v>
      </c>
      <c r="L754">
        <f>IF(F754="","", IFERROR(VLOOKUP(F754, 'Product List'!A:D, 4, FALSE), 0.03))</f>
        <v/>
      </c>
      <c r="M754">
        <f>IF(F754="","", J754*K754*L754)</f>
        <v/>
      </c>
    </row>
    <row r="755">
      <c r="A755" t="inlineStr"/>
      <c r="B755" t="inlineStr"/>
      <c r="C755" t="inlineStr"/>
      <c r="D755" t="inlineStr">
        <is>
          <t>2026-06</t>
        </is>
      </c>
      <c r="E755" t="inlineStr"/>
      <c r="F755" t="inlineStr"/>
      <c r="G755">
        <f>IF(F755="","", IFERROR(VLOOKUP(F755, 'Product List'!A:D, 2, FALSE), ""))</f>
        <v/>
      </c>
      <c r="H755">
        <f>IF(F755="","", IFERROR(VLOOKUP(F755, 'Product List'!A:D, 3, FALSE), ""))</f>
        <v/>
      </c>
      <c r="I755" t="inlineStr"/>
      <c r="J755" t="n">
        <v>1</v>
      </c>
      <c r="K755" t="n">
        <v>0</v>
      </c>
      <c r="L755">
        <f>IF(F755="","", IFERROR(VLOOKUP(F755, 'Product List'!A:D, 4, FALSE), 0.03))</f>
        <v/>
      </c>
      <c r="M755">
        <f>IF(F755="","", J755*K755*L755)</f>
        <v/>
      </c>
    </row>
    <row r="756">
      <c r="A756" t="inlineStr"/>
      <c r="B756" t="inlineStr"/>
      <c r="C756" t="inlineStr"/>
      <c r="D756" t="inlineStr">
        <is>
          <t>2026-06</t>
        </is>
      </c>
      <c r="E756" t="inlineStr"/>
      <c r="F756" t="inlineStr"/>
      <c r="G756">
        <f>IF(F756="","", IFERROR(VLOOKUP(F756, 'Product List'!A:D, 2, FALSE), ""))</f>
        <v/>
      </c>
      <c r="H756">
        <f>IF(F756="","", IFERROR(VLOOKUP(F756, 'Product List'!A:D, 3, FALSE), ""))</f>
        <v/>
      </c>
      <c r="I756" t="inlineStr"/>
      <c r="J756" t="n">
        <v>1</v>
      </c>
      <c r="K756" t="n">
        <v>0</v>
      </c>
      <c r="L756">
        <f>IF(F756="","", IFERROR(VLOOKUP(F756, 'Product List'!A:D, 4, FALSE), 0.03))</f>
        <v/>
      </c>
      <c r="M756">
        <f>IF(F756="","", J756*K756*L756)</f>
        <v/>
      </c>
    </row>
    <row r="757">
      <c r="A757" t="inlineStr"/>
      <c r="B757" t="inlineStr"/>
      <c r="C757" t="inlineStr"/>
      <c r="D757" t="inlineStr">
        <is>
          <t>2026-06</t>
        </is>
      </c>
      <c r="E757" t="inlineStr"/>
      <c r="F757" t="inlineStr"/>
      <c r="G757">
        <f>IF(F757="","", IFERROR(VLOOKUP(F757, 'Product List'!A:D, 2, FALSE), ""))</f>
        <v/>
      </c>
      <c r="H757">
        <f>IF(F757="","", IFERROR(VLOOKUP(F757, 'Product List'!A:D, 3, FALSE), ""))</f>
        <v/>
      </c>
      <c r="I757" t="inlineStr"/>
      <c r="J757" t="n">
        <v>1</v>
      </c>
      <c r="K757" t="n">
        <v>0</v>
      </c>
      <c r="L757">
        <f>IF(F757="","", IFERROR(VLOOKUP(F757, 'Product List'!A:D, 4, FALSE), 0.03))</f>
        <v/>
      </c>
      <c r="M757">
        <f>IF(F757="","", J757*K757*L757)</f>
        <v/>
      </c>
    </row>
    <row r="758">
      <c r="A758" t="inlineStr"/>
      <c r="B758" t="inlineStr"/>
      <c r="C758" t="inlineStr"/>
      <c r="D758" t="inlineStr">
        <is>
          <t>2026-06</t>
        </is>
      </c>
      <c r="E758" t="inlineStr"/>
      <c r="F758" t="inlineStr"/>
      <c r="G758">
        <f>IF(F758="","", IFERROR(VLOOKUP(F758, 'Product List'!A:D, 2, FALSE), ""))</f>
        <v/>
      </c>
      <c r="H758">
        <f>IF(F758="","", IFERROR(VLOOKUP(F758, 'Product List'!A:D, 3, FALSE), ""))</f>
        <v/>
      </c>
      <c r="I758" t="inlineStr"/>
      <c r="J758" t="n">
        <v>1</v>
      </c>
      <c r="K758" t="n">
        <v>0</v>
      </c>
      <c r="L758">
        <f>IF(F758="","", IFERROR(VLOOKUP(F758, 'Product List'!A:D, 4, FALSE), 0.03))</f>
        <v/>
      </c>
      <c r="M758">
        <f>IF(F758="","", J758*K758*L758)</f>
        <v/>
      </c>
    </row>
    <row r="759">
      <c r="A759" t="inlineStr"/>
      <c r="B759" t="inlineStr"/>
      <c r="C759" t="inlineStr"/>
      <c r="D759" t="inlineStr">
        <is>
          <t>2026-06</t>
        </is>
      </c>
      <c r="E759" t="inlineStr"/>
      <c r="F759" t="inlineStr"/>
      <c r="G759">
        <f>IF(F759="","", IFERROR(VLOOKUP(F759, 'Product List'!A:D, 2, FALSE), ""))</f>
        <v/>
      </c>
      <c r="H759">
        <f>IF(F759="","", IFERROR(VLOOKUP(F759, 'Product List'!A:D, 3, FALSE), ""))</f>
        <v/>
      </c>
      <c r="I759" t="inlineStr"/>
      <c r="J759" t="n">
        <v>1</v>
      </c>
      <c r="K759" t="n">
        <v>0</v>
      </c>
      <c r="L759">
        <f>IF(F759="","", IFERROR(VLOOKUP(F759, 'Product List'!A:D, 4, FALSE), 0.03))</f>
        <v/>
      </c>
      <c r="M759">
        <f>IF(F759="","", J759*K759*L759)</f>
        <v/>
      </c>
    </row>
    <row r="760">
      <c r="A760" t="inlineStr"/>
      <c r="B760" t="inlineStr"/>
      <c r="C760" t="inlineStr"/>
      <c r="D760" t="inlineStr">
        <is>
          <t>2026-06</t>
        </is>
      </c>
      <c r="E760" t="inlineStr"/>
      <c r="F760" t="inlineStr"/>
      <c r="G760">
        <f>IF(F760="","", IFERROR(VLOOKUP(F760, 'Product List'!A:D, 2, FALSE), ""))</f>
        <v/>
      </c>
      <c r="H760">
        <f>IF(F760="","", IFERROR(VLOOKUP(F760, 'Product List'!A:D, 3, FALSE), ""))</f>
        <v/>
      </c>
      <c r="I760" t="inlineStr"/>
      <c r="J760" t="n">
        <v>1</v>
      </c>
      <c r="K760" t="n">
        <v>0</v>
      </c>
      <c r="L760">
        <f>IF(F760="","", IFERROR(VLOOKUP(F760, 'Product List'!A:D, 4, FALSE), 0.03))</f>
        <v/>
      </c>
      <c r="M760">
        <f>IF(F760="","", J760*K760*L760)</f>
        <v/>
      </c>
    </row>
    <row r="761">
      <c r="A761" t="inlineStr"/>
      <c r="B761" t="inlineStr"/>
      <c r="C761" t="inlineStr"/>
      <c r="D761" t="inlineStr">
        <is>
          <t>2026-06</t>
        </is>
      </c>
      <c r="E761" t="inlineStr"/>
      <c r="F761" t="inlineStr"/>
      <c r="G761">
        <f>IF(F761="","", IFERROR(VLOOKUP(F761, 'Product List'!A:D, 2, FALSE), ""))</f>
        <v/>
      </c>
      <c r="H761">
        <f>IF(F761="","", IFERROR(VLOOKUP(F761, 'Product List'!A:D, 3, FALSE), ""))</f>
        <v/>
      </c>
      <c r="I761" t="inlineStr"/>
      <c r="J761" t="n">
        <v>1</v>
      </c>
      <c r="K761" t="n">
        <v>0</v>
      </c>
      <c r="L761">
        <f>IF(F761="","", IFERROR(VLOOKUP(F761, 'Product List'!A:D, 4, FALSE), 0.03))</f>
        <v/>
      </c>
      <c r="M761">
        <f>IF(F761="","", J761*K761*L761)</f>
        <v/>
      </c>
    </row>
    <row r="762">
      <c r="A762" t="inlineStr"/>
      <c r="B762" t="inlineStr"/>
      <c r="C762" t="inlineStr"/>
      <c r="D762" t="inlineStr">
        <is>
          <t>2026-06</t>
        </is>
      </c>
      <c r="E762" t="inlineStr"/>
      <c r="F762" t="inlineStr"/>
      <c r="G762">
        <f>IF(F762="","", IFERROR(VLOOKUP(F762, 'Product List'!A:D, 2, FALSE), ""))</f>
        <v/>
      </c>
      <c r="H762">
        <f>IF(F762="","", IFERROR(VLOOKUP(F762, 'Product List'!A:D, 3, FALSE), ""))</f>
        <v/>
      </c>
      <c r="I762" t="inlineStr"/>
      <c r="J762" t="n">
        <v>1</v>
      </c>
      <c r="K762" t="n">
        <v>0</v>
      </c>
      <c r="L762">
        <f>IF(F762="","", IFERROR(VLOOKUP(F762, 'Product List'!A:D, 4, FALSE), 0.03))</f>
        <v/>
      </c>
      <c r="M762">
        <f>IF(F762="","", J762*K762*L762)</f>
        <v/>
      </c>
    </row>
    <row r="763">
      <c r="A763" t="inlineStr"/>
      <c r="B763" t="inlineStr"/>
      <c r="C763" t="inlineStr"/>
      <c r="D763" t="inlineStr">
        <is>
          <t>2026-06</t>
        </is>
      </c>
      <c r="E763" t="inlineStr"/>
      <c r="F763" t="inlineStr"/>
      <c r="G763">
        <f>IF(F763="","", IFERROR(VLOOKUP(F763, 'Product List'!A:D, 2, FALSE), ""))</f>
        <v/>
      </c>
      <c r="H763">
        <f>IF(F763="","", IFERROR(VLOOKUP(F763, 'Product List'!A:D, 3, FALSE), ""))</f>
        <v/>
      </c>
      <c r="I763" t="inlineStr"/>
      <c r="J763" t="n">
        <v>1</v>
      </c>
      <c r="K763" t="n">
        <v>0</v>
      </c>
      <c r="L763">
        <f>IF(F763="","", IFERROR(VLOOKUP(F763, 'Product List'!A:D, 4, FALSE), 0.03))</f>
        <v/>
      </c>
      <c r="M763">
        <f>IF(F763="","", J763*K763*L763)</f>
        <v/>
      </c>
    </row>
    <row r="764">
      <c r="A764" t="inlineStr"/>
      <c r="B764" t="inlineStr"/>
      <c r="C764" t="inlineStr"/>
      <c r="D764" t="inlineStr">
        <is>
          <t>2026-06</t>
        </is>
      </c>
      <c r="E764" t="inlineStr"/>
      <c r="F764" t="inlineStr"/>
      <c r="G764" t="inlineStr"/>
      <c r="H764" t="inlineStr"/>
      <c r="I764" t="n">
        <v>1</v>
      </c>
      <c r="J764" t="n">
        <v>0</v>
      </c>
      <c r="K764">
        <f>IF(F764="","", IFERROR(VLOOKUP(F764, 'Product List'!A:D, 4, FALSE), 0.03))</f>
        <v/>
      </c>
      <c r="L764">
        <f>IF(F764="","", I764*J764*K764)</f>
        <v/>
      </c>
    </row>
    <row r="765">
      <c r="A765" t="inlineStr"/>
      <c r="B765" t="inlineStr"/>
      <c r="C765" t="inlineStr"/>
      <c r="D765" t="inlineStr">
        <is>
          <t>2026-06</t>
        </is>
      </c>
      <c r="E765" t="inlineStr"/>
      <c r="F765" t="inlineStr"/>
      <c r="G765" t="inlineStr"/>
      <c r="H765" t="inlineStr"/>
      <c r="I765" t="n">
        <v>1</v>
      </c>
      <c r="J765" t="n">
        <v>0</v>
      </c>
      <c r="K765">
        <f>IF(F765="","", IFERROR(VLOOKUP(F765, 'Product List'!A:D, 4, FALSE), 0.03))</f>
        <v/>
      </c>
      <c r="L765">
        <f>IF(F765="","", I765*J765*K765)</f>
        <v/>
      </c>
    </row>
    <row r="766">
      <c r="A766" t="inlineStr"/>
      <c r="B766" t="inlineStr"/>
      <c r="C766" t="inlineStr"/>
      <c r="D766" t="inlineStr">
        <is>
          <t>2026-06</t>
        </is>
      </c>
      <c r="E766" t="inlineStr"/>
      <c r="F766" t="inlineStr"/>
      <c r="G766" t="inlineStr"/>
      <c r="H766" t="inlineStr"/>
      <c r="I766" t="n">
        <v>1</v>
      </c>
      <c r="J766" t="n">
        <v>0</v>
      </c>
      <c r="K766">
        <f>IF(F766="","", IFERROR(VLOOKUP(F766, 'Product List'!A:D, 4, FALSE), 0.03))</f>
        <v/>
      </c>
      <c r="L766">
        <f>IF(F766="","", I766*J766*K766)</f>
        <v/>
      </c>
    </row>
    <row r="767">
      <c r="A767" t="inlineStr"/>
      <c r="B767" t="inlineStr"/>
      <c r="C767" t="inlineStr"/>
      <c r="D767" t="inlineStr">
        <is>
          <t>2026-06</t>
        </is>
      </c>
      <c r="E767" t="inlineStr"/>
      <c r="F767" t="inlineStr"/>
      <c r="G767" t="inlineStr"/>
      <c r="H767" t="inlineStr"/>
      <c r="I767" t="n">
        <v>1</v>
      </c>
      <c r="J767" t="n">
        <v>0</v>
      </c>
      <c r="K767">
        <f>IF(F767="","", IFERROR(VLOOKUP(F767, 'Product List'!A:D, 4, FALSE), 0.03))</f>
        <v/>
      </c>
      <c r="L767">
        <f>IF(F767="","", I767*J767*K767)</f>
        <v/>
      </c>
    </row>
    <row r="768">
      <c r="A768" t="inlineStr"/>
      <c r="B768" t="inlineStr"/>
      <c r="C768" t="inlineStr"/>
      <c r="D768" t="inlineStr">
        <is>
          <t>2026-06</t>
        </is>
      </c>
      <c r="E768" t="inlineStr"/>
      <c r="F768" t="inlineStr"/>
      <c r="G768" t="inlineStr"/>
      <c r="H768" t="inlineStr"/>
      <c r="I768" t="n">
        <v>1</v>
      </c>
      <c r="J768" t="n">
        <v>0</v>
      </c>
      <c r="K768">
        <f>IF(F768="","", IFERROR(VLOOKUP(F768, 'Product List'!A:D, 4, FALSE), 0.03))</f>
        <v/>
      </c>
      <c r="L768">
        <f>IF(F768="","", I768*J768*K768)</f>
        <v/>
      </c>
    </row>
    <row r="769">
      <c r="A769" t="inlineStr"/>
      <c r="B769" t="inlineStr"/>
      <c r="C769" t="inlineStr"/>
      <c r="D769" t="inlineStr">
        <is>
          <t>2026-06</t>
        </is>
      </c>
      <c r="E769" t="inlineStr"/>
      <c r="F769" t="inlineStr"/>
      <c r="G769" t="inlineStr"/>
      <c r="H769" t="inlineStr"/>
      <c r="I769" t="n">
        <v>1</v>
      </c>
      <c r="J769" t="n">
        <v>0</v>
      </c>
      <c r="K769">
        <f>IF(F769="","", IFERROR(VLOOKUP(F769, 'Product List'!A:D, 4, FALSE), 0.03))</f>
        <v/>
      </c>
      <c r="L769">
        <f>IF(F769="","", I769*J769*K769)</f>
        <v/>
      </c>
    </row>
    <row r="770">
      <c r="A770" t="inlineStr"/>
      <c r="B770" t="inlineStr"/>
      <c r="C770" t="inlineStr"/>
      <c r="D770" t="inlineStr">
        <is>
          <t>2026-06</t>
        </is>
      </c>
      <c r="E770" t="inlineStr"/>
      <c r="F770" t="inlineStr"/>
      <c r="G770" t="inlineStr"/>
      <c r="H770" t="inlineStr"/>
      <c r="I770" t="n">
        <v>1</v>
      </c>
      <c r="J770" t="n">
        <v>0</v>
      </c>
      <c r="K770">
        <f>IF(F770="","", IFERROR(VLOOKUP(F770, 'Product List'!A:D, 4, FALSE), 0.03))</f>
        <v/>
      </c>
      <c r="L770">
        <f>IF(F770="","", I770*J770*K770)</f>
        <v/>
      </c>
    </row>
    <row r="771">
      <c r="A771" t="inlineStr"/>
      <c r="B771" t="inlineStr"/>
      <c r="C771" t="inlineStr"/>
      <c r="D771" t="inlineStr">
        <is>
          <t>2026-06</t>
        </is>
      </c>
      <c r="E771" t="inlineStr"/>
      <c r="F771" t="inlineStr"/>
      <c r="G771" t="inlineStr"/>
      <c r="H771" t="inlineStr"/>
      <c r="I771" t="n">
        <v>1</v>
      </c>
      <c r="J771" t="n">
        <v>0</v>
      </c>
      <c r="K771">
        <f>IF(F771="","", IFERROR(VLOOKUP(F771, 'Product List'!A:D, 4, FALSE), 0.03))</f>
        <v/>
      </c>
      <c r="L771">
        <f>IF(F771="","", I771*J771*K771)</f>
        <v/>
      </c>
    </row>
    <row r="772">
      <c r="A772" t="inlineStr"/>
      <c r="B772" t="inlineStr"/>
      <c r="C772" t="inlineStr"/>
      <c r="D772" t="inlineStr">
        <is>
          <t>2026-06</t>
        </is>
      </c>
      <c r="E772" t="inlineStr"/>
      <c r="F772" t="inlineStr"/>
      <c r="G772" t="inlineStr"/>
      <c r="H772" t="inlineStr"/>
      <c r="I772" t="n">
        <v>1</v>
      </c>
      <c r="J772" t="n">
        <v>0</v>
      </c>
      <c r="K772">
        <f>IF(F772="","", IFERROR(VLOOKUP(F772, 'Product List'!A:D, 4, FALSE), 0.03))</f>
        <v/>
      </c>
      <c r="L772">
        <f>IF(F772="","", I772*J772*K772)</f>
        <v/>
      </c>
    </row>
    <row r="773">
      <c r="A773" t="inlineStr"/>
      <c r="B773" t="inlineStr"/>
      <c r="C773" t="inlineStr"/>
      <c r="D773" t="inlineStr">
        <is>
          <t>2026-06</t>
        </is>
      </c>
      <c r="E773" t="inlineStr"/>
      <c r="F773" t="inlineStr"/>
      <c r="G773" t="inlineStr"/>
      <c r="H773" t="inlineStr"/>
      <c r="I773" t="n">
        <v>1</v>
      </c>
      <c r="J773" t="n">
        <v>0</v>
      </c>
      <c r="K773">
        <f>IF(F773="","", IFERROR(VLOOKUP(F773, 'Product List'!A:D, 4, FALSE), 0.03))</f>
        <v/>
      </c>
      <c r="L773">
        <f>IF(F773="","", I773*J773*K773)</f>
        <v/>
      </c>
    </row>
    <row r="774">
      <c r="A774" t="inlineStr"/>
      <c r="B774" t="inlineStr"/>
      <c r="C774" t="inlineStr"/>
      <c r="D774" t="inlineStr">
        <is>
          <t>2026-06</t>
        </is>
      </c>
      <c r="E774" t="inlineStr"/>
      <c r="F774" t="inlineStr"/>
      <c r="G774" t="inlineStr"/>
      <c r="H774" t="inlineStr"/>
      <c r="I774" t="n">
        <v>1</v>
      </c>
      <c r="J774" t="n">
        <v>0</v>
      </c>
      <c r="K774">
        <f>IF(F774="","", IFERROR(VLOOKUP(F774, 'Product List'!A:D, 4, FALSE), 0.03))</f>
        <v/>
      </c>
      <c r="L774">
        <f>IF(F774="","", I774*J774*K774)</f>
        <v/>
      </c>
    </row>
    <row r="775">
      <c r="A775" t="inlineStr"/>
      <c r="B775" t="inlineStr"/>
      <c r="C775" t="inlineStr"/>
      <c r="D775" t="inlineStr">
        <is>
          <t>2026-06</t>
        </is>
      </c>
      <c r="E775" t="inlineStr"/>
      <c r="F775" t="inlineStr"/>
      <c r="G775" t="inlineStr"/>
      <c r="H775" t="inlineStr"/>
      <c r="I775" t="n">
        <v>1</v>
      </c>
      <c r="J775" t="n">
        <v>0</v>
      </c>
      <c r="K775">
        <f>IF(F775="","", IFERROR(VLOOKUP(F775, 'Product List'!A:D, 4, FALSE), 0.03))</f>
        <v/>
      </c>
      <c r="L775">
        <f>IF(F775="","", I775*J775*K775)</f>
        <v/>
      </c>
    </row>
    <row r="776">
      <c r="A776" t="inlineStr"/>
      <c r="B776" t="inlineStr"/>
      <c r="C776" t="inlineStr"/>
      <c r="D776" t="inlineStr">
        <is>
          <t>2026-06</t>
        </is>
      </c>
      <c r="E776" t="inlineStr"/>
      <c r="F776" t="inlineStr"/>
      <c r="G776" t="inlineStr"/>
      <c r="H776" t="inlineStr"/>
      <c r="I776" t="n">
        <v>1</v>
      </c>
      <c r="J776" t="n">
        <v>0</v>
      </c>
      <c r="K776">
        <f>IF(F776="","", IFERROR(VLOOKUP(F776, 'Product List'!A:D, 4, FALSE), 0.03))</f>
        <v/>
      </c>
      <c r="L776">
        <f>IF(F776="","", I776*J776*K776)</f>
        <v/>
      </c>
    </row>
    <row r="777">
      <c r="A777" t="inlineStr"/>
      <c r="B777" t="inlineStr"/>
      <c r="C777" t="inlineStr"/>
      <c r="D777" t="inlineStr">
        <is>
          <t>2026-06</t>
        </is>
      </c>
      <c r="E777" t="inlineStr"/>
      <c r="F777" t="inlineStr"/>
      <c r="G777" t="inlineStr"/>
      <c r="H777" t="inlineStr"/>
      <c r="I777" t="n">
        <v>1</v>
      </c>
      <c r="J777" t="n">
        <v>0</v>
      </c>
      <c r="K777">
        <f>IF(F777="","", IFERROR(VLOOKUP(F777, 'Product List'!A:D, 4, FALSE), 0.03))</f>
        <v/>
      </c>
      <c r="L777">
        <f>IF(F777="","", I777*J777*K777)</f>
        <v/>
      </c>
    </row>
    <row r="778">
      <c r="A778" t="inlineStr"/>
      <c r="B778" t="inlineStr"/>
      <c r="C778" t="inlineStr"/>
      <c r="D778" t="inlineStr">
        <is>
          <t>2026-06</t>
        </is>
      </c>
      <c r="E778" t="inlineStr"/>
      <c r="F778" t="inlineStr"/>
      <c r="G778" t="inlineStr"/>
      <c r="H778" t="inlineStr"/>
      <c r="I778" t="n">
        <v>1</v>
      </c>
      <c r="J778" t="n">
        <v>0</v>
      </c>
      <c r="K778">
        <f>IF(F778="","", IFERROR(VLOOKUP(F778, 'Product List'!A:D, 4, FALSE), 0.03))</f>
        <v/>
      </c>
      <c r="L778">
        <f>IF(F778="","", I778*J778*K778)</f>
        <v/>
      </c>
    </row>
    <row r="779">
      <c r="A779" t="inlineStr"/>
      <c r="B779" t="inlineStr"/>
      <c r="C779" t="inlineStr"/>
      <c r="D779" t="inlineStr">
        <is>
          <t>2026-06</t>
        </is>
      </c>
      <c r="E779" t="inlineStr"/>
      <c r="F779" t="inlineStr"/>
      <c r="G779" t="inlineStr"/>
      <c r="H779" t="inlineStr"/>
      <c r="I779" t="n">
        <v>1</v>
      </c>
      <c r="J779" t="n">
        <v>0</v>
      </c>
      <c r="K779">
        <f>IF(F779="","", IFERROR(VLOOKUP(F779, 'Product List'!A:D, 4, FALSE), 0.03))</f>
        <v/>
      </c>
      <c r="L779">
        <f>IF(F779="","", I779*J779*K779)</f>
        <v/>
      </c>
    </row>
    <row r="780">
      <c r="A780" t="inlineStr"/>
      <c r="B780" t="inlineStr"/>
      <c r="C780" t="inlineStr"/>
      <c r="D780" t="inlineStr">
        <is>
          <t>2026-06</t>
        </is>
      </c>
      <c r="E780" t="inlineStr"/>
      <c r="F780" t="inlineStr"/>
      <c r="G780" t="inlineStr"/>
      <c r="H780" t="inlineStr"/>
      <c r="I780" t="n">
        <v>1</v>
      </c>
      <c r="J780" t="n">
        <v>0</v>
      </c>
      <c r="K780">
        <f>IF(F780="","", IFERROR(VLOOKUP(F780, 'Product List'!A:D, 4, FALSE), 0.03))</f>
        <v/>
      </c>
      <c r="L780">
        <f>IF(F780="","", I780*J780*K780)</f>
        <v/>
      </c>
    </row>
    <row r="781">
      <c r="A781" t="inlineStr"/>
      <c r="B781" t="inlineStr"/>
      <c r="C781" t="inlineStr"/>
      <c r="D781" t="inlineStr">
        <is>
          <t>2026-06</t>
        </is>
      </c>
      <c r="E781" t="inlineStr"/>
      <c r="F781" t="inlineStr"/>
      <c r="G781" t="inlineStr"/>
      <c r="H781" t="inlineStr"/>
      <c r="I781" t="n">
        <v>1</v>
      </c>
      <c r="J781" t="n">
        <v>0</v>
      </c>
      <c r="K781">
        <f>IF(F781="","", IFERROR(VLOOKUP(F781, 'Product List'!A:D, 4, FALSE), 0.03))</f>
        <v/>
      </c>
      <c r="L781">
        <f>IF(F781="","", I781*J781*K781)</f>
        <v/>
      </c>
    </row>
    <row r="782">
      <c r="A782" t="inlineStr"/>
      <c r="B782" t="inlineStr"/>
      <c r="C782" t="inlineStr"/>
      <c r="D782" t="inlineStr">
        <is>
          <t>2026-06</t>
        </is>
      </c>
      <c r="E782" t="inlineStr"/>
      <c r="F782" t="inlineStr"/>
      <c r="G782" t="inlineStr"/>
      <c r="H782" t="inlineStr"/>
      <c r="I782" t="n">
        <v>1</v>
      </c>
      <c r="J782" t="n">
        <v>0</v>
      </c>
      <c r="K782">
        <f>IF(F782="","", IFERROR(VLOOKUP(F782, 'Product List'!A:D, 4, FALSE), 0.03))</f>
        <v/>
      </c>
      <c r="L782">
        <f>IF(F782="","", I782*J782*K782)</f>
        <v/>
      </c>
    </row>
    <row r="783">
      <c r="A783" t="inlineStr"/>
      <c r="B783" t="inlineStr"/>
      <c r="C783" t="inlineStr"/>
      <c r="D783" t="inlineStr">
        <is>
          <t>2026-06</t>
        </is>
      </c>
      <c r="E783" t="inlineStr"/>
      <c r="F783" t="inlineStr"/>
      <c r="G783" t="inlineStr"/>
      <c r="H783" t="inlineStr"/>
      <c r="I783" t="n">
        <v>1</v>
      </c>
      <c r="J783" t="n">
        <v>0</v>
      </c>
      <c r="K783">
        <f>IF(F783="","", IFERROR(VLOOKUP(F783, 'Product List'!A:D, 4, FALSE), 0.03))</f>
        <v/>
      </c>
      <c r="L783">
        <f>IF(F783="","", I783*J783*K783)</f>
        <v/>
      </c>
    </row>
    <row r="784">
      <c r="A784" t="inlineStr"/>
      <c r="B784" t="inlineStr"/>
      <c r="C784" t="inlineStr"/>
      <c r="D784" t="inlineStr">
        <is>
          <t>2026-06</t>
        </is>
      </c>
      <c r="E784" t="inlineStr"/>
      <c r="F784" t="inlineStr"/>
      <c r="G784" t="inlineStr"/>
      <c r="H784" t="inlineStr"/>
      <c r="I784" t="n">
        <v>1</v>
      </c>
      <c r="J784" t="n">
        <v>0</v>
      </c>
      <c r="K784">
        <f>IF(F784="","", IFERROR(VLOOKUP(F784, 'Product List'!A:D, 4, FALSE), 0.03))</f>
        <v/>
      </c>
      <c r="L784">
        <f>IF(F784="","", I784*J784*K784)</f>
        <v/>
      </c>
    </row>
    <row r="785">
      <c r="A785" t="inlineStr"/>
      <c r="B785" t="inlineStr"/>
      <c r="C785" t="inlineStr"/>
      <c r="D785" t="inlineStr">
        <is>
          <t>2026-06</t>
        </is>
      </c>
      <c r="E785" t="inlineStr"/>
      <c r="F785" t="inlineStr"/>
      <c r="G785" t="inlineStr"/>
      <c r="H785" t="inlineStr"/>
      <c r="I785" t="n">
        <v>1</v>
      </c>
      <c r="J785" t="n">
        <v>0</v>
      </c>
      <c r="K785">
        <f>IF(F785="","", IFERROR(VLOOKUP(F785, 'Product List'!A:D, 4, FALSE), 0.03))</f>
        <v/>
      </c>
      <c r="L785">
        <f>IF(F785="","", I785*J785*K785)</f>
        <v/>
      </c>
    </row>
    <row r="786">
      <c r="A786" t="inlineStr"/>
      <c r="B786" t="inlineStr"/>
      <c r="C786" t="inlineStr"/>
      <c r="D786" t="inlineStr">
        <is>
          <t>2026-06</t>
        </is>
      </c>
      <c r="E786" t="inlineStr"/>
      <c r="F786" t="inlineStr"/>
      <c r="G786" t="inlineStr"/>
      <c r="H786" t="inlineStr"/>
      <c r="I786" t="n">
        <v>1</v>
      </c>
      <c r="J786" t="n">
        <v>0</v>
      </c>
      <c r="K786">
        <f>IF(F786="","", IFERROR(VLOOKUP(F786, 'Product List'!A:D, 4, FALSE), 0.03))</f>
        <v/>
      </c>
      <c r="L786">
        <f>IF(F786="","", I786*J786*K786)</f>
        <v/>
      </c>
    </row>
    <row r="787">
      <c r="A787" t="inlineStr"/>
      <c r="B787" t="inlineStr"/>
      <c r="C787" t="inlineStr"/>
      <c r="D787" t="inlineStr">
        <is>
          <t>2026-06</t>
        </is>
      </c>
      <c r="E787" t="inlineStr"/>
      <c r="F787" t="inlineStr"/>
      <c r="G787" t="inlineStr"/>
      <c r="H787" t="inlineStr"/>
      <c r="I787" t="n">
        <v>1</v>
      </c>
      <c r="J787" t="n">
        <v>0</v>
      </c>
      <c r="K787">
        <f>IF(F787="","", IFERROR(VLOOKUP(F787, 'Product List'!A:D, 4, FALSE), 0.03))</f>
        <v/>
      </c>
      <c r="L787">
        <f>IF(F787="","", I787*J787*K787)</f>
        <v/>
      </c>
    </row>
    <row r="788">
      <c r="A788" t="inlineStr"/>
      <c r="B788" t="inlineStr"/>
      <c r="C788" t="inlineStr"/>
      <c r="D788" t="inlineStr">
        <is>
          <t>2026-06</t>
        </is>
      </c>
      <c r="E788" t="inlineStr"/>
      <c r="F788" t="inlineStr"/>
      <c r="G788" t="inlineStr"/>
      <c r="H788" t="inlineStr"/>
      <c r="I788" t="n">
        <v>1</v>
      </c>
      <c r="J788" t="n">
        <v>0</v>
      </c>
      <c r="K788">
        <f>IF(F788="","", IFERROR(VLOOKUP(F788, 'Product List'!A:D, 4, FALSE), 0.03))</f>
        <v/>
      </c>
      <c r="L788">
        <f>IF(F788="","", I788*J788*K788)</f>
        <v/>
      </c>
    </row>
    <row r="789">
      <c r="A789" t="inlineStr"/>
      <c r="B789" t="inlineStr"/>
      <c r="C789" t="inlineStr"/>
      <c r="D789" t="inlineStr">
        <is>
          <t>2026-06</t>
        </is>
      </c>
      <c r="E789" t="inlineStr"/>
      <c r="F789" t="inlineStr"/>
      <c r="G789" t="inlineStr"/>
      <c r="H789" t="inlineStr"/>
      <c r="I789" t="n">
        <v>1</v>
      </c>
      <c r="J789" t="n">
        <v>0</v>
      </c>
      <c r="K789">
        <f>IF(F789="","", IFERROR(VLOOKUP(F789, 'Product List'!A:D, 4, FALSE), 0.03))</f>
        <v/>
      </c>
      <c r="L789">
        <f>IF(F789="","", I789*J789*K789)</f>
        <v/>
      </c>
    </row>
    <row r="790">
      <c r="A790" t="inlineStr"/>
      <c r="B790" t="inlineStr"/>
      <c r="C790" t="inlineStr"/>
      <c r="D790" t="inlineStr">
        <is>
          <t>2026-06</t>
        </is>
      </c>
      <c r="E790" t="inlineStr"/>
      <c r="F790" t="inlineStr"/>
      <c r="G790" t="inlineStr"/>
      <c r="H790" t="inlineStr"/>
      <c r="I790" t="n">
        <v>1</v>
      </c>
      <c r="J790" t="n">
        <v>0</v>
      </c>
      <c r="K790">
        <f>IF(F790="","", IFERROR(VLOOKUP(F790, 'Product List'!A:D, 4, FALSE), 0.03))</f>
        <v/>
      </c>
      <c r="L790">
        <f>IF(F790="","", I790*J790*K790)</f>
        <v/>
      </c>
    </row>
    <row r="791">
      <c r="A791" t="inlineStr"/>
      <c r="B791" t="inlineStr"/>
      <c r="C791" t="inlineStr"/>
      <c r="D791" t="inlineStr">
        <is>
          <t>2026-06</t>
        </is>
      </c>
      <c r="E791" t="inlineStr"/>
      <c r="F791" t="inlineStr"/>
      <c r="G791" t="inlineStr"/>
      <c r="H791" t="inlineStr"/>
      <c r="I791" t="n">
        <v>1</v>
      </c>
      <c r="J791" t="n">
        <v>0</v>
      </c>
      <c r="K791">
        <f>IF(F791="","", IFERROR(VLOOKUP(F791, 'Product List'!A:D, 4, FALSE), 0.03))</f>
        <v/>
      </c>
      <c r="L791">
        <f>IF(F791="","", I791*J791*K791)</f>
        <v/>
      </c>
    </row>
    <row r="792">
      <c r="A792" t="inlineStr"/>
      <c r="B792" t="inlineStr"/>
      <c r="C792" t="inlineStr"/>
      <c r="D792" t="inlineStr">
        <is>
          <t>2026-06</t>
        </is>
      </c>
      <c r="E792" t="inlineStr"/>
      <c r="F792" t="inlineStr"/>
      <c r="G792" t="inlineStr"/>
      <c r="H792" t="inlineStr"/>
      <c r="I792" t="n">
        <v>1</v>
      </c>
      <c r="J792" t="n">
        <v>0</v>
      </c>
      <c r="K792">
        <f>IF(F792="","", IFERROR(VLOOKUP(F792, 'Product List'!A:D, 4, FALSE), 0.03))</f>
        <v/>
      </c>
      <c r="L792">
        <f>IF(F792="","", I792*J792*K792)</f>
        <v/>
      </c>
    </row>
    <row r="793">
      <c r="A793" t="inlineStr"/>
      <c r="B793" t="inlineStr"/>
      <c r="C793" t="inlineStr"/>
      <c r="D793" t="inlineStr">
        <is>
          <t>2026-06</t>
        </is>
      </c>
      <c r="E793" t="inlineStr"/>
      <c r="F793" t="inlineStr"/>
      <c r="G793" t="inlineStr"/>
      <c r="H793" t="inlineStr"/>
      <c r="I793" t="n">
        <v>1</v>
      </c>
      <c r="J793" t="n">
        <v>0</v>
      </c>
      <c r="K793">
        <f>IF(F793="","", IFERROR(VLOOKUP(F793, 'Product List'!A:D, 4, FALSE), 0.03))</f>
        <v/>
      </c>
      <c r="L793">
        <f>IF(F793="","", I793*J793*K793)</f>
        <v/>
      </c>
    </row>
    <row r="794">
      <c r="A794" t="inlineStr"/>
      <c r="B794" t="inlineStr"/>
      <c r="C794" t="inlineStr"/>
      <c r="D794" t="inlineStr">
        <is>
          <t>2026-06</t>
        </is>
      </c>
      <c r="E794" t="inlineStr"/>
      <c r="F794" t="inlineStr"/>
      <c r="G794" t="inlineStr"/>
      <c r="H794" t="inlineStr"/>
      <c r="I794" t="n">
        <v>1</v>
      </c>
      <c r="J794" t="n">
        <v>0</v>
      </c>
      <c r="K794">
        <f>IF(F794="","", IFERROR(VLOOKUP(F794, 'Product List'!A:D, 4, FALSE), 0.03))</f>
        <v/>
      </c>
      <c r="L794">
        <f>IF(F794="","", I794*J794*K794)</f>
        <v/>
      </c>
    </row>
    <row r="795">
      <c r="A795" t="inlineStr"/>
      <c r="B795" t="inlineStr"/>
      <c r="C795" t="inlineStr"/>
      <c r="D795" t="inlineStr">
        <is>
          <t>2026-06</t>
        </is>
      </c>
      <c r="E795" t="inlineStr"/>
      <c r="F795" t="inlineStr"/>
      <c r="G795" t="inlineStr"/>
      <c r="H795" t="inlineStr"/>
      <c r="I795" t="n">
        <v>1</v>
      </c>
      <c r="J795" t="n">
        <v>0</v>
      </c>
      <c r="K795">
        <f>IF(F795="","", IFERROR(VLOOKUP(F795, 'Product List'!A:D, 4, FALSE), 0.03))</f>
        <v/>
      </c>
      <c r="L795">
        <f>IF(F795="","", I795*J795*K795)</f>
        <v/>
      </c>
    </row>
    <row r="796">
      <c r="A796" t="inlineStr"/>
      <c r="B796" t="inlineStr"/>
      <c r="C796" t="inlineStr"/>
      <c r="D796" t="inlineStr">
        <is>
          <t>2026-06</t>
        </is>
      </c>
      <c r="E796" t="inlineStr"/>
      <c r="F796" t="inlineStr"/>
      <c r="G796" t="inlineStr"/>
      <c r="H796" t="inlineStr"/>
      <c r="I796" t="n">
        <v>1</v>
      </c>
      <c r="J796" t="n">
        <v>0</v>
      </c>
      <c r="K796">
        <f>IF(F796="","", IFERROR(VLOOKUP(F796, 'Product List'!A:D, 4, FALSE), 0.03))</f>
        <v/>
      </c>
      <c r="L796">
        <f>IF(F796="","", I796*J796*K796)</f>
        <v/>
      </c>
    </row>
    <row r="797">
      <c r="A797" t="inlineStr"/>
      <c r="B797" t="inlineStr"/>
      <c r="C797" t="inlineStr"/>
      <c r="D797" t="inlineStr">
        <is>
          <t>2026-06</t>
        </is>
      </c>
      <c r="E797" t="inlineStr"/>
      <c r="F797" t="inlineStr"/>
      <c r="G797" t="inlineStr"/>
      <c r="H797" t="inlineStr"/>
      <c r="I797" t="n">
        <v>1</v>
      </c>
      <c r="J797" t="n">
        <v>0</v>
      </c>
      <c r="K797">
        <f>IF(F797="","", IFERROR(VLOOKUP(F797, 'Product List'!A:D, 4, FALSE), 0.03))</f>
        <v/>
      </c>
      <c r="L797">
        <f>IF(F797="","", I797*J797*K797)</f>
        <v/>
      </c>
    </row>
    <row r="798">
      <c r="A798" t="inlineStr"/>
      <c r="B798" t="inlineStr"/>
      <c r="C798" t="inlineStr"/>
      <c r="D798" t="inlineStr">
        <is>
          <t>2026-06</t>
        </is>
      </c>
      <c r="E798" t="inlineStr"/>
      <c r="F798" t="inlineStr"/>
      <c r="G798" t="inlineStr"/>
      <c r="H798" t="inlineStr"/>
      <c r="I798" t="n">
        <v>1</v>
      </c>
      <c r="J798" t="n">
        <v>0</v>
      </c>
      <c r="K798">
        <f>IF(F798="","", IFERROR(VLOOKUP(F798, 'Product List'!A:D, 4, FALSE), 0.03))</f>
        <v/>
      </c>
      <c r="L798">
        <f>IF(F798="","", I798*J798*K798)</f>
        <v/>
      </c>
    </row>
    <row r="799">
      <c r="A799" t="inlineStr"/>
      <c r="B799" t="inlineStr"/>
      <c r="C799" t="inlineStr"/>
      <c r="D799" t="inlineStr">
        <is>
          <t>2026-06</t>
        </is>
      </c>
      <c r="E799" t="inlineStr"/>
      <c r="F799" t="inlineStr"/>
      <c r="G799" t="inlineStr"/>
      <c r="H799" t="inlineStr"/>
      <c r="I799" t="n">
        <v>1</v>
      </c>
      <c r="J799" t="n">
        <v>0</v>
      </c>
      <c r="K799">
        <f>IF(F799="","", IFERROR(VLOOKUP(F799, 'Product List'!A:D, 4, FALSE), 0.03))</f>
        <v/>
      </c>
      <c r="L799">
        <f>IF(F799="","", I799*J799*K799)</f>
        <v/>
      </c>
    </row>
    <row r="800">
      <c r="A800" t="inlineStr"/>
      <c r="B800" t="inlineStr"/>
      <c r="C800" t="inlineStr"/>
      <c r="D800" t="inlineStr">
        <is>
          <t>2026-06</t>
        </is>
      </c>
      <c r="E800" t="inlineStr"/>
      <c r="F800" t="inlineStr"/>
      <c r="G800" t="inlineStr"/>
      <c r="H800" t="inlineStr"/>
      <c r="I800" t="n">
        <v>1</v>
      </c>
      <c r="J800" t="n">
        <v>0</v>
      </c>
      <c r="K800">
        <f>IF(F800="","", IFERROR(VLOOKUP(F800, 'Product List'!A:D, 4, FALSE), 0.03))</f>
        <v/>
      </c>
      <c r="L800">
        <f>IF(F800="","", I800*J800*K800)</f>
        <v/>
      </c>
    </row>
    <row r="801">
      <c r="A801" t="inlineStr"/>
      <c r="B801" t="inlineStr"/>
      <c r="C801" t="inlineStr"/>
      <c r="D801" t="inlineStr">
        <is>
          <t>2026-06</t>
        </is>
      </c>
      <c r="E801" t="inlineStr"/>
      <c r="F801" t="inlineStr"/>
      <c r="G801" t="inlineStr"/>
      <c r="H801" t="inlineStr"/>
      <c r="I801" t="n">
        <v>1</v>
      </c>
      <c r="J801" t="n">
        <v>0</v>
      </c>
      <c r="K801">
        <f>IF(F801="","", IFERROR(VLOOKUP(F801, 'Product List'!A:D, 4, FALSE), 0.03))</f>
        <v/>
      </c>
      <c r="L801">
        <f>IF(F801="","", I801*J801*K801)</f>
        <v/>
      </c>
    </row>
    <row r="802">
      <c r="A802" t="inlineStr"/>
      <c r="B802" t="inlineStr"/>
      <c r="C802" t="inlineStr"/>
      <c r="D802" t="inlineStr">
        <is>
          <t>2026-06</t>
        </is>
      </c>
      <c r="E802" t="inlineStr"/>
      <c r="F802" t="inlineStr"/>
      <c r="G802" t="inlineStr"/>
      <c r="H802" t="inlineStr"/>
      <c r="I802" t="n">
        <v>1</v>
      </c>
      <c r="J802" t="n">
        <v>0</v>
      </c>
      <c r="K802">
        <f>IF(F802="","", IFERROR(VLOOKUP(F802, 'Product List'!A:D, 4, FALSE), 0.03))</f>
        <v/>
      </c>
      <c r="L802">
        <f>IF(F802="","", I802*J802*K802)</f>
        <v/>
      </c>
    </row>
    <row r="803">
      <c r="A803" t="inlineStr"/>
      <c r="B803" t="inlineStr"/>
      <c r="C803" t="inlineStr"/>
      <c r="D803" t="inlineStr">
        <is>
          <t>2026-06</t>
        </is>
      </c>
      <c r="E803" t="inlineStr"/>
      <c r="F803" t="inlineStr"/>
      <c r="G803" t="inlineStr"/>
      <c r="H803" t="inlineStr"/>
      <c r="I803" t="n">
        <v>1</v>
      </c>
      <c r="J803" t="n">
        <v>0</v>
      </c>
      <c r="K803">
        <f>IF(F803="","", IFERROR(VLOOKUP(F803, 'Product List'!A:D, 4, FALSE), 0.03))</f>
        <v/>
      </c>
      <c r="L803">
        <f>IF(F803="","", I803*J803*K803)</f>
        <v/>
      </c>
    </row>
    <row r="804">
      <c r="A804" t="inlineStr"/>
      <c r="B804" t="inlineStr"/>
      <c r="C804" t="inlineStr"/>
      <c r="D804" t="inlineStr">
        <is>
          <t>2026-06</t>
        </is>
      </c>
      <c r="E804" t="inlineStr"/>
      <c r="F804" t="inlineStr"/>
      <c r="G804" t="inlineStr"/>
      <c r="H804" t="inlineStr"/>
      <c r="I804" t="n">
        <v>1</v>
      </c>
      <c r="J804" t="n">
        <v>0</v>
      </c>
      <c r="K804">
        <f>IF(F804="","", IFERROR(VLOOKUP(F804, 'Product List'!A:D, 4, FALSE), 0.03))</f>
        <v/>
      </c>
      <c r="L804">
        <f>IF(F804="","", I804*J804*K804)</f>
        <v/>
      </c>
    </row>
    <row r="805">
      <c r="A805" t="inlineStr"/>
      <c r="B805" t="inlineStr"/>
      <c r="C805" t="inlineStr"/>
      <c r="D805" t="inlineStr">
        <is>
          <t>2026-06</t>
        </is>
      </c>
      <c r="E805" t="inlineStr"/>
      <c r="F805" t="inlineStr"/>
      <c r="G805" t="inlineStr"/>
      <c r="H805" t="inlineStr"/>
      <c r="I805" t="n">
        <v>1</v>
      </c>
      <c r="J805" t="n">
        <v>0</v>
      </c>
      <c r="K805">
        <f>IF(F805="","", IFERROR(VLOOKUP(F805, 'Product List'!A:D, 4, FALSE), 0.03))</f>
        <v/>
      </c>
      <c r="L805">
        <f>IF(F805="","", I805*J805*K805)</f>
        <v/>
      </c>
    </row>
    <row r="806">
      <c r="A806" t="inlineStr"/>
      <c r="B806" t="inlineStr"/>
      <c r="C806" t="inlineStr"/>
      <c r="D806" t="inlineStr">
        <is>
          <t>2026-06</t>
        </is>
      </c>
      <c r="E806" t="inlineStr"/>
      <c r="F806" t="inlineStr"/>
      <c r="G806" t="inlineStr"/>
      <c r="H806" t="inlineStr"/>
      <c r="I806" t="n">
        <v>1</v>
      </c>
      <c r="J806" t="n">
        <v>0</v>
      </c>
      <c r="K806">
        <f>IF(F806="","", IFERROR(VLOOKUP(F806, 'Product List'!A:D, 4, FALSE), 0.03))</f>
        <v/>
      </c>
      <c r="L806">
        <f>IF(F806="","", I806*J806*K806)</f>
        <v/>
      </c>
    </row>
    <row r="807">
      <c r="A807" t="inlineStr"/>
      <c r="B807" t="inlineStr"/>
      <c r="C807" t="inlineStr"/>
      <c r="D807" t="inlineStr">
        <is>
          <t>2026-06</t>
        </is>
      </c>
      <c r="E807" t="inlineStr"/>
      <c r="F807" t="inlineStr"/>
      <c r="G807" t="inlineStr"/>
      <c r="H807" t="inlineStr"/>
      <c r="I807" t="n">
        <v>1</v>
      </c>
      <c r="J807" t="n">
        <v>0</v>
      </c>
      <c r="K807">
        <f>IF(F807="","", IFERROR(VLOOKUP(F807, 'Product List'!A:D, 4, FALSE), 0.03))</f>
        <v/>
      </c>
      <c r="L807">
        <f>IF(F807="","", I807*J807*K807)</f>
        <v/>
      </c>
    </row>
    <row r="808">
      <c r="A808" t="inlineStr"/>
      <c r="B808" t="inlineStr"/>
      <c r="C808" t="inlineStr"/>
      <c r="D808" t="inlineStr">
        <is>
          <t>2026-06</t>
        </is>
      </c>
      <c r="E808" t="inlineStr"/>
      <c r="F808" t="inlineStr"/>
      <c r="G808" t="inlineStr"/>
      <c r="H808" t="inlineStr"/>
      <c r="I808" t="n">
        <v>1</v>
      </c>
      <c r="J808" t="n">
        <v>0</v>
      </c>
      <c r="K808">
        <f>IF(F808="","", IFERROR(VLOOKUP(F808, 'Product List'!A:D, 4, FALSE), 0.03))</f>
        <v/>
      </c>
      <c r="L808">
        <f>IF(F808="","", I808*J808*K808)</f>
        <v/>
      </c>
    </row>
    <row r="809">
      <c r="A809" t="inlineStr"/>
      <c r="B809" t="inlineStr"/>
      <c r="C809" t="inlineStr"/>
      <c r="D809" t="inlineStr">
        <is>
          <t>2026-06</t>
        </is>
      </c>
      <c r="E809" t="inlineStr"/>
      <c r="F809" t="inlineStr"/>
      <c r="G809" t="inlineStr"/>
      <c r="H809" t="inlineStr"/>
      <c r="I809" t="n">
        <v>1</v>
      </c>
      <c r="J809" t="n">
        <v>0</v>
      </c>
      <c r="K809">
        <f>IF(F809="","", IFERROR(VLOOKUP(F809, 'Product List'!A:D, 4, FALSE), 0.03))</f>
        <v/>
      </c>
      <c r="L809">
        <f>IF(F809="","", I809*J809*K809)</f>
        <v/>
      </c>
    </row>
    <row r="810">
      <c r="A810" t="inlineStr"/>
      <c r="B810" t="inlineStr"/>
      <c r="C810" t="inlineStr"/>
      <c r="D810" t="inlineStr">
        <is>
          <t>2026-06</t>
        </is>
      </c>
      <c r="E810" t="inlineStr"/>
      <c r="F810" t="inlineStr"/>
      <c r="G810" t="inlineStr"/>
      <c r="H810" t="inlineStr"/>
      <c r="I810" t="n">
        <v>1</v>
      </c>
      <c r="J810" t="n">
        <v>0</v>
      </c>
      <c r="K810">
        <f>IF(F810="","", IFERROR(VLOOKUP(F810, 'Product List'!A:D, 4, FALSE), 0.03))</f>
        <v/>
      </c>
      <c r="L810">
        <f>IF(F810="","", I810*J810*K810)</f>
        <v/>
      </c>
    </row>
    <row r="811">
      <c r="A811" t="inlineStr"/>
      <c r="B811" t="inlineStr"/>
      <c r="C811" t="inlineStr"/>
      <c r="D811" t="inlineStr">
        <is>
          <t>2026-06</t>
        </is>
      </c>
      <c r="E811" t="inlineStr"/>
      <c r="F811" t="inlineStr"/>
      <c r="G811" t="inlineStr"/>
      <c r="H811" t="inlineStr"/>
      <c r="I811" t="n">
        <v>1</v>
      </c>
      <c r="J811" t="n">
        <v>0</v>
      </c>
      <c r="K811">
        <f>IF(F811="","", IFERROR(VLOOKUP(F811, 'Product List'!A:D, 4, FALSE), 0.03))</f>
        <v/>
      </c>
      <c r="L811">
        <f>IF(F811="","", I811*J811*K811)</f>
        <v/>
      </c>
    </row>
    <row r="812">
      <c r="A812" t="inlineStr"/>
      <c r="B812" t="inlineStr"/>
      <c r="C812" t="inlineStr"/>
      <c r="D812" t="inlineStr">
        <is>
          <t>2026-06</t>
        </is>
      </c>
      <c r="E812" t="inlineStr"/>
      <c r="F812" t="inlineStr"/>
      <c r="G812" t="inlineStr"/>
      <c r="H812" t="inlineStr"/>
      <c r="I812" t="n">
        <v>1</v>
      </c>
      <c r="J812" t="n">
        <v>0</v>
      </c>
      <c r="K812">
        <f>IF(F812="","", IFERROR(VLOOKUP(F812, 'Product List'!A:D, 4, FALSE), 0.03))</f>
        <v/>
      </c>
      <c r="L812">
        <f>IF(F812="","", I812*J812*K812)</f>
        <v/>
      </c>
    </row>
    <row r="813">
      <c r="A813" t="inlineStr"/>
      <c r="B813" t="inlineStr"/>
      <c r="C813" t="inlineStr"/>
      <c r="D813" t="inlineStr">
        <is>
          <t>2026-06</t>
        </is>
      </c>
      <c r="E813" t="inlineStr"/>
      <c r="F813" t="inlineStr"/>
      <c r="G813" t="inlineStr"/>
      <c r="H813" t="inlineStr"/>
      <c r="I813" t="n">
        <v>1</v>
      </c>
      <c r="J813" t="n">
        <v>0</v>
      </c>
      <c r="K813">
        <f>IF(F813="","", IFERROR(VLOOKUP(F813, 'Product List'!A:D, 4, FALSE), 0.03))</f>
        <v/>
      </c>
      <c r="L813">
        <f>IF(F813="","", I813*J813*K813)</f>
        <v/>
      </c>
    </row>
    <row r="814">
      <c r="A814" t="inlineStr"/>
      <c r="B814" t="inlineStr"/>
      <c r="C814" t="inlineStr"/>
      <c r="D814" t="inlineStr">
        <is>
          <t>2026-06</t>
        </is>
      </c>
      <c r="E814" t="inlineStr"/>
      <c r="F814" t="inlineStr"/>
      <c r="G814" t="inlineStr"/>
      <c r="H814" t="inlineStr"/>
      <c r="I814" t="n">
        <v>1</v>
      </c>
      <c r="J814" t="n">
        <v>0</v>
      </c>
      <c r="K814">
        <f>IF(F814="","", IFERROR(VLOOKUP(F814, 'Product List'!A:D, 4, FALSE), 0.03))</f>
        <v/>
      </c>
      <c r="L814">
        <f>IF(F814="","", I814*J814*K814)</f>
        <v/>
      </c>
    </row>
    <row r="815">
      <c r="A815" t="inlineStr"/>
      <c r="B815" t="inlineStr"/>
      <c r="C815" t="inlineStr"/>
      <c r="D815" t="inlineStr">
        <is>
          <t>2026-06</t>
        </is>
      </c>
      <c r="E815" t="inlineStr"/>
      <c r="F815" t="inlineStr"/>
      <c r="G815" t="inlineStr"/>
      <c r="H815" t="inlineStr"/>
      <c r="I815" t="n">
        <v>1</v>
      </c>
      <c r="J815" t="n">
        <v>0</v>
      </c>
      <c r="K815">
        <f>IF(F815="","", IFERROR(VLOOKUP(F815, 'Product List'!A:D, 4, FALSE), 0.03))</f>
        <v/>
      </c>
      <c r="L815">
        <f>IF(F815="","", I815*J815*K815)</f>
        <v/>
      </c>
    </row>
    <row r="816">
      <c r="A816" t="inlineStr"/>
      <c r="B816" t="inlineStr"/>
      <c r="C816" t="inlineStr"/>
      <c r="D816" t="inlineStr">
        <is>
          <t>2026-06</t>
        </is>
      </c>
      <c r="E816" t="inlineStr"/>
      <c r="F816" t="inlineStr"/>
      <c r="G816" t="inlineStr"/>
      <c r="H816" t="inlineStr"/>
      <c r="I816" t="n">
        <v>1</v>
      </c>
      <c r="J816" t="n">
        <v>0</v>
      </c>
      <c r="K816">
        <f>IF(F816="","", IFERROR(VLOOKUP(F816, 'Product List'!A:D, 4, FALSE), 0.03))</f>
        <v/>
      </c>
      <c r="L816">
        <f>IF(F816="","", I816*J816*K816)</f>
        <v/>
      </c>
    </row>
    <row r="817">
      <c r="A817" t="inlineStr"/>
      <c r="B817" t="inlineStr"/>
      <c r="C817" t="inlineStr"/>
      <c r="D817" t="inlineStr">
        <is>
          <t>2026-06</t>
        </is>
      </c>
      <c r="E817" t="inlineStr"/>
      <c r="F817" t="inlineStr"/>
      <c r="G817" t="inlineStr"/>
      <c r="H817" t="inlineStr"/>
      <c r="I817" t="n">
        <v>1</v>
      </c>
      <c r="J817" t="n">
        <v>0</v>
      </c>
      <c r="K817">
        <f>IF(F817="","", IFERROR(VLOOKUP(F817, 'Product List'!A:D, 4, FALSE), 0.03))</f>
        <v/>
      </c>
      <c r="L817">
        <f>IF(F817="","", I817*J817*K817)</f>
        <v/>
      </c>
    </row>
    <row r="818">
      <c r="A818" t="inlineStr"/>
      <c r="B818" t="inlineStr"/>
      <c r="C818" t="inlineStr"/>
      <c r="D818" t="inlineStr">
        <is>
          <t>2026-06</t>
        </is>
      </c>
      <c r="E818" t="inlineStr"/>
      <c r="F818" t="inlineStr"/>
      <c r="G818" t="inlineStr"/>
      <c r="H818" t="inlineStr"/>
      <c r="I818" t="n">
        <v>1</v>
      </c>
      <c r="J818" t="n">
        <v>0</v>
      </c>
      <c r="K818">
        <f>IF(F818="","", IFERROR(VLOOKUP(F818, 'Product List'!A:D, 4, FALSE), 0.03))</f>
        <v/>
      </c>
      <c r="L818">
        <f>IF(F818="","", I818*J818*K818)</f>
        <v/>
      </c>
    </row>
    <row r="819">
      <c r="A819" t="inlineStr"/>
      <c r="B819" t="inlineStr"/>
      <c r="C819" t="inlineStr"/>
      <c r="D819" t="inlineStr">
        <is>
          <t>2026-06</t>
        </is>
      </c>
      <c r="E819" t="inlineStr"/>
      <c r="F819" t="inlineStr"/>
      <c r="G819" t="inlineStr"/>
      <c r="H819" t="inlineStr"/>
      <c r="I819" t="n">
        <v>1</v>
      </c>
      <c r="J819" t="n">
        <v>0</v>
      </c>
      <c r="K819">
        <f>IF(F819="","", IFERROR(VLOOKUP(F819, 'Product List'!A:D, 4, FALSE), 0.03))</f>
        <v/>
      </c>
      <c r="L819">
        <f>IF(F819="","", I819*J819*K819)</f>
        <v/>
      </c>
    </row>
    <row r="820">
      <c r="A820" t="inlineStr"/>
      <c r="B820" t="inlineStr"/>
      <c r="C820" t="inlineStr"/>
      <c r="D820" t="inlineStr">
        <is>
          <t>2026-06</t>
        </is>
      </c>
      <c r="E820" t="inlineStr"/>
      <c r="F820" t="inlineStr"/>
      <c r="G820" t="inlineStr"/>
      <c r="H820" t="inlineStr"/>
      <c r="I820" t="n">
        <v>1</v>
      </c>
      <c r="J820" t="n">
        <v>0</v>
      </c>
      <c r="K820">
        <f>IF(F820="","", IFERROR(VLOOKUP(F820, 'Product List'!A:D, 4, FALSE), 0.03))</f>
        <v/>
      </c>
      <c r="L820">
        <f>IF(F820="","", I820*J820*K820)</f>
        <v/>
      </c>
    </row>
    <row r="821">
      <c r="A821" t="inlineStr"/>
      <c r="B821" t="inlineStr"/>
      <c r="C821" t="inlineStr"/>
      <c r="D821" t="inlineStr">
        <is>
          <t>2026-06</t>
        </is>
      </c>
      <c r="E821" t="inlineStr"/>
      <c r="F821" t="inlineStr"/>
      <c r="G821" t="inlineStr"/>
      <c r="H821" t="inlineStr"/>
      <c r="I821" t="n">
        <v>1</v>
      </c>
      <c r="J821" t="n">
        <v>0</v>
      </c>
      <c r="K821">
        <f>IF(F821="","", IFERROR(VLOOKUP(F821, 'Product List'!A:D, 4, FALSE), 0.03))</f>
        <v/>
      </c>
      <c r="L821">
        <f>IF(F821="","", I821*J821*K821)</f>
        <v/>
      </c>
    </row>
    <row r="822">
      <c r="A822" t="inlineStr"/>
      <c r="B822" t="inlineStr"/>
      <c r="C822" t="inlineStr"/>
      <c r="D822" t="inlineStr">
        <is>
          <t>2026-06</t>
        </is>
      </c>
      <c r="E822" t="inlineStr"/>
      <c r="F822" t="inlineStr"/>
      <c r="G822" t="inlineStr"/>
      <c r="H822" t="inlineStr"/>
      <c r="I822" t="n">
        <v>1</v>
      </c>
      <c r="J822" t="n">
        <v>0</v>
      </c>
      <c r="K822">
        <f>IF(F822="","", IFERROR(VLOOKUP(F822, 'Product List'!A:D, 4, FALSE), 0.03))</f>
        <v/>
      </c>
      <c r="L822">
        <f>IF(F822="","", I822*J822*K822)</f>
        <v/>
      </c>
    </row>
    <row r="823">
      <c r="A823" t="inlineStr"/>
      <c r="B823" t="inlineStr"/>
      <c r="C823" t="inlineStr"/>
      <c r="D823" t="inlineStr">
        <is>
          <t>2026-06</t>
        </is>
      </c>
      <c r="E823" t="inlineStr"/>
      <c r="F823" t="inlineStr"/>
      <c r="G823" t="inlineStr"/>
      <c r="H823" t="inlineStr"/>
      <c r="I823" t="n">
        <v>1</v>
      </c>
      <c r="J823" t="n">
        <v>0</v>
      </c>
      <c r="K823">
        <f>IF(F823="","", IFERROR(VLOOKUP(F823, 'Product List'!A:D, 4, FALSE), 0.03))</f>
        <v/>
      </c>
      <c r="L823">
        <f>IF(F823="","", I823*J823*K823)</f>
        <v/>
      </c>
    </row>
    <row r="824">
      <c r="A824" t="inlineStr"/>
      <c r="B824" t="inlineStr"/>
      <c r="C824" t="inlineStr"/>
      <c r="D824" t="inlineStr">
        <is>
          <t>2026-06</t>
        </is>
      </c>
      <c r="E824" t="inlineStr"/>
      <c r="F824" t="inlineStr"/>
      <c r="G824" t="inlineStr"/>
      <c r="H824" t="inlineStr"/>
      <c r="I824" t="n">
        <v>1</v>
      </c>
      <c r="J824" t="n">
        <v>0</v>
      </c>
      <c r="K824">
        <f>IF(F824="","", IFERROR(VLOOKUP(F824, 'Product List'!A:D, 4, FALSE), 0.03))</f>
        <v/>
      </c>
      <c r="L824">
        <f>IF(F824="","", I824*J824*K824)</f>
        <v/>
      </c>
    </row>
    <row r="825">
      <c r="A825" t="inlineStr"/>
      <c r="B825" t="inlineStr"/>
      <c r="C825" t="inlineStr"/>
      <c r="D825" t="inlineStr">
        <is>
          <t>2026-06</t>
        </is>
      </c>
      <c r="E825" t="inlineStr"/>
      <c r="F825" t="inlineStr"/>
      <c r="G825" t="inlineStr"/>
      <c r="H825" t="inlineStr"/>
      <c r="I825" t="n">
        <v>1</v>
      </c>
      <c r="J825" t="n">
        <v>0</v>
      </c>
      <c r="K825">
        <f>IF(F825="","", IFERROR(VLOOKUP(F825, 'Product List'!A:D, 4, FALSE), 0.03))</f>
        <v/>
      </c>
      <c r="L825">
        <f>IF(F825="","", I825*J825*K825)</f>
        <v/>
      </c>
    </row>
    <row r="826">
      <c r="A826" t="inlineStr"/>
      <c r="B826" t="inlineStr"/>
      <c r="C826" t="inlineStr"/>
      <c r="D826" t="inlineStr">
        <is>
          <t>2026-06</t>
        </is>
      </c>
      <c r="E826" t="inlineStr"/>
      <c r="F826" t="inlineStr"/>
      <c r="G826" t="inlineStr"/>
      <c r="H826" t="inlineStr"/>
      <c r="I826" t="n">
        <v>1</v>
      </c>
      <c r="J826" t="n">
        <v>0</v>
      </c>
      <c r="K826">
        <f>IF(F826="","", IFERROR(VLOOKUP(F826, 'Product List'!A:D, 4, FALSE), 0.03))</f>
        <v/>
      </c>
      <c r="L826">
        <f>IF(F826="","", I826*J826*K826)</f>
        <v/>
      </c>
    </row>
    <row r="827">
      <c r="A827" t="inlineStr"/>
      <c r="B827" t="inlineStr"/>
      <c r="C827" t="inlineStr"/>
      <c r="D827" t="inlineStr">
        <is>
          <t>2026-06</t>
        </is>
      </c>
      <c r="E827" t="inlineStr"/>
      <c r="F827" t="inlineStr"/>
      <c r="G827" t="inlineStr"/>
      <c r="H827" t="inlineStr"/>
      <c r="I827" t="n">
        <v>1</v>
      </c>
      <c r="J827" t="n">
        <v>0</v>
      </c>
      <c r="K827">
        <f>IF(F827="","", IFERROR(VLOOKUP(F827, 'Product List'!A:D, 4, FALSE), 0.03))</f>
        <v/>
      </c>
      <c r="L827">
        <f>IF(F827="","", I827*J827*K827)</f>
        <v/>
      </c>
    </row>
    <row r="828">
      <c r="A828" t="inlineStr"/>
      <c r="B828" t="inlineStr"/>
      <c r="C828" t="inlineStr"/>
      <c r="D828" t="inlineStr">
        <is>
          <t>2026-06</t>
        </is>
      </c>
      <c r="E828" t="inlineStr"/>
      <c r="F828" t="inlineStr"/>
      <c r="G828" t="inlineStr"/>
      <c r="H828" t="inlineStr"/>
      <c r="I828" t="n">
        <v>1</v>
      </c>
      <c r="J828" t="n">
        <v>0</v>
      </c>
      <c r="K828">
        <f>IF(F828="","", IFERROR(VLOOKUP(F828, 'Product List'!A:D, 4, FALSE), 0.03))</f>
        <v/>
      </c>
      <c r="L828">
        <f>IF(F828="","", I828*J828*K828)</f>
        <v/>
      </c>
    </row>
    <row r="829">
      <c r="A829" t="inlineStr"/>
      <c r="B829" t="inlineStr"/>
      <c r="C829" t="inlineStr"/>
      <c r="D829" t="inlineStr">
        <is>
          <t>2026-06</t>
        </is>
      </c>
      <c r="E829" t="inlineStr"/>
      <c r="F829" t="inlineStr"/>
      <c r="G829" t="inlineStr"/>
      <c r="H829" t="inlineStr"/>
      <c r="I829" t="n">
        <v>1</v>
      </c>
      <c r="J829" t="n">
        <v>0</v>
      </c>
      <c r="K829">
        <f>IF(F829="","", IFERROR(VLOOKUP(F829, 'Product List'!A:D, 4, FALSE), 0.03))</f>
        <v/>
      </c>
      <c r="L829">
        <f>IF(F829="","", I829*J829*K829)</f>
        <v/>
      </c>
    </row>
    <row r="830">
      <c r="A830" t="inlineStr"/>
      <c r="B830" t="inlineStr"/>
      <c r="C830" t="inlineStr"/>
      <c r="D830" t="inlineStr">
        <is>
          <t>2026-06</t>
        </is>
      </c>
      <c r="E830" t="inlineStr"/>
      <c r="F830" t="inlineStr"/>
      <c r="G830" t="inlineStr"/>
      <c r="H830" t="inlineStr"/>
      <c r="I830" t="n">
        <v>1</v>
      </c>
      <c r="J830" t="n">
        <v>0</v>
      </c>
      <c r="K830">
        <f>IF(F830="","", IFERROR(VLOOKUP(F830, 'Product List'!A:D, 4, FALSE), 0.03))</f>
        <v/>
      </c>
      <c r="L830">
        <f>IF(F830="","", I830*J830*K830)</f>
        <v/>
      </c>
    </row>
    <row r="831">
      <c r="A831" t="inlineStr"/>
      <c r="B831" t="inlineStr"/>
      <c r="C831" t="inlineStr"/>
      <c r="D831" t="inlineStr">
        <is>
          <t>2026-06</t>
        </is>
      </c>
      <c r="E831" t="inlineStr"/>
      <c r="F831" t="inlineStr"/>
      <c r="G831" t="inlineStr"/>
      <c r="H831" t="inlineStr"/>
      <c r="I831" t="n">
        <v>1</v>
      </c>
      <c r="J831" t="n">
        <v>0</v>
      </c>
      <c r="K831">
        <f>IF(F831="","", IFERROR(VLOOKUP(F831, 'Product List'!A:D, 4, FALSE), 0.03))</f>
        <v/>
      </c>
      <c r="L831">
        <f>IF(F831="","", I831*J831*K831)</f>
        <v/>
      </c>
    </row>
    <row r="832">
      <c r="A832" t="inlineStr"/>
      <c r="B832" t="inlineStr"/>
      <c r="C832" t="inlineStr"/>
      <c r="D832" t="inlineStr">
        <is>
          <t>2026-06</t>
        </is>
      </c>
      <c r="E832" t="inlineStr"/>
      <c r="F832" t="inlineStr"/>
      <c r="G832" t="inlineStr"/>
      <c r="H832" t="inlineStr"/>
      <c r="I832" t="n">
        <v>1</v>
      </c>
      <c r="J832" t="n">
        <v>0</v>
      </c>
      <c r="K832">
        <f>IF(F832="","", IFERROR(VLOOKUP(F832, 'Product List'!A:D, 4, FALSE), 0.03))</f>
        <v/>
      </c>
      <c r="L832">
        <f>IF(F832="","", I832*J832*K832)</f>
        <v/>
      </c>
    </row>
    <row r="833">
      <c r="A833" t="inlineStr"/>
      <c r="B833" t="inlineStr"/>
      <c r="C833" t="inlineStr"/>
      <c r="D833" t="inlineStr">
        <is>
          <t>2026-06</t>
        </is>
      </c>
      <c r="E833" t="inlineStr"/>
      <c r="F833" t="inlineStr"/>
      <c r="G833" t="inlineStr"/>
      <c r="H833" t="inlineStr"/>
      <c r="I833" t="n">
        <v>1</v>
      </c>
      <c r="J833" t="n">
        <v>0</v>
      </c>
      <c r="K833">
        <f>IF(F833="","", IFERROR(VLOOKUP(F833, 'Product List'!A:D, 4, FALSE), 0.03))</f>
        <v/>
      </c>
      <c r="L833">
        <f>IF(F833="","", I833*J833*K833)</f>
        <v/>
      </c>
    </row>
    <row r="834">
      <c r="A834" t="inlineStr"/>
      <c r="B834" t="inlineStr"/>
      <c r="C834" t="inlineStr"/>
      <c r="D834" t="inlineStr">
        <is>
          <t>2026-06</t>
        </is>
      </c>
      <c r="E834" t="inlineStr"/>
      <c r="F834" t="inlineStr"/>
      <c r="G834" t="inlineStr"/>
      <c r="H834" t="inlineStr"/>
      <c r="I834" t="n">
        <v>1</v>
      </c>
      <c r="J834" t="n">
        <v>0</v>
      </c>
      <c r="K834">
        <f>IF(F834="","", IFERROR(VLOOKUP(F834, 'Product List'!A:D, 4, FALSE), 0.03))</f>
        <v/>
      </c>
      <c r="L834">
        <f>IF(F834="","", I834*J834*K834)</f>
        <v/>
      </c>
    </row>
    <row r="835">
      <c r="A835" t="inlineStr"/>
      <c r="B835" t="inlineStr"/>
      <c r="C835" t="inlineStr"/>
      <c r="D835" t="inlineStr">
        <is>
          <t>2026-06</t>
        </is>
      </c>
      <c r="E835" t="inlineStr"/>
      <c r="F835" t="inlineStr"/>
      <c r="G835" t="inlineStr"/>
      <c r="H835" t="inlineStr"/>
      <c r="I835" t="n">
        <v>1</v>
      </c>
      <c r="J835" t="n">
        <v>0</v>
      </c>
      <c r="K835">
        <f>IF(F835="","", IFERROR(VLOOKUP(F835, 'Product List'!A:D, 4, FALSE), 0.03))</f>
        <v/>
      </c>
      <c r="L835">
        <f>IF(F835="","", I835*J835*K835)</f>
        <v/>
      </c>
    </row>
    <row r="836">
      <c r="A836" t="inlineStr"/>
      <c r="B836" t="inlineStr"/>
      <c r="C836" t="inlineStr"/>
      <c r="D836" t="inlineStr">
        <is>
          <t>2026-06</t>
        </is>
      </c>
      <c r="E836" t="inlineStr"/>
      <c r="F836" t="inlineStr"/>
      <c r="G836" t="inlineStr"/>
      <c r="H836" t="inlineStr"/>
      <c r="I836" t="n">
        <v>1</v>
      </c>
      <c r="J836" t="n">
        <v>0</v>
      </c>
      <c r="K836">
        <f>IF(F836="","", IFERROR(VLOOKUP(F836, 'Product List'!A:D, 4, FALSE), 0.03))</f>
        <v/>
      </c>
      <c r="L836">
        <f>IF(F836="","", I836*J836*K836)</f>
        <v/>
      </c>
    </row>
    <row r="837">
      <c r="A837" t="inlineStr"/>
      <c r="B837" t="inlineStr"/>
      <c r="C837" t="inlineStr"/>
      <c r="D837" t="inlineStr">
        <is>
          <t>2026-06</t>
        </is>
      </c>
      <c r="E837" t="inlineStr"/>
      <c r="F837" t="inlineStr"/>
      <c r="G837" t="inlineStr"/>
      <c r="H837" t="inlineStr"/>
      <c r="I837" t="n">
        <v>1</v>
      </c>
      <c r="J837" t="n">
        <v>0</v>
      </c>
      <c r="K837">
        <f>IF(F837="","", IFERROR(VLOOKUP(F837, 'Product List'!A:D, 4, FALSE), 0.03))</f>
        <v/>
      </c>
      <c r="L837">
        <f>IF(F837="","", I837*J837*K837)</f>
        <v/>
      </c>
    </row>
    <row r="838">
      <c r="A838" t="inlineStr"/>
      <c r="B838" t="inlineStr"/>
      <c r="C838" t="inlineStr"/>
      <c r="D838" t="inlineStr">
        <is>
          <t>2026-06</t>
        </is>
      </c>
      <c r="E838" t="inlineStr"/>
      <c r="F838" t="inlineStr"/>
      <c r="G838" t="inlineStr"/>
      <c r="H838" t="inlineStr"/>
      <c r="I838" t="n">
        <v>1</v>
      </c>
      <c r="J838" t="n">
        <v>0</v>
      </c>
      <c r="K838">
        <f>IF(F838="","", IFERROR(VLOOKUP(F838, 'Product List'!A:D, 4, FALSE), 0.03))</f>
        <v/>
      </c>
      <c r="L838">
        <f>IF(F838="","", I838*J838*K838)</f>
        <v/>
      </c>
    </row>
    <row r="839">
      <c r="A839" t="inlineStr"/>
      <c r="B839" t="inlineStr"/>
      <c r="C839" t="inlineStr"/>
      <c r="D839" t="inlineStr">
        <is>
          <t>2026-06</t>
        </is>
      </c>
      <c r="E839" t="inlineStr"/>
      <c r="F839" t="inlineStr"/>
      <c r="G839" t="inlineStr"/>
      <c r="H839" t="inlineStr"/>
      <c r="I839" t="n">
        <v>1</v>
      </c>
      <c r="J839" t="n">
        <v>0</v>
      </c>
      <c r="K839">
        <f>IF(F839="","", IFERROR(VLOOKUP(F839, 'Product List'!A:D, 4, FALSE), 0.03))</f>
        <v/>
      </c>
      <c r="L839">
        <f>IF(F839="","", I839*J839*K839)</f>
        <v/>
      </c>
    </row>
    <row r="840">
      <c r="A840" t="inlineStr"/>
      <c r="B840" t="inlineStr"/>
      <c r="C840" t="inlineStr"/>
      <c r="D840" t="inlineStr">
        <is>
          <t>2026-06</t>
        </is>
      </c>
      <c r="E840" t="inlineStr"/>
      <c r="F840" t="inlineStr"/>
      <c r="G840" t="inlineStr"/>
      <c r="H840" t="inlineStr"/>
      <c r="I840" t="n">
        <v>1</v>
      </c>
      <c r="J840" t="n">
        <v>0</v>
      </c>
      <c r="K840">
        <f>IF(F840="","", IFERROR(VLOOKUP(F840, 'Product List'!A:D, 4, FALSE), 0.03))</f>
        <v/>
      </c>
      <c r="L840">
        <f>IF(F840="","", I840*J840*K840)</f>
        <v/>
      </c>
    </row>
    <row r="841">
      <c r="A841" t="inlineStr"/>
      <c r="B841" t="inlineStr"/>
      <c r="C841" t="inlineStr"/>
      <c r="D841" t="inlineStr">
        <is>
          <t>2026-06</t>
        </is>
      </c>
      <c r="E841" t="inlineStr"/>
      <c r="F841" t="inlineStr"/>
      <c r="G841" t="inlineStr"/>
      <c r="H841" t="inlineStr"/>
      <c r="I841" t="n">
        <v>1</v>
      </c>
      <c r="J841" t="n">
        <v>0</v>
      </c>
      <c r="K841">
        <f>IF(F841="","", IFERROR(VLOOKUP(F841, 'Product List'!A:D, 4, FALSE), 0.03))</f>
        <v/>
      </c>
      <c r="L841">
        <f>IF(F841="","", I841*J841*K841)</f>
        <v/>
      </c>
    </row>
    <row r="842">
      <c r="A842" t="inlineStr"/>
      <c r="B842" t="inlineStr"/>
      <c r="C842" t="inlineStr"/>
      <c r="D842" t="inlineStr">
        <is>
          <t>2026-06</t>
        </is>
      </c>
      <c r="E842" t="inlineStr"/>
      <c r="F842" t="inlineStr"/>
      <c r="G842" t="inlineStr"/>
      <c r="H842" t="inlineStr"/>
      <c r="I842" t="n">
        <v>1</v>
      </c>
      <c r="J842" t="n">
        <v>0</v>
      </c>
      <c r="K842">
        <f>IF(F842="","", IFERROR(VLOOKUP(F842, 'Product List'!A:D, 4, FALSE), 0.03))</f>
        <v/>
      </c>
      <c r="L842">
        <f>IF(F842="","", I842*J842*K842)</f>
        <v/>
      </c>
    </row>
    <row r="843">
      <c r="A843" t="inlineStr"/>
      <c r="B843" t="inlineStr"/>
      <c r="C843" t="inlineStr"/>
      <c r="D843" t="inlineStr">
        <is>
          <t>2026-06</t>
        </is>
      </c>
      <c r="E843" t="inlineStr"/>
      <c r="F843" t="inlineStr"/>
      <c r="G843" t="inlineStr"/>
      <c r="H843" t="inlineStr"/>
      <c r="I843" t="n">
        <v>1</v>
      </c>
      <c r="J843" t="n">
        <v>0</v>
      </c>
      <c r="K843">
        <f>IF(F843="","", IFERROR(VLOOKUP(F843, 'Product List'!A:D, 4, FALSE), 0.03))</f>
        <v/>
      </c>
      <c r="L843">
        <f>IF(F843="","", I843*J843*K843)</f>
        <v/>
      </c>
    </row>
    <row r="844">
      <c r="A844" t="inlineStr"/>
      <c r="B844" t="inlineStr"/>
      <c r="C844" t="inlineStr"/>
      <c r="D844" t="inlineStr">
        <is>
          <t>2026-06</t>
        </is>
      </c>
      <c r="E844" t="inlineStr"/>
      <c r="F844" t="inlineStr"/>
      <c r="G844" t="inlineStr"/>
      <c r="H844" t="inlineStr"/>
      <c r="I844" t="n">
        <v>1</v>
      </c>
      <c r="J844" t="n">
        <v>0</v>
      </c>
      <c r="K844">
        <f>IF(F844="","", IFERROR(VLOOKUP(F844, 'Product List'!A:D, 4, FALSE), 0.03))</f>
        <v/>
      </c>
      <c r="L844">
        <f>IF(F844="","", I844*J844*K844)</f>
        <v/>
      </c>
    </row>
    <row r="845">
      <c r="A845" t="inlineStr"/>
      <c r="B845" t="inlineStr"/>
      <c r="C845" t="inlineStr"/>
      <c r="D845" t="inlineStr">
        <is>
          <t>2026-06</t>
        </is>
      </c>
      <c r="E845" t="inlineStr"/>
      <c r="F845" t="inlineStr"/>
      <c r="G845" t="inlineStr"/>
      <c r="H845" t="inlineStr"/>
      <c r="I845" t="n">
        <v>1</v>
      </c>
      <c r="J845" t="n">
        <v>0</v>
      </c>
      <c r="K845">
        <f>IF(F845="","", IFERROR(VLOOKUP(F845, 'Product List'!A:D, 4, FALSE), 0.03))</f>
        <v/>
      </c>
      <c r="L845">
        <f>IF(F845="","", I845*J845*K845)</f>
        <v/>
      </c>
    </row>
    <row r="846">
      <c r="A846" t="inlineStr"/>
      <c r="B846" t="inlineStr"/>
      <c r="C846" t="inlineStr"/>
      <c r="D846" t="inlineStr">
        <is>
          <t>2026-06</t>
        </is>
      </c>
      <c r="E846" t="inlineStr"/>
      <c r="F846" t="inlineStr"/>
      <c r="G846" t="inlineStr"/>
      <c r="H846" t="inlineStr"/>
      <c r="I846" t="n">
        <v>1</v>
      </c>
      <c r="J846" t="n">
        <v>0</v>
      </c>
      <c r="K846">
        <f>IF(F846="","", IFERROR(VLOOKUP(F846, 'Product List'!A:D, 4, FALSE), 0.03))</f>
        <v/>
      </c>
      <c r="L846">
        <f>IF(F846="","", I846*J846*K846)</f>
        <v/>
      </c>
    </row>
    <row r="847">
      <c r="A847" t="inlineStr"/>
      <c r="B847" t="inlineStr"/>
      <c r="C847" t="inlineStr"/>
      <c r="D847" t="inlineStr">
        <is>
          <t>2026-06</t>
        </is>
      </c>
      <c r="E847" t="inlineStr"/>
      <c r="F847" t="inlineStr"/>
      <c r="G847" t="inlineStr"/>
      <c r="H847" t="inlineStr"/>
      <c r="I847" t="n">
        <v>1</v>
      </c>
      <c r="J847" t="n">
        <v>0</v>
      </c>
      <c r="K847">
        <f>IF(F847="","", IFERROR(VLOOKUP(F847, 'Product List'!A:D, 4, FALSE), 0.03))</f>
        <v/>
      </c>
      <c r="L847">
        <f>IF(F847="","", I847*J847*K847)</f>
        <v/>
      </c>
    </row>
    <row r="848">
      <c r="A848" t="inlineStr"/>
      <c r="B848" t="inlineStr"/>
      <c r="C848" t="inlineStr"/>
      <c r="D848" t="inlineStr">
        <is>
          <t>2026-06</t>
        </is>
      </c>
      <c r="E848" t="inlineStr"/>
      <c r="F848" t="inlineStr"/>
      <c r="G848" t="inlineStr"/>
      <c r="H848" t="inlineStr"/>
      <c r="I848" t="n">
        <v>1</v>
      </c>
      <c r="J848" t="n">
        <v>0</v>
      </c>
      <c r="K848">
        <f>IF(F848="","", IFERROR(VLOOKUP(F848, 'Product List'!A:D, 4, FALSE), 0.03))</f>
        <v/>
      </c>
      <c r="L848">
        <f>IF(F848="","", I848*J848*K848)</f>
        <v/>
      </c>
    </row>
    <row r="849">
      <c r="A849" t="inlineStr"/>
      <c r="B849" t="inlineStr"/>
      <c r="C849" t="inlineStr"/>
      <c r="D849" t="inlineStr">
        <is>
          <t>2026-06</t>
        </is>
      </c>
      <c r="E849" t="inlineStr"/>
      <c r="F849" t="inlineStr"/>
      <c r="G849" t="inlineStr"/>
      <c r="H849" t="inlineStr"/>
      <c r="I849" t="n">
        <v>1</v>
      </c>
      <c r="J849" t="n">
        <v>0</v>
      </c>
      <c r="K849">
        <f>IF(F849="","", IFERROR(VLOOKUP(F849, 'Product List'!A:D, 4, FALSE), 0.03))</f>
        <v/>
      </c>
      <c r="L849">
        <f>IF(F849="","", I849*J849*K849)</f>
        <v/>
      </c>
    </row>
    <row r="850">
      <c r="A850" t="inlineStr"/>
      <c r="B850" t="inlineStr"/>
      <c r="C850" t="inlineStr"/>
      <c r="D850" t="inlineStr">
        <is>
          <t>2026-06</t>
        </is>
      </c>
      <c r="E850" t="inlineStr"/>
      <c r="F850" t="inlineStr"/>
      <c r="G850" t="inlineStr"/>
      <c r="H850" t="inlineStr"/>
      <c r="I850" t="n">
        <v>1</v>
      </c>
      <c r="J850" t="n">
        <v>0</v>
      </c>
      <c r="K850">
        <f>IF(F850="","", IFERROR(VLOOKUP(F850, 'Product List'!A:D, 4, FALSE), 0.03))</f>
        <v/>
      </c>
      <c r="L850">
        <f>IF(F850="","", I850*J850*K850)</f>
        <v/>
      </c>
    </row>
    <row r="851">
      <c r="A851" t="inlineStr"/>
      <c r="B851" t="inlineStr"/>
      <c r="C851" t="inlineStr"/>
      <c r="D851" t="inlineStr">
        <is>
          <t>2026-06</t>
        </is>
      </c>
      <c r="E851" t="inlineStr"/>
      <c r="F851" t="inlineStr"/>
      <c r="G851" t="inlineStr"/>
      <c r="H851" t="inlineStr"/>
      <c r="I851" t="n">
        <v>1</v>
      </c>
      <c r="J851" t="n">
        <v>0</v>
      </c>
      <c r="K851">
        <f>IF(F851="","", IFERROR(VLOOKUP(F851, 'Product List'!A:D, 4, FALSE), 0.03))</f>
        <v/>
      </c>
      <c r="L851">
        <f>IF(F851="","", I851*J851*K851)</f>
        <v/>
      </c>
    </row>
    <row r="852">
      <c r="A852" t="inlineStr"/>
      <c r="B852" t="inlineStr"/>
      <c r="C852" t="inlineStr"/>
      <c r="D852" t="inlineStr">
        <is>
          <t>2026-06</t>
        </is>
      </c>
      <c r="E852" t="inlineStr"/>
      <c r="F852" t="inlineStr"/>
      <c r="G852" t="inlineStr"/>
      <c r="H852" t="inlineStr"/>
      <c r="I852" t="n">
        <v>1</v>
      </c>
      <c r="J852" t="n">
        <v>0</v>
      </c>
      <c r="K852">
        <f>IF(F852="","", IFERROR(VLOOKUP(F852, 'Product List'!A:D, 4, FALSE), 0.03))</f>
        <v/>
      </c>
      <c r="L852">
        <f>IF(F852="","", I852*J852*K852)</f>
        <v/>
      </c>
    </row>
    <row r="853">
      <c r="A853" t="inlineStr"/>
      <c r="B853" t="inlineStr"/>
      <c r="C853" t="inlineStr"/>
      <c r="D853" t="inlineStr">
        <is>
          <t>2026-06</t>
        </is>
      </c>
      <c r="E853" t="inlineStr"/>
      <c r="F853" t="inlineStr"/>
      <c r="G853" t="inlineStr"/>
      <c r="H853" t="inlineStr"/>
      <c r="I853" t="n">
        <v>1</v>
      </c>
      <c r="J853" t="n">
        <v>0</v>
      </c>
      <c r="K853">
        <f>IF(F853="","", IFERROR(VLOOKUP(F853, 'Product List'!A:D, 4, FALSE), 0.03))</f>
        <v/>
      </c>
      <c r="L853">
        <f>IF(F853="","", I853*J853*K853)</f>
        <v/>
      </c>
    </row>
    <row r="854">
      <c r="A854" t="inlineStr"/>
      <c r="B854" t="inlineStr"/>
      <c r="C854" t="inlineStr"/>
      <c r="D854" t="inlineStr">
        <is>
          <t>2026-06</t>
        </is>
      </c>
      <c r="E854" t="inlineStr"/>
      <c r="F854" t="inlineStr"/>
      <c r="G854" t="inlineStr"/>
      <c r="H854" t="inlineStr"/>
      <c r="I854" t="n">
        <v>1</v>
      </c>
      <c r="J854" t="n">
        <v>0</v>
      </c>
      <c r="K854">
        <f>IF(F854="","", IFERROR(VLOOKUP(F854, 'Product List'!A:D, 4, FALSE), 0.03))</f>
        <v/>
      </c>
      <c r="L854">
        <f>IF(F854="","", I854*J854*K854)</f>
        <v/>
      </c>
    </row>
    <row r="855">
      <c r="A855" t="inlineStr"/>
      <c r="B855" t="inlineStr"/>
      <c r="C855" t="inlineStr"/>
      <c r="D855" t="inlineStr">
        <is>
          <t>2026-06</t>
        </is>
      </c>
      <c r="E855" t="inlineStr"/>
      <c r="F855" t="inlineStr"/>
      <c r="G855" t="inlineStr"/>
      <c r="H855" t="inlineStr"/>
      <c r="I855" t="n">
        <v>1</v>
      </c>
      <c r="J855" t="n">
        <v>0</v>
      </c>
      <c r="K855">
        <f>IF(F855="","", IFERROR(VLOOKUP(F855, 'Product List'!A:D, 4, FALSE), 0.03))</f>
        <v/>
      </c>
      <c r="L855">
        <f>IF(F855="","", I855*J855*K855)</f>
        <v/>
      </c>
    </row>
    <row r="856">
      <c r="A856" t="inlineStr"/>
      <c r="B856" t="inlineStr"/>
      <c r="C856" t="inlineStr"/>
      <c r="D856" t="inlineStr">
        <is>
          <t>2026-06</t>
        </is>
      </c>
      <c r="E856" t="inlineStr"/>
      <c r="F856" t="inlineStr"/>
      <c r="G856" t="inlineStr"/>
      <c r="H856" t="inlineStr"/>
      <c r="I856" t="n">
        <v>1</v>
      </c>
      <c r="J856" t="n">
        <v>0</v>
      </c>
      <c r="K856">
        <f>IF(F856="","", IFERROR(VLOOKUP(F856, 'Product List'!A:D, 4, FALSE), 0.03))</f>
        <v/>
      </c>
      <c r="L856">
        <f>IF(F856="","", I856*J856*K856)</f>
        <v/>
      </c>
    </row>
    <row r="857">
      <c r="A857" t="inlineStr"/>
      <c r="B857" t="inlineStr"/>
      <c r="C857" t="inlineStr"/>
      <c r="D857" t="inlineStr">
        <is>
          <t>2026-06</t>
        </is>
      </c>
      <c r="E857" t="inlineStr"/>
      <c r="F857" t="inlineStr"/>
      <c r="G857" t="inlineStr"/>
      <c r="H857" t="inlineStr"/>
      <c r="I857" t="n">
        <v>1</v>
      </c>
      <c r="J857" t="n">
        <v>0</v>
      </c>
      <c r="K857">
        <f>IF(F857="","", IFERROR(VLOOKUP(F857, 'Product List'!A:D, 4, FALSE), 0.03))</f>
        <v/>
      </c>
      <c r="L857">
        <f>IF(F857="","", I857*J857*K857)</f>
        <v/>
      </c>
    </row>
    <row r="858">
      <c r="A858" t="inlineStr"/>
      <c r="B858" t="inlineStr"/>
      <c r="C858" t="inlineStr"/>
      <c r="D858" t="inlineStr">
        <is>
          <t>2026-06</t>
        </is>
      </c>
      <c r="E858" t="inlineStr"/>
      <c r="F858" t="inlineStr"/>
      <c r="G858" t="inlineStr"/>
      <c r="H858" t="inlineStr"/>
      <c r="I858" t="n">
        <v>1</v>
      </c>
      <c r="J858" t="n">
        <v>0</v>
      </c>
      <c r="K858">
        <f>IF(F858="","", IFERROR(VLOOKUP(F858, 'Product List'!A:D, 4, FALSE), 0.03))</f>
        <v/>
      </c>
      <c r="L858">
        <f>IF(F858="","", I858*J858*K858)</f>
        <v/>
      </c>
    </row>
    <row r="859">
      <c r="A859" t="inlineStr"/>
      <c r="B859" t="inlineStr"/>
      <c r="C859" t="inlineStr"/>
      <c r="D859" t="inlineStr">
        <is>
          <t>2026-06</t>
        </is>
      </c>
      <c r="E859" t="inlineStr"/>
      <c r="F859" t="inlineStr"/>
      <c r="G859" t="inlineStr"/>
      <c r="H859" t="inlineStr"/>
      <c r="I859" t="n">
        <v>1</v>
      </c>
      <c r="J859" t="n">
        <v>0</v>
      </c>
      <c r="K859">
        <f>IF(F859="","", IFERROR(VLOOKUP(F859, 'Product List'!A:D, 4, FALSE), 0.03))</f>
        <v/>
      </c>
      <c r="L859">
        <f>IF(F859="","", I859*J859*K859)</f>
        <v/>
      </c>
    </row>
    <row r="860">
      <c r="A860" t="inlineStr"/>
      <c r="B860" t="inlineStr"/>
      <c r="C860" t="inlineStr"/>
      <c r="D860" t="inlineStr">
        <is>
          <t>2026-06</t>
        </is>
      </c>
      <c r="E860" t="inlineStr"/>
      <c r="F860" t="inlineStr"/>
      <c r="G860" t="inlineStr"/>
      <c r="H860" t="inlineStr"/>
      <c r="I860" t="n">
        <v>1</v>
      </c>
      <c r="J860" t="n">
        <v>0</v>
      </c>
      <c r="K860">
        <f>IF(F860="","", IFERROR(VLOOKUP(F860, 'Product List'!A:D, 4, FALSE), 0.03))</f>
        <v/>
      </c>
      <c r="L860">
        <f>IF(F860="","", I860*J860*K860)</f>
        <v/>
      </c>
    </row>
    <row r="861">
      <c r="A861" t="inlineStr"/>
      <c r="B861" t="inlineStr"/>
      <c r="C861" t="inlineStr"/>
      <c r="D861" t="inlineStr">
        <is>
          <t>2026-06</t>
        </is>
      </c>
      <c r="E861" t="inlineStr"/>
      <c r="F861" t="inlineStr"/>
      <c r="G861" t="inlineStr"/>
      <c r="H861" t="inlineStr"/>
      <c r="I861" t="n">
        <v>1</v>
      </c>
      <c r="J861" t="n">
        <v>0</v>
      </c>
      <c r="K861">
        <f>IF(F861="","", IFERROR(VLOOKUP(F861, 'Product List'!A:D, 4, FALSE), 0.03))</f>
        <v/>
      </c>
      <c r="L861">
        <f>IF(F861="","", I861*J861*K861)</f>
        <v/>
      </c>
    </row>
    <row r="862">
      <c r="A862" t="inlineStr"/>
      <c r="B862" t="inlineStr"/>
      <c r="C862" t="inlineStr"/>
      <c r="D862" t="inlineStr">
        <is>
          <t>2026-06</t>
        </is>
      </c>
      <c r="E862" t="inlineStr"/>
      <c r="F862" t="inlineStr"/>
      <c r="G862" t="inlineStr"/>
      <c r="H862" t="inlineStr"/>
      <c r="I862" t="n">
        <v>1</v>
      </c>
      <c r="J862" t="n">
        <v>0</v>
      </c>
      <c r="K862">
        <f>IF(F862="","", IFERROR(VLOOKUP(F862, 'Product List'!A:D, 4, FALSE), 0.03))</f>
        <v/>
      </c>
      <c r="L862">
        <f>IF(F862="","", I862*J862*K862)</f>
        <v/>
      </c>
    </row>
    <row r="863">
      <c r="A863" t="inlineStr"/>
      <c r="B863" t="inlineStr"/>
      <c r="C863" t="inlineStr"/>
      <c r="D863" t="inlineStr">
        <is>
          <t>2026-06</t>
        </is>
      </c>
      <c r="E863" t="inlineStr"/>
      <c r="F863" t="inlineStr"/>
      <c r="G863" t="inlineStr"/>
      <c r="H863" t="inlineStr"/>
      <c r="I863" t="n">
        <v>1</v>
      </c>
      <c r="J863" t="n">
        <v>0</v>
      </c>
      <c r="K863">
        <f>IF(F863="","", IFERROR(VLOOKUP(F863, 'Product List'!A:D, 4, FALSE), 0.03))</f>
        <v/>
      </c>
      <c r="L863">
        <f>IF(F863="","", I863*J863*K863)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7:N24"/>
  <sheetViews>
    <sheetView workbookViewId="0">
      <selection activeCell="A1" sqref="A1"/>
    </sheetView>
  </sheetViews>
  <sheetFormatPr baseColWidth="8" defaultRowHeight="15"/>
  <sheetData>
    <row r="7">
      <c r="A7" s="1" t="inlineStr">
        <is>
          <t>Name</t>
        </is>
      </c>
      <c r="B7" s="1" t="inlineStr">
        <is>
          <t>Shop</t>
        </is>
      </c>
      <c r="C7" s="1" t="inlineStr">
        <is>
          <t>Days</t>
        </is>
      </c>
      <c r="D7" s="1" t="inlineStr">
        <is>
          <t>Hours</t>
        </is>
      </c>
      <c r="E7" s="1" t="inlineStr">
        <is>
          <t>Hourly Rate</t>
        </is>
      </c>
      <c r="F7" s="1" t="inlineStr">
        <is>
          <t>酬  金</t>
        </is>
      </c>
      <c r="G7" s="1" t="inlineStr">
        <is>
          <t>Basic Comm</t>
        </is>
      </c>
      <c r="H7" s="1" t="inlineStr">
        <is>
          <t>Allowance</t>
        </is>
      </c>
      <c r="I7" s="1" t="inlineStr">
        <is>
          <t>Expenses</t>
        </is>
      </c>
      <c r="J7" s="1" t="inlineStr">
        <is>
          <t>Adjustment</t>
        </is>
      </c>
      <c r="K7" s="1" t="inlineStr">
        <is>
          <t>Attendance</t>
        </is>
      </c>
      <c r="L7" s="1" t="inlineStr">
        <is>
          <t>Total</t>
        </is>
      </c>
      <c r="M7" s="1" t="inlineStr">
        <is>
          <t>MPF</t>
        </is>
      </c>
      <c r="N7" s="1" t="inlineStr">
        <is>
          <t>Net Pay</t>
        </is>
      </c>
    </row>
    <row r="8">
      <c r="A8" t="inlineStr">
        <is>
          <t>Apple</t>
        </is>
      </c>
      <c r="B8" t="inlineStr">
        <is>
          <t>TW Aeon</t>
        </is>
      </c>
      <c r="C8">
        <f>COUNTIFS('工作表1'!$B:$B, A8, '工作表1'!$C:$C, B8)</f>
        <v/>
      </c>
      <c r="D8">
        <f>SUMIFS('工作表1'!$K:$K, '工作表1'!$B:$B, A8, '工作表1'!$C:$C, B8)</f>
        <v/>
      </c>
      <c r="E8" t="n">
        <v>60</v>
      </c>
      <c r="F8">
        <f>D8*E8</f>
        <v/>
      </c>
      <c r="G8">
        <f>SUMIFS('editable-sales-form'!$M:$M, 'editable-sales-form'!$C:$C, A8, 'editable-sales-form'!$B:$B, B8)</f>
        <v/>
      </c>
      <c r="H8">
        <f>C8*0.0</f>
        <v/>
      </c>
      <c r="I8" t="n">
        <v>30</v>
      </c>
      <c r="J8" t="n">
        <v>0</v>
      </c>
      <c r="K8" t="n">
        <v>0</v>
      </c>
      <c r="L8">
        <f>SUM(F8:K8)</f>
        <v/>
      </c>
      <c r="M8" t="n">
        <v>0</v>
      </c>
      <c r="N8">
        <f>L8-M8</f>
        <v/>
      </c>
    </row>
    <row r="9">
      <c r="A9" t="inlineStr">
        <is>
          <t>Carol</t>
        </is>
      </c>
      <c r="B9" t="inlineStr">
        <is>
          <t>SW Wing On</t>
        </is>
      </c>
      <c r="C9">
        <f>COUNTIFS('工作表1'!$B:$B, A9, '工作表1'!$C:$C, B9)</f>
        <v/>
      </c>
      <c r="D9">
        <f>SUMIFS('工作表1'!$K:$K, '工作表1'!$B:$B, A9, '工作表1'!$C:$C, B9)</f>
        <v/>
      </c>
      <c r="E9" t="n">
        <v>60</v>
      </c>
      <c r="F9">
        <f>D9*E9</f>
        <v/>
      </c>
      <c r="G9">
        <f>SUMIFS('editable-sales-form'!$M:$M, 'editable-sales-form'!$C:$C, A9, 'editable-sales-form'!$B:$B, B9)</f>
        <v/>
      </c>
      <c r="H9">
        <f>C9*0.0</f>
        <v/>
      </c>
      <c r="I9" t="n">
        <v>0</v>
      </c>
      <c r="J9" t="n">
        <v>0</v>
      </c>
      <c r="K9" t="n">
        <v>0</v>
      </c>
      <c r="L9">
        <f>SUM(F9:K9)</f>
        <v/>
      </c>
      <c r="M9" t="n">
        <v>0</v>
      </c>
      <c r="N9">
        <f>L9-M9</f>
        <v/>
      </c>
    </row>
    <row r="10">
      <c r="A10" t="inlineStr">
        <is>
          <t>Fan</t>
        </is>
      </c>
      <c r="B10" t="inlineStr">
        <is>
          <t>TW Aeon</t>
        </is>
      </c>
      <c r="C10">
        <f>COUNTIFS('工作表1'!$B:$B, A10, '工作表1'!$C:$C, B10)</f>
        <v/>
      </c>
      <c r="D10">
        <f>SUMIFS('工作表1'!$K:$K, '工作表1'!$B:$B, A10, '工作表1'!$C:$C, B10)</f>
        <v/>
      </c>
      <c r="E10" t="n">
        <v>60</v>
      </c>
      <c r="F10">
        <f>D10*E10</f>
        <v/>
      </c>
      <c r="G10">
        <f>SUMIFS('editable-sales-form'!$M:$M, 'editable-sales-form'!$C:$C, A10, 'editable-sales-form'!$B:$B, B10)</f>
        <v/>
      </c>
      <c r="H10">
        <f>C10*0.0</f>
        <v/>
      </c>
      <c r="I10" t="n">
        <v>0</v>
      </c>
      <c r="J10" t="n">
        <v>0</v>
      </c>
      <c r="K10" t="n">
        <v>0</v>
      </c>
      <c r="L10">
        <f>SUM(F10:K10)</f>
        <v/>
      </c>
      <c r="M10" t="n">
        <v>0</v>
      </c>
      <c r="N10">
        <f>L10-M10</f>
        <v/>
      </c>
    </row>
    <row r="11">
      <c r="A11" t="inlineStr">
        <is>
          <t>Hazel</t>
        </is>
      </c>
      <c r="B11" t="inlineStr">
        <is>
          <t>SW Wing On</t>
        </is>
      </c>
      <c r="C11">
        <f>COUNTIFS('工作表1'!$B:$B, A11, '工作表1'!$C:$C, B11)</f>
        <v/>
      </c>
      <c r="D11">
        <f>SUMIFS('工作表1'!$K:$K, '工作表1'!$B:$B, A11, '工作表1'!$C:$C, B11)</f>
        <v/>
      </c>
      <c r="E11" t="n">
        <v>60</v>
      </c>
      <c r="F11">
        <f>D11*E11</f>
        <v/>
      </c>
      <c r="G11">
        <f>SUMIFS('editable-sales-form'!$M:$M, 'editable-sales-form'!$C:$C, A11, 'editable-sales-form'!$B:$B, B11)</f>
        <v/>
      </c>
      <c r="H11">
        <f>C11*0.0</f>
        <v/>
      </c>
      <c r="I11" t="n">
        <v>0</v>
      </c>
      <c r="J11" t="n">
        <v>0</v>
      </c>
      <c r="K11" t="n">
        <v>480</v>
      </c>
      <c r="L11">
        <f>SUM(F11:K11)</f>
        <v/>
      </c>
      <c r="M11" t="n">
        <v>0</v>
      </c>
      <c r="N11">
        <f>L11-M11</f>
        <v/>
      </c>
    </row>
    <row r="12">
      <c r="A12" t="inlineStr">
        <is>
          <t>Jenny P</t>
        </is>
      </c>
      <c r="B12" t="inlineStr">
        <is>
          <t>In - Home Expo</t>
        </is>
      </c>
      <c r="C12">
        <f>COUNTIFS('工作表1'!$B:$B, A12, '工作表1'!$C:$C, B12)</f>
        <v/>
      </c>
      <c r="D12">
        <f>SUMIFS('工作表1'!$K:$K, '工作表1'!$B:$B, A12, '工作表1'!$C:$C, B12)</f>
        <v/>
      </c>
      <c r="E12" t="n">
        <v>60</v>
      </c>
      <c r="F12">
        <f>D12*E12</f>
        <v/>
      </c>
      <c r="G12">
        <f>SUMIFS('editable-sales-form'!$M:$M, 'editable-sales-form'!$C:$C, A12, 'editable-sales-form'!$B:$B, B12)</f>
        <v/>
      </c>
      <c r="H12">
        <f>C12*0.0</f>
        <v/>
      </c>
      <c r="I12" t="n">
        <v>0</v>
      </c>
      <c r="J12" t="n">
        <v>0</v>
      </c>
      <c r="K12" t="n">
        <v>0</v>
      </c>
      <c r="L12">
        <f>SUM(F12:K12)</f>
        <v/>
      </c>
      <c r="M12" t="n">
        <v>0</v>
      </c>
      <c r="N12">
        <f>L12-M12</f>
        <v/>
      </c>
    </row>
    <row r="13">
      <c r="A13" t="inlineStr">
        <is>
          <t>Joe</t>
        </is>
      </c>
      <c r="B13" t="inlineStr">
        <is>
          <t>Tai Po Yata</t>
        </is>
      </c>
      <c r="C13">
        <f>COUNTIFS('工作表1'!$B:$B, A13, '工作表1'!$C:$C, B13)</f>
        <v/>
      </c>
      <c r="D13">
        <f>SUMIFS('工作表1'!$K:$K, '工作表1'!$B:$B, A13, '工作表1'!$C:$C, B13)</f>
        <v/>
      </c>
      <c r="E13" t="n">
        <v>60</v>
      </c>
      <c r="F13">
        <f>D13*E13</f>
        <v/>
      </c>
      <c r="G13">
        <f>SUMIFS('editable-sales-form'!$M:$M, 'editable-sales-form'!$C:$C, A13, 'editable-sales-form'!$B:$B, B13)</f>
        <v/>
      </c>
      <c r="H13">
        <f>C13*0.0</f>
        <v/>
      </c>
      <c r="I13" t="n">
        <v>0</v>
      </c>
      <c r="J13" t="n">
        <v>0</v>
      </c>
      <c r="K13" t="n">
        <v>0</v>
      </c>
      <c r="L13">
        <f>SUM(F13:K13)</f>
        <v/>
      </c>
      <c r="M13" t="n">
        <v>0</v>
      </c>
      <c r="N13">
        <f>L13-M13</f>
        <v/>
      </c>
    </row>
    <row r="14">
      <c r="A14" t="inlineStr">
        <is>
          <t>Ling</t>
        </is>
      </c>
      <c r="B14" t="inlineStr">
        <is>
          <t>YL Citistore</t>
        </is>
      </c>
      <c r="C14">
        <f>COUNTIFS('工作表1'!$B:$B, A14, '工作表1'!$C:$C, B14)</f>
        <v/>
      </c>
      <c r="D14">
        <f>SUMIFS('工作表1'!$K:$K, '工作表1'!$B:$B, A14, '工作表1'!$C:$C, B14)</f>
        <v/>
      </c>
      <c r="E14" t="n">
        <v>60</v>
      </c>
      <c r="F14">
        <f>D14*E14</f>
        <v/>
      </c>
      <c r="G14">
        <f>SUMIFS('editable-sales-form'!$M:$M, 'editable-sales-form'!$C:$C, A14, 'editable-sales-form'!$B:$B, B14)</f>
        <v/>
      </c>
      <c r="H14">
        <f>C14*0.0</f>
        <v/>
      </c>
      <c r="I14" t="n">
        <v>0</v>
      </c>
      <c r="J14" t="n">
        <v>0</v>
      </c>
      <c r="K14" t="n">
        <v>480</v>
      </c>
      <c r="L14">
        <f>SUM(F14:K14)</f>
        <v/>
      </c>
      <c r="M14" t="n">
        <v>0</v>
      </c>
      <c r="N14">
        <f>L14-M14</f>
        <v/>
      </c>
    </row>
    <row r="15">
      <c r="A15" t="inlineStr">
        <is>
          <t>Margaret</t>
        </is>
      </c>
      <c r="B15" t="inlineStr">
        <is>
          <t>Central Fortress</t>
        </is>
      </c>
      <c r="C15">
        <f>COUNTIFS('工作表1'!$B:$B, A15, '工作表1'!$C:$C, B15)</f>
        <v/>
      </c>
      <c r="D15">
        <f>SUMIFS('工作表1'!$K:$K, '工作表1'!$B:$B, A15, '工作表1'!$C:$C, B15)</f>
        <v/>
      </c>
      <c r="E15" t="n">
        <v>56.25</v>
      </c>
      <c r="F15">
        <f>D15*E15</f>
        <v/>
      </c>
      <c r="G15">
        <f>SUMIFS('editable-sales-form'!$M:$M, 'editable-sales-form'!$C:$C, A15, 'editable-sales-form'!$B:$B, B15)</f>
        <v/>
      </c>
      <c r="H15">
        <f>C15*0.0</f>
        <v/>
      </c>
      <c r="I15" t="n">
        <v>0</v>
      </c>
      <c r="J15" t="n">
        <v>0</v>
      </c>
      <c r="K15" t="n">
        <v>0</v>
      </c>
      <c r="L15">
        <f>SUM(F15:K15)</f>
        <v/>
      </c>
      <c r="M15" t="n">
        <v>0</v>
      </c>
      <c r="N15">
        <f>L15-M15</f>
        <v/>
      </c>
    </row>
    <row r="16">
      <c r="A16" t="inlineStr">
        <is>
          <t>Margaret</t>
        </is>
      </c>
      <c r="B16" t="inlineStr">
        <is>
          <t>In - Home Expo 2</t>
        </is>
      </c>
      <c r="C16">
        <f>COUNTIFS('工作表1'!$B:$B, A16, '工作表1'!$C:$C, B16)</f>
        <v/>
      </c>
      <c r="D16">
        <f>SUMIFS('工作表1'!$K:$K, '工作表1'!$B:$B, A16, '工作表1'!$C:$C, B16)</f>
        <v/>
      </c>
      <c r="E16" t="n">
        <v>56.25</v>
      </c>
      <c r="F16">
        <f>D16*E16</f>
        <v/>
      </c>
      <c r="G16">
        <f>SUMIFS('editable-sales-form'!$M:$M, 'editable-sales-form'!$C:$C, A16, 'editable-sales-form'!$B:$B, B16)</f>
        <v/>
      </c>
      <c r="H16">
        <f>C16*0.0</f>
        <v/>
      </c>
      <c r="I16" t="n">
        <v>0</v>
      </c>
      <c r="J16" t="n">
        <v>0</v>
      </c>
      <c r="K16" t="n">
        <v>0</v>
      </c>
      <c r="L16">
        <f>SUM(F16:K16)</f>
        <v/>
      </c>
      <c r="M16" t="n">
        <v>0</v>
      </c>
      <c r="N16">
        <f>L16-M16</f>
        <v/>
      </c>
    </row>
    <row r="17">
      <c r="A17" t="inlineStr">
        <is>
          <t>Margaret</t>
        </is>
      </c>
      <c r="B17" t="inlineStr">
        <is>
          <t>Shatin Fortress</t>
        </is>
      </c>
      <c r="C17">
        <f>COUNTIFS('工作表1'!$B:$B, A17, '工作表1'!$C:$C, B17)</f>
        <v/>
      </c>
      <c r="D17">
        <f>SUMIFS('工作表1'!$K:$K, '工作表1'!$B:$B, A17, '工作表1'!$C:$C, B17)</f>
        <v/>
      </c>
      <c r="E17" t="n">
        <v>56.25</v>
      </c>
      <c r="F17">
        <f>D17*E17</f>
        <v/>
      </c>
      <c r="G17">
        <f>SUMIFS('editable-sales-form'!$M:$M, 'editable-sales-form'!$C:$C, A17, 'editable-sales-form'!$B:$B, B17)</f>
        <v/>
      </c>
      <c r="H17">
        <f>C17*0.0</f>
        <v/>
      </c>
      <c r="I17" t="n">
        <v>0</v>
      </c>
      <c r="J17" t="n">
        <v>0</v>
      </c>
      <c r="K17" t="n">
        <v>0</v>
      </c>
      <c r="L17">
        <f>SUM(F17:K17)</f>
        <v/>
      </c>
      <c r="M17" t="n">
        <v>0</v>
      </c>
      <c r="N17">
        <f>L17-M17</f>
        <v/>
      </c>
    </row>
    <row r="18">
      <c r="A18" t="inlineStr">
        <is>
          <t>May M</t>
        </is>
      </c>
      <c r="B18" t="inlineStr">
        <is>
          <t>Tuen Mun Broadway</t>
        </is>
      </c>
      <c r="C18">
        <f>COUNTIFS('工作表1'!$B:$B, A18, '工作表1'!$C:$C, B18)</f>
        <v/>
      </c>
      <c r="D18">
        <f>SUMIFS('工作表1'!$K:$K, '工作表1'!$B:$B, A18, '工作表1'!$C:$C, B18)</f>
        <v/>
      </c>
      <c r="E18" t="n">
        <v>56.25</v>
      </c>
      <c r="F18">
        <f>D18*E18</f>
        <v/>
      </c>
      <c r="G18">
        <f>SUMIFS('editable-sales-form'!$M:$M, 'editable-sales-form'!$C:$C, A18, 'editable-sales-form'!$B:$B, B18)</f>
        <v/>
      </c>
      <c r="H18">
        <f>C18*0.0</f>
        <v/>
      </c>
      <c r="I18" t="n">
        <v>0</v>
      </c>
      <c r="J18" t="n">
        <v>0</v>
      </c>
      <c r="K18" t="n">
        <v>0</v>
      </c>
      <c r="L18">
        <f>SUM(F18:K18)</f>
        <v/>
      </c>
      <c r="M18" t="n">
        <v>0</v>
      </c>
      <c r="N18">
        <f>L18-M18</f>
        <v/>
      </c>
    </row>
    <row r="19">
      <c r="A19" t="inlineStr">
        <is>
          <t>Mei Kiu</t>
        </is>
      </c>
      <c r="B19" t="inlineStr">
        <is>
          <t>TW YATA</t>
        </is>
      </c>
      <c r="C19">
        <f>COUNTIFS('工作表1'!$B:$B, A19, '工作表1'!$C:$C, B19)</f>
        <v/>
      </c>
      <c r="D19">
        <f>SUMIFS('工作表1'!$K:$K, '工作表1'!$B:$B, A19, '工作表1'!$C:$C, B19)</f>
        <v/>
      </c>
      <c r="E19" t="n">
        <v>60</v>
      </c>
      <c r="F19">
        <f>D19*E19</f>
        <v/>
      </c>
      <c r="G19">
        <f>SUMIFS('editable-sales-form'!$M:$M, 'editable-sales-form'!$C:$C, A19, 'editable-sales-form'!$B:$B, B19)</f>
        <v/>
      </c>
      <c r="H19">
        <f>C19*0.0</f>
        <v/>
      </c>
      <c r="I19" t="n">
        <v>0</v>
      </c>
      <c r="J19" t="n">
        <v>0</v>
      </c>
      <c r="K19" t="n">
        <v>0</v>
      </c>
      <c r="L19">
        <f>SUM(F19:K19)</f>
        <v/>
      </c>
      <c r="M19" t="n">
        <v>0</v>
      </c>
      <c r="N19">
        <f>L19-M19</f>
        <v/>
      </c>
    </row>
    <row r="20">
      <c r="A20" t="inlineStr">
        <is>
          <t>Rebacca</t>
        </is>
      </c>
      <c r="B20" t="inlineStr">
        <is>
          <t>Tai Wan Fortress</t>
        </is>
      </c>
      <c r="C20">
        <f>COUNTIFS('工作表1'!$B:$B, A20, '工作表1'!$C:$C, B20)</f>
        <v/>
      </c>
      <c r="D20">
        <f>SUMIFS('工作表1'!$K:$K, '工作表1'!$B:$B, A20, '工作表1'!$C:$C, B20)</f>
        <v/>
      </c>
      <c r="E20" t="n">
        <v>60</v>
      </c>
      <c r="F20">
        <f>D20*E20</f>
        <v/>
      </c>
      <c r="G20">
        <f>SUMIFS('editable-sales-form'!$M:$M, 'editable-sales-form'!$C:$C, A20, 'editable-sales-form'!$B:$B, B20)</f>
        <v/>
      </c>
      <c r="H20">
        <f>C20*0.0</f>
        <v/>
      </c>
      <c r="I20" t="n">
        <v>0</v>
      </c>
      <c r="J20" t="n">
        <v>0</v>
      </c>
      <c r="K20" t="n">
        <v>0</v>
      </c>
      <c r="L20">
        <f>SUM(F20:K20)</f>
        <v/>
      </c>
      <c r="M20" t="n">
        <v>0</v>
      </c>
      <c r="N20">
        <f>L20-M20</f>
        <v/>
      </c>
    </row>
    <row r="21">
      <c r="A21" t="inlineStr">
        <is>
          <t>Shirley</t>
        </is>
      </c>
      <c r="B21" t="inlineStr">
        <is>
          <t>Festival Walk Fortress</t>
        </is>
      </c>
      <c r="C21">
        <f>COUNTIFS('工作表1'!$B:$B, A21, '工作表1'!$C:$C, B21)</f>
        <v/>
      </c>
      <c r="D21">
        <f>SUMIFS('工作表1'!$K:$K, '工作表1'!$B:$B, A21, '工作表1'!$C:$C, B21)</f>
        <v/>
      </c>
      <c r="E21" t="n">
        <v>60</v>
      </c>
      <c r="F21">
        <f>D21*E21</f>
        <v/>
      </c>
      <c r="G21">
        <f>SUMIFS('editable-sales-form'!$M:$M, 'editable-sales-form'!$C:$C, A21, 'editable-sales-form'!$B:$B, B21)</f>
        <v/>
      </c>
      <c r="H21">
        <f>C21*0.0</f>
        <v/>
      </c>
      <c r="I21" t="n">
        <v>0</v>
      </c>
      <c r="J21" t="n">
        <v>0</v>
      </c>
      <c r="K21" t="n">
        <v>0</v>
      </c>
      <c r="L21">
        <f>SUM(F21:K21)</f>
        <v/>
      </c>
      <c r="M21" t="n">
        <v>0</v>
      </c>
      <c r="N21">
        <f>L21-M21</f>
        <v/>
      </c>
    </row>
    <row r="22">
      <c r="A22" t="inlineStr">
        <is>
          <t>Tammy</t>
        </is>
      </c>
      <c r="B22" t="inlineStr">
        <is>
          <t>Tsing Yi Fortress</t>
        </is>
      </c>
      <c r="C22">
        <f>COUNTIFS('工作表1'!$B:$B, A22, '工作表1'!$C:$C, B22)</f>
        <v/>
      </c>
      <c r="D22">
        <f>SUMIFS('工作表1'!$K:$K, '工作表1'!$B:$B, A22, '工作表1'!$C:$C, B22)</f>
        <v/>
      </c>
      <c r="E22" t="n">
        <v>60</v>
      </c>
      <c r="F22">
        <f>D22*E22</f>
        <v/>
      </c>
      <c r="G22">
        <f>SUMIFS('editable-sales-form'!$M:$M, 'editable-sales-form'!$C:$C, A22, 'editable-sales-form'!$B:$B, B22)</f>
        <v/>
      </c>
      <c r="H22">
        <f>C22*0.0</f>
        <v/>
      </c>
      <c r="I22" t="n">
        <v>0</v>
      </c>
      <c r="J22" t="n">
        <v>0</v>
      </c>
      <c r="K22" t="n">
        <v>0</v>
      </c>
      <c r="L22">
        <f>SUM(F22:K22)</f>
        <v/>
      </c>
      <c r="M22" t="n">
        <v>0</v>
      </c>
      <c r="N22">
        <f>L22-M22</f>
        <v/>
      </c>
    </row>
    <row r="23">
      <c r="A23" t="inlineStr">
        <is>
          <t>Wah</t>
        </is>
      </c>
      <c r="B23" t="inlineStr">
        <is>
          <t>Kowloon Bay Fortress</t>
        </is>
      </c>
      <c r="C23">
        <f>COUNTIFS('工作表1'!$B:$B, A23, '工作表1'!$C:$C, B23)</f>
        <v/>
      </c>
      <c r="D23">
        <f>SUMIFS('工作表1'!$K:$K, '工作表1'!$B:$B, A23, '工作表1'!$C:$C, B23)</f>
        <v/>
      </c>
      <c r="E23" t="n">
        <v>60</v>
      </c>
      <c r="F23">
        <f>D23*E23</f>
        <v/>
      </c>
      <c r="G23">
        <f>SUMIFS('editable-sales-form'!$M:$M, 'editable-sales-form'!$C:$C, A23, 'editable-sales-form'!$B:$B, B23)</f>
        <v/>
      </c>
      <c r="H23">
        <f>C23*0.0</f>
        <v/>
      </c>
      <c r="I23" t="n">
        <v>0</v>
      </c>
      <c r="J23" t="n">
        <v>0</v>
      </c>
      <c r="K23" t="n">
        <v>480</v>
      </c>
      <c r="L23">
        <f>SUM(F23:K23)</f>
        <v/>
      </c>
      <c r="M23" t="n">
        <v>0</v>
      </c>
      <c r="N23">
        <f>L23-M23</f>
        <v/>
      </c>
    </row>
    <row r="24">
      <c r="A24" t="inlineStr">
        <is>
          <t>Wu Sir</t>
        </is>
      </c>
      <c r="B24" t="inlineStr">
        <is>
          <t>Kwai Fong Fortress</t>
        </is>
      </c>
      <c r="C24">
        <f>COUNTIFS('工作表1'!$B:$B, A24, '工作表1'!$C:$C, B24)</f>
        <v/>
      </c>
      <c r="D24">
        <f>SUMIFS('工作表1'!$K:$K, '工作表1'!$B:$B, A24, '工作表1'!$C:$C, B24)</f>
        <v/>
      </c>
      <c r="E24" t="n">
        <v>65</v>
      </c>
      <c r="F24">
        <f>D24*E24</f>
        <v/>
      </c>
      <c r="G24">
        <f>SUMIFS('editable-sales-form'!$M:$M, 'editable-sales-form'!$C:$C, A24, 'editable-sales-form'!$B:$B, B24)</f>
        <v/>
      </c>
      <c r="H24">
        <f>C24*0.0</f>
        <v/>
      </c>
      <c r="I24" t="n">
        <v>0</v>
      </c>
      <c r="J24" t="n">
        <v>0</v>
      </c>
      <c r="K24" t="n">
        <v>0</v>
      </c>
      <c r="L24">
        <f>SUM(F24:K24)</f>
        <v/>
      </c>
      <c r="M24" t="n">
        <v>0</v>
      </c>
      <c r="N24">
        <f>L24-M24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2026-07-21T18:30:52Z</dcterms:created>
  <dcterms:modified xsi:type="dcterms:W3CDTF">2026-07-21T18:30:53Z</dcterms:modified>
</cp:coreProperties>
</file>